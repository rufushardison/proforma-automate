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rufushardison/Downloads/"/>
    </mc:Choice>
  </mc:AlternateContent>
  <xr:revisionPtr revIDLastSave="0" documentId="13_ncr:1_{0A570B1A-3B7C-E845-978F-1943E23DA43A}" xr6:coauthVersionLast="47" xr6:coauthVersionMax="47" xr10:uidLastSave="{00000000-0000-0000-0000-000000000000}"/>
  <bookViews>
    <workbookView xWindow="0" yWindow="780" windowWidth="25140" windowHeight="14040" xr2:uid="{D2ADD33F-BD0C-49ED-9B2F-2FF15BFFEEE0}"/>
  </bookViews>
  <sheets>
    <sheet name="Deal Summary" sheetId="2" r:id="rId1"/>
    <sheet name="Costs" sheetId="7" r:id="rId2"/>
    <sheet name="Proforma" sheetId="3" r:id="rId3"/>
    <sheet name="IRR " sheetId="4" r:id="rId4"/>
    <sheet name="Financing" sheetId="5" r:id="rId5"/>
    <sheet name="Tax Credits" sheetId="9" r:id="rId6"/>
    <sheet name="Dealpath Outputs" sheetId="10" r:id="rId7"/>
    <sheet name="Financing (3 Refi)" sheetId="6" state="hidden" r:id="rId8"/>
  </sheets>
  <definedNames>
    <definedName name="_xleta.IF" hidden="1" xlm="1">#NAME?</definedName>
    <definedName name="_xleta.YEAR" hidden="1" xlm="1">#NAME?</definedName>
    <definedName name="_xlpm.base" hidden="1" xlm="1">#NAME?</definedName>
    <definedName name="_xlpm.rangeToSum" hidden="1" xlm="1">#NAME?</definedName>
    <definedName name="_xlpm.rawData" hidden="1" xlm="1">#NAME?</definedName>
    <definedName name="_xlpm.stop" hidden="1" xlm="1">#NAME?</definedName>
    <definedName name="ActualNumberOfPayments">IFERROR(IF(LoanIsGood,IF(PaymentsPerYear=1,1,MATCH(0.01,End_Bal,-1)+1)),"")</definedName>
    <definedName name="End_Bal">#REF!</definedName>
    <definedName name="ExtraPayments">#REF!</definedName>
    <definedName name="InterestRate">#REF!</definedName>
    <definedName name="LoanAmount">#REF!</definedName>
    <definedName name="LoanIsGood">(#REF!*#REF!*#REF!*#REF!)&gt;0</definedName>
    <definedName name="LoanPeriod">#REF!</definedName>
    <definedName name="LoanStartDate">#REF!</definedName>
    <definedName name="PaymentsPerYear">#REF!</definedName>
    <definedName name="_xlnm.Print_Area" localSheetId="0">'Deal Summary'!$C$2:$Q$40</definedName>
    <definedName name="ScheduledNumberOfPayments">#REF!</definedName>
    <definedName name="ScheduledPayment">#REF!</definedName>
    <definedName name="TotalEarlyPayments">SUM(#REF!)</definedName>
    <definedName name="TotalInterest">SUM(#REF!)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6" i="2" l="1"/>
  <c r="K8" i="5" l="1"/>
  <c r="K9" i="5" s="1"/>
  <c r="K14" i="5" l="1"/>
  <c r="K15" i="5"/>
  <c r="K10" i="5"/>
  <c r="K12" i="5"/>
  <c r="K24" i="2"/>
  <c r="Q30" i="2"/>
  <c r="P30" i="2"/>
  <c r="O30" i="2"/>
  <c r="N30" i="2"/>
  <c r="M30" i="2"/>
  <c r="L30" i="2"/>
  <c r="D38" i="2"/>
  <c r="K30" i="2"/>
  <c r="D7" i="9"/>
  <c r="D5" i="9"/>
  <c r="K13" i="5" l="1"/>
  <c r="K11" i="5"/>
  <c r="F17" i="7"/>
  <c r="O10" i="3"/>
  <c r="D13" i="2" l="1"/>
  <c r="F13" i="2"/>
  <c r="N11" i="2"/>
  <c r="M11" i="2" s="1"/>
  <c r="L11" i="2" s="1"/>
  <c r="K11" i="2" s="1"/>
  <c r="J14" i="2"/>
  <c r="N17" i="7"/>
  <c r="D25" i="2" s="1"/>
  <c r="F32" i="7"/>
  <c r="D12" i="2" l="1"/>
  <c r="D3" i="9"/>
  <c r="O11" i="2"/>
  <c r="P11" i="2" s="1"/>
  <c r="Q11" i="2" s="1"/>
  <c r="C5" i="2"/>
  <c r="C11" i="2"/>
  <c r="D23" i="4"/>
  <c r="D14" i="4"/>
  <c r="D5" i="4"/>
  <c r="D11" i="2" l="1"/>
  <c r="C28" i="2"/>
  <c r="C27" i="2"/>
  <c r="D27" i="2"/>
  <c r="D28" i="2"/>
  <c r="C7" i="2"/>
  <c r="C6" i="2"/>
  <c r="C8" i="5"/>
  <c r="C7" i="5"/>
  <c r="G37" i="2" s="1"/>
  <c r="C6" i="5"/>
  <c r="G38" i="2" s="1"/>
  <c r="F6" i="5"/>
  <c r="G34" i="2" s="1"/>
  <c r="J24" i="2"/>
  <c r="C33" i="2"/>
  <c r="D24" i="2"/>
  <c r="D6" i="9" s="1"/>
  <c r="D23" i="2"/>
  <c r="D20" i="2"/>
  <c r="D19" i="2"/>
  <c r="D4" i="9" s="1"/>
  <c r="C18" i="2"/>
  <c r="C17" i="2"/>
  <c r="D17" i="2" l="1"/>
  <c r="D8" i="6"/>
  <c r="D7" i="6"/>
  <c r="D9" i="6" s="1"/>
  <c r="D10" i="6" s="1"/>
  <c r="G6" i="6"/>
  <c r="C9" i="5"/>
  <c r="C10" i="5" s="1"/>
  <c r="G14" i="4"/>
  <c r="F14" i="4"/>
  <c r="F5" i="4" s="1"/>
  <c r="J30" i="2"/>
  <c r="F353" i="6" l="1"/>
  <c r="F348" i="6"/>
  <c r="F354" i="6"/>
  <c r="E354" i="6"/>
  <c r="G362" i="6"/>
  <c r="G353" i="6"/>
  <c r="E376" i="5"/>
  <c r="D376" i="5"/>
  <c r="F371" i="5"/>
  <c r="D367" i="5"/>
  <c r="E358" i="5"/>
  <c r="E374" i="5"/>
  <c r="E369" i="5"/>
  <c r="D360" i="5"/>
  <c r="F355" i="5"/>
  <c r="E346" i="5"/>
  <c r="D374" i="5"/>
  <c r="D369" i="5"/>
  <c r="F364" i="5"/>
  <c r="E355" i="5"/>
  <c r="E372" i="5"/>
  <c r="E367" i="5"/>
  <c r="F362" i="5"/>
  <c r="E353" i="5"/>
  <c r="F360" i="5"/>
  <c r="E344" i="5"/>
  <c r="F365" i="5"/>
  <c r="E360" i="5"/>
  <c r="E349" i="5"/>
  <c r="E375" i="5"/>
  <c r="D364" i="5"/>
  <c r="F353" i="5"/>
  <c r="D371" i="5"/>
  <c r="F358" i="5"/>
  <c r="E352" i="5"/>
  <c r="F370" i="5"/>
  <c r="E364" i="5"/>
  <c r="D358" i="5"/>
  <c r="E370" i="5"/>
  <c r="D368" i="5"/>
  <c r="D356" i="5"/>
  <c r="E343" i="5"/>
  <c r="D370" i="5"/>
  <c r="F369" i="5"/>
  <c r="F354" i="5"/>
  <c r="E362" i="5"/>
  <c r="D355" i="5"/>
  <c r="D362" i="5"/>
  <c r="E347" i="5"/>
  <c r="F359" i="5"/>
  <c r="F374" i="5"/>
  <c r="E359" i="5"/>
  <c r="E357" i="5"/>
  <c r="E348" i="5"/>
  <c r="E366" i="5"/>
  <c r="F367" i="5"/>
  <c r="D357" i="5"/>
  <c r="F376" i="5"/>
  <c r="F366" i="5"/>
  <c r="E373" i="5"/>
  <c r="E363" i="5"/>
  <c r="D353" i="5"/>
  <c r="D373" i="5"/>
  <c r="D363" i="5"/>
  <c r="F361" i="5"/>
  <c r="E342" i="5"/>
  <c r="F356" i="5"/>
  <c r="D372" i="5"/>
  <c r="F373" i="5"/>
  <c r="F357" i="5"/>
  <c r="E341" i="5"/>
  <c r="E356" i="5"/>
  <c r="E354" i="5"/>
  <c r="F372" i="5"/>
  <c r="E371" i="5"/>
  <c r="D354" i="5"/>
  <c r="F368" i="5"/>
  <c r="D366" i="5"/>
  <c r="E350" i="5"/>
  <c r="E365" i="5"/>
  <c r="D365" i="5"/>
  <c r="F375" i="5"/>
  <c r="E368" i="5"/>
  <c r="F363" i="5"/>
  <c r="D375" i="5"/>
  <c r="E361" i="5"/>
  <c r="D361" i="5"/>
  <c r="D359" i="5"/>
  <c r="E351" i="5"/>
  <c r="E345" i="5"/>
  <c r="G372" i="6"/>
  <c r="E368" i="6"/>
  <c r="F359" i="6"/>
  <c r="G350" i="6"/>
  <c r="E346" i="6"/>
  <c r="F372" i="6"/>
  <c r="G363" i="6"/>
  <c r="E359" i="6"/>
  <c r="F350" i="6"/>
  <c r="G341" i="6"/>
  <c r="G370" i="6"/>
  <c r="E366" i="6"/>
  <c r="F357" i="6"/>
  <c r="G348" i="6"/>
  <c r="E344" i="6"/>
  <c r="G374" i="6"/>
  <c r="E370" i="6"/>
  <c r="F361" i="6"/>
  <c r="G352" i="6"/>
  <c r="E348" i="6"/>
  <c r="G376" i="6"/>
  <c r="F371" i="6"/>
  <c r="G360" i="6"/>
  <c r="F355" i="6"/>
  <c r="G344" i="6"/>
  <c r="F376" i="6"/>
  <c r="E371" i="6"/>
  <c r="G365" i="6"/>
  <c r="F360" i="6"/>
  <c r="E355" i="6"/>
  <c r="G349" i="6"/>
  <c r="F344" i="6"/>
  <c r="E376" i="6"/>
  <c r="F370" i="6"/>
  <c r="G364" i="6"/>
  <c r="G358" i="6"/>
  <c r="E341" i="6"/>
  <c r="F364" i="6"/>
  <c r="F358" i="6"/>
  <c r="F352" i="6"/>
  <c r="E364" i="6"/>
  <c r="E358" i="6"/>
  <c r="E352" i="6"/>
  <c r="G346" i="6"/>
  <c r="G375" i="6"/>
  <c r="G369" i="6"/>
  <c r="F346" i="6"/>
  <c r="E375" i="6"/>
  <c r="E369" i="6"/>
  <c r="E363" i="6"/>
  <c r="G357" i="6"/>
  <c r="G351" i="6"/>
  <c r="G345" i="6"/>
  <c r="E362" i="6"/>
  <c r="E356" i="6"/>
  <c r="E350" i="6"/>
  <c r="F375" i="6"/>
  <c r="F367" i="6"/>
  <c r="E351" i="6"/>
  <c r="E343" i="6"/>
  <c r="E367" i="6"/>
  <c r="G359" i="6"/>
  <c r="F373" i="6"/>
  <c r="F365" i="6"/>
  <c r="F368" i="6"/>
  <c r="F374" i="6"/>
  <c r="E365" i="6"/>
  <c r="E347" i="6"/>
  <c r="G354" i="6"/>
  <c r="E374" i="6"/>
  <c r="G355" i="6"/>
  <c r="F345" i="6"/>
  <c r="G371" i="6"/>
  <c r="E361" i="6"/>
  <c r="G342" i="6"/>
  <c r="G373" i="6"/>
  <c r="F362" i="6"/>
  <c r="E373" i="6"/>
  <c r="G361" i="6"/>
  <c r="F349" i="6"/>
  <c r="E357" i="6"/>
  <c r="E345" i="6"/>
  <c r="G356" i="6"/>
  <c r="F343" i="6"/>
  <c r="F356" i="6"/>
  <c r="E342" i="6"/>
  <c r="E372" i="6"/>
  <c r="F342" i="6"/>
  <c r="E353" i="6"/>
  <c r="G366" i="6"/>
  <c r="F351" i="6"/>
  <c r="F363" i="6"/>
  <c r="F366" i="6"/>
  <c r="E349" i="6"/>
  <c r="E360" i="6"/>
  <c r="F341" i="6"/>
  <c r="G367" i="6"/>
  <c r="F347" i="6"/>
  <c r="F369" i="6"/>
  <c r="G368" i="6"/>
  <c r="G347" i="6"/>
  <c r="G343" i="6"/>
  <c r="G368" i="5" l="1"/>
  <c r="H368" i="5" s="1"/>
  <c r="H348" i="6"/>
  <c r="I348" i="6" s="1"/>
  <c r="H375" i="6"/>
  <c r="I375" i="6" s="1"/>
  <c r="H345" i="6"/>
  <c r="I345" i="6" s="1"/>
  <c r="H350" i="6"/>
  <c r="I350" i="6" s="1"/>
  <c r="H365" i="6"/>
  <c r="I365" i="6" s="1"/>
  <c r="G365" i="5"/>
  <c r="H373" i="6"/>
  <c r="I373" i="6" s="1"/>
  <c r="H353" i="6"/>
  <c r="I353" i="6" s="1"/>
  <c r="H341" i="6"/>
  <c r="I341" i="6" s="1"/>
  <c r="H354" i="6"/>
  <c r="I354" i="6" s="1"/>
  <c r="H362" i="6"/>
  <c r="I362" i="6" s="1"/>
  <c r="H359" i="6"/>
  <c r="I359" i="6" s="1"/>
  <c r="H374" i="6"/>
  <c r="I374" i="6" s="1"/>
  <c r="G356" i="5"/>
  <c r="H356" i="5" s="1"/>
  <c r="G360" i="5"/>
  <c r="H360" i="5" s="1"/>
  <c r="H367" i="6"/>
  <c r="I367" i="6" s="1"/>
  <c r="H370" i="6"/>
  <c r="I370" i="6" s="1"/>
  <c r="H361" i="6"/>
  <c r="I361" i="6" s="1"/>
  <c r="G371" i="5"/>
  <c r="H371" i="5" s="1"/>
  <c r="G353" i="5"/>
  <c r="H352" i="6"/>
  <c r="I352" i="6" s="1"/>
  <c r="G367" i="5"/>
  <c r="H367" i="5" s="1"/>
  <c r="H372" i="6"/>
  <c r="I372" i="6" s="1"/>
  <c r="H366" i="6"/>
  <c r="I366" i="6" s="1"/>
  <c r="H360" i="6"/>
  <c r="I360" i="6" s="1"/>
  <c r="H363" i="6"/>
  <c r="I363" i="6" s="1"/>
  <c r="G359" i="5"/>
  <c r="H359" i="5" s="1"/>
  <c r="G362" i="5"/>
  <c r="H362" i="5" s="1"/>
  <c r="H376" i="6"/>
  <c r="I376" i="6" s="1"/>
  <c r="H347" i="6"/>
  <c r="I347" i="6" s="1"/>
  <c r="H356" i="6"/>
  <c r="I356" i="6" s="1"/>
  <c r="G372" i="5"/>
  <c r="H372" i="5" s="1"/>
  <c r="H346" i="6"/>
  <c r="I346" i="6" s="1"/>
  <c r="G364" i="5"/>
  <c r="H364" i="5" s="1"/>
  <c r="H349" i="6"/>
  <c r="I349" i="6" s="1"/>
  <c r="G357" i="5"/>
  <c r="H357" i="5" s="1"/>
  <c r="H358" i="6"/>
  <c r="I358" i="6" s="1"/>
  <c r="H343" i="6"/>
  <c r="I343" i="6" s="1"/>
  <c r="G375" i="5"/>
  <c r="H375" i="5" s="1"/>
  <c r="G355" i="5"/>
  <c r="H355" i="5" s="1"/>
  <c r="H357" i="6"/>
  <c r="I357" i="6" s="1"/>
  <c r="G369" i="5"/>
  <c r="H369" i="5" s="1"/>
  <c r="G366" i="5"/>
  <c r="H366" i="5" s="1"/>
  <c r="G374" i="5"/>
  <c r="H374" i="5" s="1"/>
  <c r="H342" i="6"/>
  <c r="I342" i="6" s="1"/>
  <c r="H368" i="6"/>
  <c r="I368" i="6" s="1"/>
  <c r="H364" i="6"/>
  <c r="I364" i="6" s="1"/>
  <c r="G361" i="5"/>
  <c r="H361" i="5" s="1"/>
  <c r="G358" i="5"/>
  <c r="H358" i="5" s="1"/>
  <c r="H351" i="6"/>
  <c r="I351" i="6" s="1"/>
  <c r="G363" i="5"/>
  <c r="H363" i="5" s="1"/>
  <c r="H344" i="6"/>
  <c r="I344" i="6" s="1"/>
  <c r="G354" i="5"/>
  <c r="H354" i="5" s="1"/>
  <c r="G373" i="5"/>
  <c r="H373" i="5" s="1"/>
  <c r="G370" i="5"/>
  <c r="H370" i="5" s="1"/>
  <c r="H355" i="6"/>
  <c r="I355" i="6" s="1"/>
  <c r="G376" i="5"/>
  <c r="H376" i="5" s="1"/>
  <c r="H369" i="6"/>
  <c r="I369" i="6" s="1"/>
  <c r="H371" i="6"/>
  <c r="I371" i="6" s="1"/>
  <c r="H365" i="5" l="1"/>
  <c r="I376" i="5"/>
  <c r="H353" i="5"/>
  <c r="I364" i="5"/>
  <c r="L27" i="3" l="1"/>
  <c r="E340" i="5" l="1"/>
  <c r="E339" i="5"/>
  <c r="K32" i="2" l="1"/>
  <c r="E9" i="3" s="1"/>
  <c r="E10" i="3" s="1"/>
  <c r="E11" i="3" l="1"/>
  <c r="E13" i="3" s="1"/>
  <c r="E16" i="3" l="1"/>
  <c r="E38" i="3" l="1"/>
  <c r="E39" i="3" l="1"/>
  <c r="K26" i="2" l="1"/>
  <c r="G28" i="2" l="1"/>
  <c r="O15" i="7" s="1"/>
  <c r="O13" i="7"/>
  <c r="G28" i="7"/>
  <c r="G31" i="7"/>
  <c r="G23" i="7" l="1"/>
  <c r="G17" i="7"/>
  <c r="O6" i="7"/>
  <c r="G29" i="7"/>
  <c r="G27" i="7"/>
  <c r="O14" i="7"/>
  <c r="G25" i="7"/>
  <c r="G26" i="7"/>
  <c r="O7" i="7"/>
  <c r="G24" i="7"/>
  <c r="O17" i="7"/>
  <c r="O8" i="7"/>
  <c r="G30" i="7"/>
  <c r="O11" i="7"/>
  <c r="O16" i="7"/>
  <c r="G20" i="7"/>
  <c r="G22" i="7"/>
  <c r="O12" i="7"/>
  <c r="O9" i="7"/>
  <c r="G32" i="7"/>
  <c r="G21" i="7"/>
  <c r="O5" i="7"/>
  <c r="O10" i="7"/>
  <c r="D18" i="2"/>
  <c r="D30" i="2" s="1"/>
  <c r="G12" i="2" s="1"/>
  <c r="Q32" i="2"/>
  <c r="K9" i="3" s="1"/>
  <c r="L9" i="3" s="1"/>
  <c r="L32" i="2"/>
  <c r="F9" i="3" s="1"/>
  <c r="F11" i="3" s="1"/>
  <c r="F13" i="3" s="1"/>
  <c r="F16" i="3" s="1"/>
  <c r="P32" i="2"/>
  <c r="J9" i="3" s="1"/>
  <c r="J11" i="3" s="1"/>
  <c r="J13" i="3" s="1"/>
  <c r="J16" i="3" s="1"/>
  <c r="O32" i="2"/>
  <c r="I9" i="3" s="1"/>
  <c r="I11" i="3" s="1"/>
  <c r="I13" i="3" s="1"/>
  <c r="I16" i="3" s="1"/>
  <c r="N32" i="2"/>
  <c r="H9" i="3" s="1"/>
  <c r="H11" i="3" s="1"/>
  <c r="H13" i="3" s="1"/>
  <c r="H16" i="3" s="1"/>
  <c r="M32" i="2"/>
  <c r="G9" i="3" s="1"/>
  <c r="G11" i="3" s="1"/>
  <c r="G13" i="3" s="1"/>
  <c r="G16" i="3" s="1"/>
  <c r="L15" i="3" l="1"/>
  <c r="L10" i="3"/>
  <c r="L11" i="3" s="1"/>
  <c r="L14" i="3" s="1"/>
  <c r="K11" i="3"/>
  <c r="K13" i="3" s="1"/>
  <c r="K16" i="3" s="1"/>
  <c r="J38" i="3"/>
  <c r="I38" i="3"/>
  <c r="H38" i="3"/>
  <c r="G38" i="3"/>
  <c r="F38" i="3"/>
  <c r="L21" i="3" l="1"/>
  <c r="L23" i="3" s="1"/>
  <c r="K38" i="3"/>
  <c r="J39" i="3"/>
  <c r="I39" i="3"/>
  <c r="H39" i="3"/>
  <c r="G39" i="3"/>
  <c r="F39" i="3"/>
  <c r="L43" i="3" l="1"/>
  <c r="L44" i="3" s="1"/>
  <c r="L46" i="3" s="1"/>
  <c r="L33" i="3"/>
  <c r="L28" i="3"/>
  <c r="L31" i="3" s="1"/>
  <c r="L36" i="3" s="1"/>
  <c r="K39" i="3"/>
  <c r="N24" i="2"/>
  <c r="O24" i="2" s="1"/>
  <c r="O26" i="2" s="1"/>
  <c r="D14" i="2" s="1"/>
  <c r="D15" i="2" s="1"/>
  <c r="D32" i="2" l="1"/>
  <c r="D33" i="2" s="1"/>
  <c r="G13" i="2" s="1"/>
  <c r="G11" i="2"/>
  <c r="D35" i="2" l="1"/>
  <c r="G5" i="6" s="1"/>
  <c r="G7" i="6" s="1"/>
  <c r="G8" i="6" s="1"/>
  <c r="D8" i="9"/>
  <c r="D12" i="9" s="1"/>
  <c r="D16" i="9" s="1"/>
  <c r="D21" i="9" s="1"/>
  <c r="G33" i="2" l="1"/>
  <c r="G35" i="2" s="1"/>
  <c r="G39" i="2" s="1"/>
  <c r="G40" i="2" s="1"/>
  <c r="G20" i="2" s="1"/>
  <c r="F5" i="5"/>
  <c r="F7" i="5" s="1"/>
  <c r="F8" i="5" s="1"/>
  <c r="G14" i="2"/>
  <c r="D15" i="9"/>
  <c r="D20" i="9" s="1"/>
  <c r="D14" i="9"/>
  <c r="D19" i="9" s="1"/>
  <c r="C5" i="5" l="1"/>
  <c r="G36" i="2"/>
  <c r="N17" i="2" s="1"/>
  <c r="D22" i="9"/>
  <c r="O20" i="3" s="1"/>
  <c r="D17" i="9"/>
  <c r="E332" i="5"/>
  <c r="E336" i="5"/>
  <c r="E334" i="5"/>
  <c r="E337" i="5"/>
  <c r="E330" i="5"/>
  <c r="E331" i="5"/>
  <c r="E335" i="5"/>
  <c r="E338" i="5"/>
  <c r="E329" i="5"/>
  <c r="E333" i="5"/>
  <c r="E199" i="5"/>
  <c r="E107" i="5"/>
  <c r="E61" i="5"/>
  <c r="E175" i="5"/>
  <c r="E81" i="5"/>
  <c r="E95" i="5"/>
  <c r="E121" i="5"/>
  <c r="E142" i="5"/>
  <c r="E70" i="5"/>
  <c r="E69" i="5"/>
  <c r="E315" i="5"/>
  <c r="E322" i="5"/>
  <c r="E153" i="5"/>
  <c r="E72" i="5"/>
  <c r="E86" i="5"/>
  <c r="E116" i="5"/>
  <c r="E313" i="5"/>
  <c r="E297" i="5"/>
  <c r="E228" i="5"/>
  <c r="E148" i="5"/>
  <c r="E324" i="5"/>
  <c r="E92" i="5"/>
  <c r="E184" i="5"/>
  <c r="E131" i="5"/>
  <c r="E287" i="5"/>
  <c r="E128" i="5"/>
  <c r="E279" i="5"/>
  <c r="E120" i="5"/>
  <c r="E79" i="5"/>
  <c r="E68" i="5"/>
  <c r="E82" i="5"/>
  <c r="E223" i="5"/>
  <c r="E55" i="5"/>
  <c r="E181" i="5"/>
  <c r="E236" i="5"/>
  <c r="E318" i="5"/>
  <c r="E57" i="5"/>
  <c r="E118" i="5"/>
  <c r="E233" i="5"/>
  <c r="E188" i="5"/>
  <c r="E110" i="5"/>
  <c r="E193" i="5"/>
  <c r="E254" i="5"/>
  <c r="E177" i="5"/>
  <c r="H16" i="5"/>
  <c r="D17" i="5" s="1"/>
  <c r="F17" i="5" s="1"/>
  <c r="E17" i="5" s="1"/>
  <c r="G17" i="5" s="1"/>
  <c r="E93" i="5"/>
  <c r="E157" i="5"/>
  <c r="E206" i="5"/>
  <c r="E77" i="5"/>
  <c r="E303" i="5"/>
  <c r="E141" i="5"/>
  <c r="E123" i="5"/>
  <c r="E256" i="5"/>
  <c r="E325" i="5"/>
  <c r="E145" i="5"/>
  <c r="E171" i="5"/>
  <c r="E78" i="5"/>
  <c r="E216" i="5"/>
  <c r="E74" i="5"/>
  <c r="E328" i="5"/>
  <c r="E185" i="5"/>
  <c r="E326" i="5"/>
  <c r="E222" i="5"/>
  <c r="E170" i="5"/>
  <c r="E288" i="5"/>
  <c r="E321" i="5"/>
  <c r="E152" i="5"/>
  <c r="E267" i="5"/>
  <c r="E189" i="5"/>
  <c r="E307" i="5"/>
  <c r="E316" i="5"/>
  <c r="E187" i="5"/>
  <c r="E196" i="5"/>
  <c r="E87" i="5"/>
  <c r="E314" i="5"/>
  <c r="E111" i="5"/>
  <c r="E106" i="5"/>
  <c r="E296" i="5"/>
  <c r="E317" i="5"/>
  <c r="E311" i="5"/>
  <c r="E109" i="5"/>
  <c r="E138" i="5"/>
  <c r="E319" i="5"/>
  <c r="E204" i="5"/>
  <c r="E203" i="5"/>
  <c r="E291" i="5"/>
  <c r="E224" i="5"/>
  <c r="E67" i="5"/>
  <c r="E183" i="5"/>
  <c r="E164" i="5"/>
  <c r="E182" i="5"/>
  <c r="E130" i="5"/>
  <c r="E320" i="5"/>
  <c r="E149" i="5"/>
  <c r="E97" i="5"/>
  <c r="E63" i="5"/>
  <c r="E327" i="5"/>
  <c r="E94" i="5"/>
  <c r="E323" i="5"/>
  <c r="L17" i="2"/>
  <c r="O13" i="3"/>
  <c r="L34" i="3" s="1"/>
  <c r="Q17" i="2"/>
  <c r="M17" i="2"/>
  <c r="P17" i="2"/>
  <c r="K17" i="2"/>
  <c r="E239" i="5" l="1"/>
  <c r="H8" i="5"/>
  <c r="D6" i="4"/>
  <c r="E218" i="5"/>
  <c r="E274" i="5"/>
  <c r="E178" i="5"/>
  <c r="E122" i="5"/>
  <c r="E76" i="5"/>
  <c r="E309" i="5"/>
  <c r="E263" i="5"/>
  <c r="E275" i="5"/>
  <c r="E306" i="5"/>
  <c r="E276" i="5"/>
  <c r="E283" i="5"/>
  <c r="E100" i="5"/>
  <c r="E281" i="5"/>
  <c r="E85" i="5"/>
  <c r="E54" i="5"/>
  <c r="E56" i="5"/>
  <c r="E172" i="5"/>
  <c r="E290" i="5"/>
  <c r="E166" i="5"/>
  <c r="E208" i="5"/>
  <c r="E245" i="5"/>
  <c r="E219" i="5"/>
  <c r="E298" i="5"/>
  <c r="E150" i="5"/>
  <c r="E304" i="5"/>
  <c r="E99" i="5"/>
  <c r="E300" i="5"/>
  <c r="E126" i="5"/>
  <c r="E112" i="5"/>
  <c r="E258" i="5"/>
  <c r="E200" i="5"/>
  <c r="E143" i="5"/>
  <c r="E163" i="5"/>
  <c r="E132" i="5"/>
  <c r="C11" i="5"/>
  <c r="C12" i="5" s="1"/>
  <c r="E104" i="5"/>
  <c r="E165" i="5"/>
  <c r="E268" i="5"/>
  <c r="E125" i="5"/>
  <c r="E243" i="5"/>
  <c r="E286" i="5"/>
  <c r="E308" i="5"/>
  <c r="E271" i="5"/>
  <c r="E71" i="5"/>
  <c r="E140" i="5"/>
  <c r="E284" i="5"/>
  <c r="E195" i="5"/>
  <c r="E251" i="5"/>
  <c r="E260" i="5"/>
  <c r="E173" i="5"/>
  <c r="E202" i="5"/>
  <c r="E221" i="5"/>
  <c r="E305" i="5"/>
  <c r="E134" i="5"/>
  <c r="E91" i="5"/>
  <c r="E265" i="5"/>
  <c r="E209" i="5"/>
  <c r="E64" i="5"/>
  <c r="E139" i="5"/>
  <c r="E272" i="5"/>
  <c r="E156" i="5"/>
  <c r="E262" i="5"/>
  <c r="E144" i="5"/>
  <c r="E217" i="5"/>
  <c r="E226" i="5"/>
  <c r="E119" i="5"/>
  <c r="E174" i="5"/>
  <c r="E154" i="5"/>
  <c r="E65" i="5"/>
  <c r="E231" i="5"/>
  <c r="E253" i="5"/>
  <c r="E285" i="5"/>
  <c r="E201" i="5"/>
  <c r="E299" i="5"/>
  <c r="E194" i="5"/>
  <c r="E158" i="5"/>
  <c r="E73" i="5"/>
  <c r="E244" i="5"/>
  <c r="E155" i="5"/>
  <c r="E103" i="5"/>
  <c r="E301" i="5"/>
  <c r="E237" i="5"/>
  <c r="E289" i="5"/>
  <c r="E266" i="5"/>
  <c r="E90" i="5"/>
  <c r="E270" i="5"/>
  <c r="O17" i="2"/>
  <c r="E255" i="5"/>
  <c r="E234" i="5"/>
  <c r="E80" i="5"/>
  <c r="E232" i="5"/>
  <c r="E250" i="5"/>
  <c r="E211" i="5"/>
  <c r="E176" i="5"/>
  <c r="E127" i="5"/>
  <c r="E83" i="5"/>
  <c r="E246" i="5"/>
  <c r="E227" i="5"/>
  <c r="E105" i="5"/>
  <c r="E240" i="5"/>
  <c r="E113" i="5"/>
  <c r="E312" i="5"/>
  <c r="E273" i="5"/>
  <c r="E59" i="5"/>
  <c r="E108" i="5"/>
  <c r="E280" i="5"/>
  <c r="E136" i="5"/>
  <c r="E84" i="5"/>
  <c r="E89" i="5"/>
  <c r="E186" i="5"/>
  <c r="E230" i="5"/>
  <c r="E159" i="5"/>
  <c r="E115" i="5"/>
  <c r="E133" i="5"/>
  <c r="C13" i="5"/>
  <c r="H5" i="5" s="1"/>
  <c r="E302" i="5"/>
  <c r="E295" i="5"/>
  <c r="E124" i="5"/>
  <c r="E259" i="5"/>
  <c r="E207" i="5"/>
  <c r="E277" i="5"/>
  <c r="E247" i="5"/>
  <c r="E310" i="5"/>
  <c r="E242" i="5"/>
  <c r="E147" i="5"/>
  <c r="E180" i="5"/>
  <c r="E66" i="5"/>
  <c r="E241" i="5"/>
  <c r="E294" i="5"/>
  <c r="E282" i="5"/>
  <c r="E213" i="5"/>
  <c r="E192" i="5"/>
  <c r="E235" i="5"/>
  <c r="E191" i="5"/>
  <c r="E167" i="5"/>
  <c r="E198" i="5"/>
  <c r="E137" i="5"/>
  <c r="E168" i="5"/>
  <c r="E210" i="5"/>
  <c r="E88" i="5"/>
  <c r="E225" i="5"/>
  <c r="E117" i="5"/>
  <c r="E278" i="5"/>
  <c r="E98" i="5"/>
  <c r="E146" i="5"/>
  <c r="E261" i="5"/>
  <c r="E75" i="5"/>
  <c r="E102" i="5"/>
  <c r="E62" i="5"/>
  <c r="E220" i="5"/>
  <c r="E160" i="5"/>
  <c r="E293" i="5"/>
  <c r="E269" i="5"/>
  <c r="E229" i="5"/>
  <c r="E212" i="5"/>
  <c r="E179" i="5"/>
  <c r="E238" i="5"/>
  <c r="E205" i="5"/>
  <c r="E249" i="5"/>
  <c r="E292" i="5"/>
  <c r="E257" i="5"/>
  <c r="E151" i="5"/>
  <c r="E162" i="5"/>
  <c r="E161" i="5"/>
  <c r="E264" i="5"/>
  <c r="E101" i="5"/>
  <c r="E190" i="5"/>
  <c r="E248" i="5"/>
  <c r="E129" i="5"/>
  <c r="E169" i="5"/>
  <c r="E197" i="5"/>
  <c r="E252" i="5"/>
  <c r="E215" i="5"/>
  <c r="E214" i="5"/>
  <c r="E135" i="5"/>
  <c r="E53" i="5"/>
  <c r="E114" i="5"/>
  <c r="E96" i="5"/>
  <c r="E60" i="5"/>
  <c r="E58" i="5"/>
  <c r="H17" i="5"/>
  <c r="F18" i="5" s="1"/>
  <c r="E18" i="5" s="1"/>
  <c r="G18" i="5" s="1"/>
  <c r="K42" i="3"/>
  <c r="L47" i="3"/>
  <c r="L48" i="3" s="1"/>
  <c r="J42" i="3"/>
  <c r="O14" i="3"/>
  <c r="E42" i="3"/>
  <c r="G42" i="3"/>
  <c r="F42" i="3"/>
  <c r="I42" i="3"/>
  <c r="H42" i="3"/>
  <c r="F7" i="4"/>
  <c r="D15" i="4"/>
  <c r="D10" i="4"/>
  <c r="F17" i="3" l="1"/>
  <c r="E17" i="3"/>
  <c r="G17" i="3"/>
  <c r="D18" i="5"/>
  <c r="H18" i="5" s="1"/>
  <c r="H25" i="3"/>
  <c r="F25" i="3"/>
  <c r="I25" i="3"/>
  <c r="K25" i="3"/>
  <c r="G25" i="3"/>
  <c r="J25" i="3"/>
  <c r="D19" i="4"/>
  <c r="G16" i="4"/>
  <c r="D24" i="4"/>
  <c r="F19" i="5" l="1"/>
  <c r="E19" i="5" s="1"/>
  <c r="G19" i="5" s="1"/>
  <c r="D19" i="5"/>
  <c r="D28" i="4"/>
  <c r="H25" i="4"/>
  <c r="H19" i="5" l="1"/>
  <c r="F20" i="5" l="1"/>
  <c r="E20" i="5" s="1"/>
  <c r="G20" i="5" s="1"/>
  <c r="D20" i="5"/>
  <c r="H20" i="5" l="1"/>
  <c r="D21" i="5" l="1"/>
  <c r="F21" i="5"/>
  <c r="E21" i="5" s="1"/>
  <c r="G21" i="5" s="1"/>
  <c r="H21" i="5" l="1"/>
  <c r="F22" i="5" l="1"/>
  <c r="E22" i="5" s="1"/>
  <c r="G22" i="5" s="1"/>
  <c r="D22" i="5"/>
  <c r="H22" i="5" l="1"/>
  <c r="D23" i="5" l="1"/>
  <c r="F23" i="5"/>
  <c r="E23" i="5" s="1"/>
  <c r="G23" i="5" s="1"/>
  <c r="H23" i="5" l="1"/>
  <c r="F24" i="5" l="1"/>
  <c r="E24" i="5" s="1"/>
  <c r="G24" i="5" s="1"/>
  <c r="D24" i="5"/>
  <c r="H24" i="5" l="1"/>
  <c r="F25" i="5" s="1"/>
  <c r="E25" i="5" s="1"/>
  <c r="G25" i="5" s="1"/>
  <c r="D25" i="5" l="1"/>
  <c r="H25" i="5" s="1"/>
  <c r="F26" i="5" l="1"/>
  <c r="E26" i="5" s="1"/>
  <c r="G26" i="5" s="1"/>
  <c r="D26" i="5"/>
  <c r="H26" i="5" l="1"/>
  <c r="D27" i="5" s="1"/>
  <c r="F27" i="5" l="1"/>
  <c r="E27" i="5" s="1"/>
  <c r="G27" i="5" s="1"/>
  <c r="H27" i="5" s="1"/>
  <c r="D28" i="5" s="1"/>
  <c r="F28" i="5" l="1"/>
  <c r="E28" i="5" s="1"/>
  <c r="G28" i="5" s="1"/>
  <c r="I28" i="5" s="1"/>
  <c r="H28" i="5" l="1"/>
  <c r="D29" i="5" s="1"/>
  <c r="F29" i="5"/>
  <c r="E40" i="3"/>
  <c r="E41" i="3" s="1"/>
  <c r="E43" i="3" s="1"/>
  <c r="E29" i="5" l="1"/>
  <c r="G29" i="5" s="1"/>
  <c r="H29" i="5" s="1"/>
  <c r="D30" i="5" l="1"/>
  <c r="F30" i="5"/>
  <c r="E30" i="5" l="1"/>
  <c r="G30" i="5" s="1"/>
  <c r="H30" i="5" s="1"/>
  <c r="D31" i="5" l="1"/>
  <c r="F31" i="5"/>
  <c r="E31" i="5" l="1"/>
  <c r="G31" i="5" s="1"/>
  <c r="H31" i="5" s="1"/>
  <c r="D32" i="5" l="1"/>
  <c r="F32" i="5"/>
  <c r="E32" i="5" l="1"/>
  <c r="G32" i="5" s="1"/>
  <c r="H32" i="5" s="1"/>
  <c r="F33" i="5" l="1"/>
  <c r="D33" i="5"/>
  <c r="E33" i="5" l="1"/>
  <c r="G33" i="5" s="1"/>
  <c r="H33" i="5" s="1"/>
  <c r="D34" i="5" s="1"/>
  <c r="F34" i="5" l="1"/>
  <c r="E34" i="5" l="1"/>
  <c r="G34" i="5" s="1"/>
  <c r="H34" i="5" s="1"/>
  <c r="D35" i="5" l="1"/>
  <c r="F35" i="5"/>
  <c r="E35" i="5" l="1"/>
  <c r="G35" i="5" s="1"/>
  <c r="H35" i="5" s="1"/>
  <c r="F36" i="5" l="1"/>
  <c r="D36" i="5"/>
  <c r="E36" i="5" l="1"/>
  <c r="G36" i="5" s="1"/>
  <c r="H36" i="5" s="1"/>
  <c r="D37" i="5" l="1"/>
  <c r="F37" i="5"/>
  <c r="E37" i="5" l="1"/>
  <c r="G37" i="5" s="1"/>
  <c r="H37" i="5" s="1"/>
  <c r="D38" i="5" l="1"/>
  <c r="F38" i="5"/>
  <c r="E38" i="5" l="1"/>
  <c r="G38" i="5" s="1"/>
  <c r="H38" i="5" s="1"/>
  <c r="D39" i="5" l="1"/>
  <c r="F39" i="5"/>
  <c r="E39" i="5" l="1"/>
  <c r="G39" i="5" s="1"/>
  <c r="H39" i="5" s="1"/>
  <c r="D40" i="5" l="1"/>
  <c r="F40" i="5"/>
  <c r="E18" i="3"/>
  <c r="E19" i="3"/>
  <c r="E40" i="5" l="1"/>
  <c r="G40" i="5" s="1"/>
  <c r="E22" i="3"/>
  <c r="E26" i="4"/>
  <c r="I40" i="5" l="1"/>
  <c r="H40" i="5"/>
  <c r="E28" i="4"/>
  <c r="E17" i="4"/>
  <c r="E33" i="3"/>
  <c r="E23" i="3"/>
  <c r="F41" i="5" l="1"/>
  <c r="D41" i="5"/>
  <c r="F40" i="3"/>
  <c r="E25" i="3"/>
  <c r="E19" i="4"/>
  <c r="E8" i="4"/>
  <c r="E10" i="4" s="1"/>
  <c r="F41" i="3" l="1"/>
  <c r="F43" i="3" s="1"/>
  <c r="L15" i="2"/>
  <c r="N15" i="2"/>
  <c r="Q15" i="2"/>
  <c r="M15" i="2"/>
  <c r="P15" i="2"/>
  <c r="O15" i="2"/>
  <c r="K15" i="2"/>
  <c r="E41" i="5"/>
  <c r="G41" i="5" s="1"/>
  <c r="H41" i="5" s="1"/>
  <c r="E26" i="3"/>
  <c r="E29" i="3" s="1"/>
  <c r="E32" i="3" s="1"/>
  <c r="D42" i="5" l="1"/>
  <c r="F42" i="5"/>
  <c r="F9" i="4"/>
  <c r="H27" i="4"/>
  <c r="E28" i="3"/>
  <c r="E31" i="3" s="1"/>
  <c r="E42" i="5" l="1"/>
  <c r="G42" i="5" s="1"/>
  <c r="H42" i="5" s="1"/>
  <c r="D43" i="5" l="1"/>
  <c r="F43" i="5"/>
  <c r="E43" i="5" l="1"/>
  <c r="G43" i="5" s="1"/>
  <c r="H43" i="5" s="1"/>
  <c r="D44" i="5" l="1"/>
  <c r="F44" i="5"/>
  <c r="E44" i="5" l="1"/>
  <c r="G44" i="5" s="1"/>
  <c r="H44" i="5" s="1"/>
  <c r="D45" i="5" l="1"/>
  <c r="F45" i="5"/>
  <c r="E45" i="5" l="1"/>
  <c r="G45" i="5" s="1"/>
  <c r="H45" i="5" s="1"/>
  <c r="D46" i="5" l="1"/>
  <c r="F46" i="5"/>
  <c r="E46" i="5" l="1"/>
  <c r="G46" i="5" s="1"/>
  <c r="H46" i="5" s="1"/>
  <c r="F47" i="5" l="1"/>
  <c r="D47" i="5"/>
  <c r="E47" i="5" l="1"/>
  <c r="G47" i="5" s="1"/>
  <c r="H47" i="5" s="1"/>
  <c r="D48" i="5" l="1"/>
  <c r="F48" i="5"/>
  <c r="E48" i="5" l="1"/>
  <c r="G48" i="5" s="1"/>
  <c r="H48" i="5" s="1"/>
  <c r="F49" i="5" l="1"/>
  <c r="D49" i="5"/>
  <c r="E49" i="5" l="1"/>
  <c r="G49" i="5" s="1"/>
  <c r="H49" i="5" s="1"/>
  <c r="F18" i="3"/>
  <c r="F22" i="3" s="1"/>
  <c r="F33" i="3" s="1"/>
  <c r="F19" i="3"/>
  <c r="F50" i="5" l="1"/>
  <c r="D50" i="5"/>
  <c r="F23" i="3"/>
  <c r="F26" i="3" s="1"/>
  <c r="E50" i="5" l="1"/>
  <c r="G50" i="5" s="1"/>
  <c r="H50" i="5" s="1"/>
  <c r="F29" i="3"/>
  <c r="F32" i="3" s="1"/>
  <c r="F28" i="3"/>
  <c r="F31" i="3" s="1"/>
  <c r="F51" i="5" l="1"/>
  <c r="D51" i="5"/>
  <c r="E51" i="5" l="1"/>
  <c r="G51" i="5" s="1"/>
  <c r="H51" i="5" s="1"/>
  <c r="D52" i="5" l="1"/>
  <c r="F52" i="5"/>
  <c r="E52" i="5" l="1"/>
  <c r="G52" i="5" s="1"/>
  <c r="I52" i="5" l="1"/>
  <c r="H52" i="5"/>
  <c r="F53" i="5" l="1"/>
  <c r="G53" i="5" s="1"/>
  <c r="D53" i="5"/>
  <c r="G40" i="3"/>
  <c r="G41" i="3" s="1"/>
  <c r="G43" i="3" s="1"/>
  <c r="H53" i="5" l="1"/>
  <c r="D54" i="5" s="1"/>
  <c r="G18" i="4"/>
  <c r="F54" i="5" l="1"/>
  <c r="G54" i="5" s="1"/>
  <c r="H54" i="5" s="1"/>
  <c r="D55" i="5" l="1"/>
  <c r="F55" i="5"/>
  <c r="G55" i="5" s="1"/>
  <c r="H55" i="5" l="1"/>
  <c r="D56" i="5" l="1"/>
  <c r="F56" i="5"/>
  <c r="G56" i="5" s="1"/>
  <c r="H56" i="5" l="1"/>
  <c r="F57" i="5" l="1"/>
  <c r="G57" i="5" s="1"/>
  <c r="D57" i="5"/>
  <c r="H57" i="5" l="1"/>
  <c r="D58" i="5" s="1"/>
  <c r="F58" i="5" l="1"/>
  <c r="G58" i="5" s="1"/>
  <c r="H58" i="5" s="1"/>
  <c r="D59" i="5" l="1"/>
  <c r="F59" i="5"/>
  <c r="G59" i="5" s="1"/>
  <c r="H59" i="5" l="1"/>
  <c r="F60" i="5" s="1"/>
  <c r="G60" i="5" s="1"/>
  <c r="D60" i="5" l="1"/>
  <c r="H60" i="5" s="1"/>
  <c r="G18" i="3"/>
  <c r="G19" i="3"/>
  <c r="D61" i="5" l="1"/>
  <c r="F61" i="5"/>
  <c r="G61" i="5" s="1"/>
  <c r="F26" i="4"/>
  <c r="G22" i="3"/>
  <c r="G33" i="3" s="1"/>
  <c r="H61" i="5" l="1"/>
  <c r="D62" i="5" s="1"/>
  <c r="G23" i="3"/>
  <c r="G26" i="3" s="1"/>
  <c r="F28" i="4"/>
  <c r="F17" i="4"/>
  <c r="F62" i="5" l="1"/>
  <c r="G62" i="5" s="1"/>
  <c r="H62" i="5" s="1"/>
  <c r="G29" i="3"/>
  <c r="G32" i="3" s="1"/>
  <c r="G28" i="3"/>
  <c r="G31" i="3" s="1"/>
  <c r="F19" i="4"/>
  <c r="F8" i="4"/>
  <c r="F10" i="4" s="1"/>
  <c r="G10" i="4" s="1"/>
  <c r="F63" i="5" l="1"/>
  <c r="G63" i="5" s="1"/>
  <c r="D63" i="5"/>
  <c r="F34" i="3"/>
  <c r="H63" i="5" l="1"/>
  <c r="D64" i="5" s="1"/>
  <c r="F64" i="5" l="1"/>
  <c r="G64" i="5" s="1"/>
  <c r="I64" i="5" s="1"/>
  <c r="H64" i="5" l="1"/>
  <c r="F65" i="5" s="1"/>
  <c r="G65" i="5" s="1"/>
  <c r="H40" i="3"/>
  <c r="H41" i="3" s="1"/>
  <c r="H43" i="3" s="1"/>
  <c r="D65" i="5" l="1"/>
  <c r="H65" i="5" s="1"/>
  <c r="D66" i="5" l="1"/>
  <c r="F66" i="5"/>
  <c r="G66" i="5" s="1"/>
  <c r="H66" i="5" s="1"/>
  <c r="F67" i="5" s="1"/>
  <c r="G67" i="5" s="1"/>
  <c r="D67" i="5"/>
  <c r="H67" i="5" s="1"/>
  <c r="F68" i="5" s="1"/>
  <c r="G68" i="5" s="1"/>
  <c r="D68" i="5" l="1"/>
  <c r="H68" i="5" s="1"/>
  <c r="D69" i="5" s="1"/>
  <c r="F69" i="5" l="1"/>
  <c r="G69" i="5" s="1"/>
  <c r="H69" i="5" s="1"/>
  <c r="D70" i="5" s="1"/>
  <c r="F70" i="5" l="1"/>
  <c r="G70" i="5" s="1"/>
  <c r="H70" i="5" s="1"/>
  <c r="F71" i="5" l="1"/>
  <c r="G71" i="5" s="1"/>
  <c r="D71" i="5"/>
  <c r="H71" i="5" l="1"/>
  <c r="D72" i="5" s="1"/>
  <c r="F72" i="5" l="1"/>
  <c r="G72" i="5" s="1"/>
  <c r="H72" i="5" s="1"/>
  <c r="F73" i="5" l="1"/>
  <c r="G73" i="5" s="1"/>
  <c r="D73" i="5"/>
  <c r="H73" i="5" l="1"/>
  <c r="D74" i="5" s="1"/>
  <c r="F74" i="5" l="1"/>
  <c r="G74" i="5" s="1"/>
  <c r="H74" i="5" s="1"/>
  <c r="D75" i="5" s="1"/>
  <c r="F75" i="5" l="1"/>
  <c r="G75" i="5" s="1"/>
  <c r="H75" i="5" s="1"/>
  <c r="F76" i="5" l="1"/>
  <c r="G76" i="5" s="1"/>
  <c r="I76" i="5" s="1"/>
  <c r="H17" i="3" s="1"/>
  <c r="H18" i="3" s="1"/>
  <c r="D76" i="5"/>
  <c r="H76" i="5" l="1"/>
  <c r="D77" i="5" s="1"/>
  <c r="H19" i="3"/>
  <c r="H22" i="3"/>
  <c r="H33" i="3" s="1"/>
  <c r="G26" i="4"/>
  <c r="F77" i="5" l="1"/>
  <c r="G77" i="5" s="1"/>
  <c r="H77" i="5" s="1"/>
  <c r="D5" i="6"/>
  <c r="F267" i="6" s="1"/>
  <c r="D78" i="5"/>
  <c r="F78" i="5"/>
  <c r="G78" i="5" s="1"/>
  <c r="G28" i="4"/>
  <c r="G17" i="4"/>
  <c r="G19" i="4" s="1"/>
  <c r="H19" i="4" s="1"/>
  <c r="H23" i="3"/>
  <c r="H26" i="3" s="1"/>
  <c r="F53" i="6" l="1"/>
  <c r="F208" i="6"/>
  <c r="F67" i="6"/>
  <c r="F100" i="6"/>
  <c r="F80" i="6"/>
  <c r="F184" i="6"/>
  <c r="F93" i="6"/>
  <c r="F337" i="6"/>
  <c r="F42" i="6"/>
  <c r="F118" i="6"/>
  <c r="F115" i="6"/>
  <c r="F49" i="6"/>
  <c r="F45" i="6"/>
  <c r="F50" i="6"/>
  <c r="F62" i="6"/>
  <c r="F283" i="6"/>
  <c r="F157" i="6"/>
  <c r="F151" i="6"/>
  <c r="F275" i="6"/>
  <c r="F231" i="6"/>
  <c r="F239" i="6"/>
  <c r="F117" i="6"/>
  <c r="F250" i="6"/>
  <c r="F245" i="6"/>
  <c r="F216" i="6"/>
  <c r="F321" i="6"/>
  <c r="F125" i="6"/>
  <c r="F51" i="6"/>
  <c r="F135" i="6"/>
  <c r="F75" i="6"/>
  <c r="F76" i="6"/>
  <c r="F128" i="6"/>
  <c r="F219" i="6"/>
  <c r="F81" i="6"/>
  <c r="F203" i="6"/>
  <c r="F313" i="6"/>
  <c r="F72" i="6"/>
  <c r="F158" i="6"/>
  <c r="F176" i="6"/>
  <c r="F47" i="6"/>
  <c r="F141" i="6"/>
  <c r="F263" i="6"/>
  <c r="F85" i="6"/>
  <c r="F79" i="6"/>
  <c r="F124" i="6"/>
  <c r="F164" i="6"/>
  <c r="F304" i="6"/>
  <c r="F160" i="6"/>
  <c r="F64" i="6"/>
  <c r="F133" i="6"/>
  <c r="F172" i="6"/>
  <c r="F291" i="6"/>
  <c r="F97" i="6"/>
  <c r="F137" i="6"/>
  <c r="F56" i="6"/>
  <c r="F77" i="6"/>
  <c r="F134" i="6"/>
  <c r="I16" i="6"/>
  <c r="E17" i="6" s="1"/>
  <c r="G17" i="6" s="1"/>
  <c r="F17" i="6" s="1"/>
  <c r="H17" i="6" s="1"/>
  <c r="F78" i="6"/>
  <c r="F84" i="6"/>
  <c r="F166" i="6"/>
  <c r="F154" i="6"/>
  <c r="F202" i="6"/>
  <c r="F188" i="6"/>
  <c r="F224" i="6"/>
  <c r="F232" i="6"/>
  <c r="F221" i="6"/>
  <c r="F193" i="6"/>
  <c r="F274" i="6"/>
  <c r="F187" i="6"/>
  <c r="F127" i="6"/>
  <c r="F211" i="6"/>
  <c r="F179" i="6"/>
  <c r="F143" i="6"/>
  <c r="F59" i="6"/>
  <c r="F111" i="6"/>
  <c r="F162" i="6"/>
  <c r="F107" i="6"/>
  <c r="F155" i="6"/>
  <c r="F178" i="6"/>
  <c r="F101" i="6"/>
  <c r="F269" i="6"/>
  <c r="F171" i="6"/>
  <c r="F149" i="6"/>
  <c r="F136" i="6"/>
  <c r="F318" i="6"/>
  <c r="F70" i="6"/>
  <c r="F94" i="6"/>
  <c r="F261" i="6"/>
  <c r="F189" i="6"/>
  <c r="F297" i="6"/>
  <c r="F43" i="6"/>
  <c r="F142" i="6"/>
  <c r="F150" i="6"/>
  <c r="F210" i="6"/>
  <c r="F89" i="6"/>
  <c r="F295" i="6"/>
  <c r="F276" i="6"/>
  <c r="F48" i="6"/>
  <c r="F90" i="6"/>
  <c r="F198" i="6"/>
  <c r="F131" i="6"/>
  <c r="F95" i="6"/>
  <c r="F173" i="6"/>
  <c r="F109" i="6"/>
  <c r="F174" i="6"/>
  <c r="F156" i="6"/>
  <c r="F112" i="6"/>
  <c r="F205" i="6"/>
  <c r="F213" i="6"/>
  <c r="F146" i="6"/>
  <c r="F98" i="6"/>
  <c r="F335" i="6"/>
  <c r="F340" i="6"/>
  <c r="F248" i="6"/>
  <c r="F227" i="6"/>
  <c r="F182" i="6"/>
  <c r="F74" i="6"/>
  <c r="F243" i="6"/>
  <c r="F183" i="6"/>
  <c r="F102" i="6"/>
  <c r="F235" i="6"/>
  <c r="F329" i="6"/>
  <c r="F87" i="6"/>
  <c r="F277" i="6"/>
  <c r="F122" i="6"/>
  <c r="F103" i="6"/>
  <c r="F315" i="6"/>
  <c r="F339" i="6"/>
  <c r="F120" i="6"/>
  <c r="F104" i="6"/>
  <c r="F218" i="6"/>
  <c r="F132" i="6"/>
  <c r="F259" i="6"/>
  <c r="F163" i="6"/>
  <c r="F54" i="6"/>
  <c r="F86" i="6"/>
  <c r="F253" i="6"/>
  <c r="F299" i="6"/>
  <c r="F69" i="6"/>
  <c r="F126" i="6"/>
  <c r="F123" i="6"/>
  <c r="F68" i="6"/>
  <c r="F61" i="6"/>
  <c r="F66" i="6"/>
  <c r="F63" i="6"/>
  <c r="F99" i="6"/>
  <c r="F71" i="6"/>
  <c r="F114" i="6"/>
  <c r="F105" i="6"/>
  <c r="F129" i="6"/>
  <c r="F44" i="6"/>
  <c r="F161" i="6"/>
  <c r="F170" i="6"/>
  <c r="F106" i="6"/>
  <c r="F186" i="6"/>
  <c r="F82" i="6"/>
  <c r="F190" i="6"/>
  <c r="F52" i="6"/>
  <c r="F65" i="6"/>
  <c r="F110" i="6"/>
  <c r="F96" i="6"/>
  <c r="F148" i="6"/>
  <c r="F55" i="6"/>
  <c r="F165" i="6"/>
  <c r="F116" i="6"/>
  <c r="F258" i="6"/>
  <c r="F266" i="6"/>
  <c r="F91" i="6"/>
  <c r="F237" i="6"/>
  <c r="F236" i="6"/>
  <c r="F119" i="6"/>
  <c r="F255" i="6"/>
  <c r="F251" i="6"/>
  <c r="F240" i="6"/>
  <c r="F46" i="6"/>
  <c r="F307" i="6"/>
  <c r="F326" i="6"/>
  <c r="F247" i="6"/>
  <c r="F194" i="6"/>
  <c r="F334" i="6"/>
  <c r="F159" i="6"/>
  <c r="F324" i="6"/>
  <c r="F175" i="6"/>
  <c r="F152" i="6"/>
  <c r="F206" i="6"/>
  <c r="F180" i="6"/>
  <c r="F222" i="6"/>
  <c r="F130" i="6"/>
  <c r="F167" i="6"/>
  <c r="F195" i="6"/>
  <c r="F207" i="6"/>
  <c r="F83" i="6"/>
  <c r="F145" i="6"/>
  <c r="F197" i="6"/>
  <c r="F249" i="6"/>
  <c r="F265" i="6"/>
  <c r="F262" i="6"/>
  <c r="F287" i="6"/>
  <c r="F191" i="6"/>
  <c r="F226" i="6"/>
  <c r="F270" i="6"/>
  <c r="F268" i="6"/>
  <c r="F271" i="6"/>
  <c r="F282" i="6"/>
  <c r="F238" i="6"/>
  <c r="F230" i="6"/>
  <c r="F303" i="6"/>
  <c r="F144" i="6"/>
  <c r="F177" i="6"/>
  <c r="F199" i="6"/>
  <c r="F323" i="6"/>
  <c r="F192" i="6"/>
  <c r="F229" i="6"/>
  <c r="F310" i="6"/>
  <c r="F314" i="6"/>
  <c r="F285" i="6"/>
  <c r="F212" i="6"/>
  <c r="F333" i="6"/>
  <c r="F139" i="6"/>
  <c r="F233" i="6"/>
  <c r="F121" i="6"/>
  <c r="F41" i="6"/>
  <c r="F169" i="6"/>
  <c r="D11" i="6"/>
  <c r="D12" i="6" s="1"/>
  <c r="F209" i="6"/>
  <c r="F200" i="6"/>
  <c r="F234" i="6"/>
  <c r="F279" i="6"/>
  <c r="F290" i="6"/>
  <c r="F273" i="6"/>
  <c r="F284" i="6"/>
  <c r="F260" i="6"/>
  <c r="F252" i="6"/>
  <c r="F257" i="6"/>
  <c r="F196" i="6"/>
  <c r="F214" i="6"/>
  <c r="F168" i="6"/>
  <c r="F300" i="6"/>
  <c r="F306" i="6"/>
  <c r="F88" i="6"/>
  <c r="F331" i="6"/>
  <c r="F201" i="6"/>
  <c r="F138" i="6"/>
  <c r="F322" i="6"/>
  <c r="F327" i="6"/>
  <c r="F220" i="6"/>
  <c r="F181" i="6"/>
  <c r="F308" i="6"/>
  <c r="F241" i="6"/>
  <c r="F185" i="6"/>
  <c r="F311" i="6"/>
  <c r="F246" i="6"/>
  <c r="F264" i="6"/>
  <c r="F256" i="6"/>
  <c r="F242" i="6"/>
  <c r="F281" i="6"/>
  <c r="F292" i="6"/>
  <c r="F288" i="6"/>
  <c r="F286" i="6"/>
  <c r="F280" i="6"/>
  <c r="F278" i="6"/>
  <c r="F316" i="6"/>
  <c r="F319" i="6"/>
  <c r="F332" i="6"/>
  <c r="F298" i="6"/>
  <c r="F320" i="6"/>
  <c r="F153" i="6"/>
  <c r="F305" i="6"/>
  <c r="F325" i="6"/>
  <c r="F58" i="6"/>
  <c r="F73" i="6"/>
  <c r="F293" i="6"/>
  <c r="F204" i="6"/>
  <c r="F330" i="6"/>
  <c r="F147" i="6"/>
  <c r="F254" i="6"/>
  <c r="F92" i="6"/>
  <c r="F140" i="6"/>
  <c r="F296" i="6"/>
  <c r="F294" i="6"/>
  <c r="F302" i="6"/>
  <c r="F312" i="6"/>
  <c r="F309" i="6"/>
  <c r="F301" i="6"/>
  <c r="F57" i="6"/>
  <c r="F108" i="6"/>
  <c r="F317" i="6"/>
  <c r="F215" i="6"/>
  <c r="F328" i="6"/>
  <c r="F244" i="6"/>
  <c r="F223" i="6"/>
  <c r="F336" i="6"/>
  <c r="F272" i="6"/>
  <c r="F113" i="6"/>
  <c r="F289" i="6"/>
  <c r="F228" i="6"/>
  <c r="F225" i="6"/>
  <c r="F338" i="6"/>
  <c r="F217" i="6"/>
  <c r="F60" i="6"/>
  <c r="H78" i="5"/>
  <c r="H29" i="3"/>
  <c r="H32" i="3" s="1"/>
  <c r="H28" i="3"/>
  <c r="H31" i="3" s="1"/>
  <c r="G34" i="3"/>
  <c r="I17" i="6" l="1"/>
  <c r="E18" i="6" s="1"/>
  <c r="G18" i="6"/>
  <c r="F18" i="6" s="1"/>
  <c r="H18" i="6" s="1"/>
  <c r="D79" i="5"/>
  <c r="F79" i="5"/>
  <c r="G79" i="5" s="1"/>
  <c r="H79" i="5" l="1"/>
  <c r="D80" i="5" s="1"/>
  <c r="I18" i="6"/>
  <c r="F80" i="5" l="1"/>
  <c r="G80" i="5" s="1"/>
  <c r="H80" i="5" s="1"/>
  <c r="G19" i="6"/>
  <c r="F19" i="6" s="1"/>
  <c r="H19" i="6" s="1"/>
  <c r="E19" i="6"/>
  <c r="I19" i="6" l="1"/>
  <c r="E20" i="6" s="1"/>
  <c r="F81" i="5"/>
  <c r="G81" i="5" s="1"/>
  <c r="D81" i="5"/>
  <c r="H81" i="5" l="1"/>
  <c r="D82" i="5" s="1"/>
  <c r="G20" i="6"/>
  <c r="F20" i="6" s="1"/>
  <c r="H20" i="6" s="1"/>
  <c r="I20" i="6" s="1"/>
  <c r="F82" i="5" l="1"/>
  <c r="G82" i="5" s="1"/>
  <c r="H82" i="5" s="1"/>
  <c r="E21" i="6"/>
  <c r="G21" i="6"/>
  <c r="F21" i="6" s="1"/>
  <c r="H21" i="6" s="1"/>
  <c r="I21" i="6" l="1"/>
  <c r="D83" i="5"/>
  <c r="F83" i="5"/>
  <c r="G83" i="5" s="1"/>
  <c r="H83" i="5" l="1"/>
  <c r="G22" i="6"/>
  <c r="F22" i="6" s="1"/>
  <c r="H22" i="6" s="1"/>
  <c r="E22" i="6"/>
  <c r="I22" i="6" l="1"/>
  <c r="E23" i="6" s="1"/>
  <c r="F84" i="5"/>
  <c r="G84" i="5" s="1"/>
  <c r="D84" i="5"/>
  <c r="G23" i="6" l="1"/>
  <c r="F23" i="6" s="1"/>
  <c r="H23" i="6" s="1"/>
  <c r="I23" i="6" s="1"/>
  <c r="H84" i="5"/>
  <c r="D85" i="5" s="1"/>
  <c r="F85" i="5" l="1"/>
  <c r="G85" i="5" s="1"/>
  <c r="H85" i="5" s="1"/>
  <c r="E24" i="6"/>
  <c r="G24" i="6"/>
  <c r="F24" i="6" s="1"/>
  <c r="H24" i="6" s="1"/>
  <c r="D86" i="5" l="1"/>
  <c r="F86" i="5"/>
  <c r="G86" i="5" s="1"/>
  <c r="I24" i="6"/>
  <c r="E25" i="6" l="1"/>
  <c r="G25" i="6"/>
  <c r="F25" i="6" s="1"/>
  <c r="H25" i="6" s="1"/>
  <c r="H86" i="5"/>
  <c r="D87" i="5" l="1"/>
  <c r="F87" i="5"/>
  <c r="G87" i="5" s="1"/>
  <c r="I25" i="6"/>
  <c r="E26" i="6" l="1"/>
  <c r="G26" i="6"/>
  <c r="F26" i="6" s="1"/>
  <c r="H26" i="6" s="1"/>
  <c r="H87" i="5"/>
  <c r="D88" i="5" l="1"/>
  <c r="F88" i="5"/>
  <c r="G88" i="5" s="1"/>
  <c r="I88" i="5" s="1"/>
  <c r="I17" i="3" s="1"/>
  <c r="I26" i="6"/>
  <c r="G27" i="6" l="1"/>
  <c r="F27" i="6" s="1"/>
  <c r="H27" i="6" s="1"/>
  <c r="E27" i="6"/>
  <c r="I19" i="3"/>
  <c r="I18" i="3"/>
  <c r="H88" i="5"/>
  <c r="I27" i="6" l="1"/>
  <c r="F89" i="5"/>
  <c r="G89" i="5" s="1"/>
  <c r="D89" i="5"/>
  <c r="H26" i="4"/>
  <c r="H28" i="4" s="1"/>
  <c r="I28" i="4" s="1"/>
  <c r="I22" i="3"/>
  <c r="I23" i="3" l="1"/>
  <c r="I26" i="3" s="1"/>
  <c r="H34" i="3"/>
  <c r="H89" i="5"/>
  <c r="E28" i="6"/>
  <c r="G28" i="6"/>
  <c r="F28" i="6" s="1"/>
  <c r="H28" i="6" s="1"/>
  <c r="J28" i="6" s="1"/>
  <c r="D90" i="5" l="1"/>
  <c r="F90" i="5"/>
  <c r="G90" i="5" s="1"/>
  <c r="I28" i="6"/>
  <c r="I29" i="3"/>
  <c r="I32" i="3" s="1"/>
  <c r="I28" i="3"/>
  <c r="I31" i="3" s="1"/>
  <c r="E29" i="6" l="1"/>
  <c r="G29" i="6"/>
  <c r="F29" i="6" s="1"/>
  <c r="H29" i="6" s="1"/>
  <c r="H90" i="5"/>
  <c r="I29" i="6" l="1"/>
  <c r="D91" i="5"/>
  <c r="F91" i="5"/>
  <c r="G91" i="5" s="1"/>
  <c r="H91" i="5" l="1"/>
  <c r="E30" i="6"/>
  <c r="G30" i="6"/>
  <c r="F30" i="6" s="1"/>
  <c r="H30" i="6" s="1"/>
  <c r="I30" i="6" l="1"/>
  <c r="F92" i="5"/>
  <c r="G92" i="5" s="1"/>
  <c r="D92" i="5"/>
  <c r="H92" i="5" l="1"/>
  <c r="D93" i="5" s="1"/>
  <c r="E31" i="6"/>
  <c r="G31" i="6"/>
  <c r="F31" i="6" s="1"/>
  <c r="H31" i="6" s="1"/>
  <c r="F93" i="5" l="1"/>
  <c r="G93" i="5" s="1"/>
  <c r="H93" i="5" s="1"/>
  <c r="I31" i="6"/>
  <c r="D94" i="5" l="1"/>
  <c r="F94" i="5"/>
  <c r="G94" i="5" s="1"/>
  <c r="E32" i="6"/>
  <c r="G32" i="6"/>
  <c r="F32" i="6" s="1"/>
  <c r="H32" i="6" s="1"/>
  <c r="I32" i="6" l="1"/>
  <c r="H94" i="5"/>
  <c r="E33" i="6" l="1"/>
  <c r="G33" i="6"/>
  <c r="F33" i="6" s="1"/>
  <c r="H33" i="6" s="1"/>
  <c r="D95" i="5"/>
  <c r="F95" i="5"/>
  <c r="G95" i="5" s="1"/>
  <c r="H95" i="5" l="1"/>
  <c r="I33" i="6"/>
  <c r="E34" i="6" l="1"/>
  <c r="G34" i="6"/>
  <c r="F34" i="6" s="1"/>
  <c r="H34" i="6" s="1"/>
  <c r="D96" i="5"/>
  <c r="F96" i="5"/>
  <c r="G96" i="5" s="1"/>
  <c r="H96" i="5" l="1"/>
  <c r="I34" i="6"/>
  <c r="G35" i="6" l="1"/>
  <c r="F35" i="6" s="1"/>
  <c r="H35" i="6" s="1"/>
  <c r="E35" i="6"/>
  <c r="F97" i="5"/>
  <c r="G97" i="5" s="1"/>
  <c r="D97" i="5"/>
  <c r="H97" i="5" l="1"/>
  <c r="D98" i="5" s="1"/>
  <c r="I35" i="6"/>
  <c r="G36" i="6" s="1"/>
  <c r="F36" i="6" s="1"/>
  <c r="H36" i="6" s="1"/>
  <c r="E36" i="6" l="1"/>
  <c r="I36" i="6" s="1"/>
  <c r="F98" i="5"/>
  <c r="G98" i="5" s="1"/>
  <c r="H98" i="5" s="1"/>
  <c r="D99" i="5" s="1"/>
  <c r="F99" i="5" l="1"/>
  <c r="G99" i="5" s="1"/>
  <c r="H99" i="5" s="1"/>
  <c r="E37" i="6"/>
  <c r="G37" i="6"/>
  <c r="F37" i="6" s="1"/>
  <c r="H37" i="6" s="1"/>
  <c r="F100" i="5" l="1"/>
  <c r="G100" i="5" s="1"/>
  <c r="I100" i="5" s="1"/>
  <c r="J17" i="3" s="1"/>
  <c r="D100" i="5"/>
  <c r="I37" i="6"/>
  <c r="H100" i="5" l="1"/>
  <c r="D101" i="5" s="1"/>
  <c r="G38" i="6"/>
  <c r="F38" i="6" s="1"/>
  <c r="H38" i="6" s="1"/>
  <c r="E38" i="6"/>
  <c r="J19" i="3"/>
  <c r="J18" i="3"/>
  <c r="J22" i="3" s="1"/>
  <c r="J23" i="3" s="1"/>
  <c r="J26" i="3" s="1"/>
  <c r="J29" i="3" l="1"/>
  <c r="J32" i="3" s="1"/>
  <c r="J28" i="3"/>
  <c r="J31" i="3" s="1"/>
  <c r="F101" i="5"/>
  <c r="G101" i="5" s="1"/>
  <c r="H101" i="5" s="1"/>
  <c r="F102" i="5" s="1"/>
  <c r="G102" i="5" s="1"/>
  <c r="I38" i="6"/>
  <c r="E39" i="6" s="1"/>
  <c r="D102" i="5" l="1"/>
  <c r="H102" i="5" s="1"/>
  <c r="D103" i="5" s="1"/>
  <c r="G39" i="6"/>
  <c r="F39" i="6" s="1"/>
  <c r="H39" i="6" s="1"/>
  <c r="I39" i="6" s="1"/>
  <c r="F103" i="5" l="1"/>
  <c r="G103" i="5" s="1"/>
  <c r="H103" i="5" s="1"/>
  <c r="D104" i="5" s="1"/>
  <c r="E40" i="6"/>
  <c r="G40" i="6"/>
  <c r="F40" i="6" s="1"/>
  <c r="H40" i="6" s="1"/>
  <c r="J40" i="6" s="1"/>
  <c r="F104" i="5" l="1"/>
  <c r="G104" i="5" s="1"/>
  <c r="H104" i="5" s="1"/>
  <c r="I40" i="6"/>
  <c r="G41" i="6" l="1"/>
  <c r="H41" i="6" s="1"/>
  <c r="E41" i="6"/>
  <c r="F105" i="5"/>
  <c r="G105" i="5" s="1"/>
  <c r="D105" i="5"/>
  <c r="I41" i="6" l="1"/>
  <c r="H105" i="5"/>
  <c r="D106" i="5" l="1"/>
  <c r="F106" i="5"/>
  <c r="G106" i="5" s="1"/>
  <c r="E42" i="6"/>
  <c r="G42" i="6"/>
  <c r="H42" i="6" s="1"/>
  <c r="I42" i="6" l="1"/>
  <c r="H106" i="5"/>
  <c r="D107" i="5" l="1"/>
  <c r="F107" i="5"/>
  <c r="G107" i="5" s="1"/>
  <c r="G43" i="6"/>
  <c r="H43" i="6" s="1"/>
  <c r="E43" i="6"/>
  <c r="I43" i="6" l="1"/>
  <c r="H107" i="5"/>
  <c r="E44" i="6" l="1"/>
  <c r="G44" i="6"/>
  <c r="H44" i="6" s="1"/>
  <c r="F108" i="5"/>
  <c r="G108" i="5" s="1"/>
  <c r="D108" i="5"/>
  <c r="H108" i="5" l="1"/>
  <c r="D109" i="5" s="1"/>
  <c r="I44" i="6"/>
  <c r="F109" i="5" l="1"/>
  <c r="G109" i="5" s="1"/>
  <c r="H109" i="5" s="1"/>
  <c r="E45" i="6"/>
  <c r="G45" i="6"/>
  <c r="H45" i="6" s="1"/>
  <c r="D110" i="5" l="1"/>
  <c r="F110" i="5"/>
  <c r="G110" i="5" s="1"/>
  <c r="I45" i="6"/>
  <c r="H110" i="5" l="1"/>
  <c r="D111" i="5" s="1"/>
  <c r="G46" i="6"/>
  <c r="H46" i="6" s="1"/>
  <c r="E46" i="6"/>
  <c r="F111" i="5" l="1"/>
  <c r="G111" i="5" s="1"/>
  <c r="H111" i="5" s="1"/>
  <c r="I46" i="6"/>
  <c r="D112" i="5" l="1"/>
  <c r="F112" i="5"/>
  <c r="G112" i="5" s="1"/>
  <c r="I112" i="5" s="1"/>
  <c r="K17" i="3" s="1"/>
  <c r="E47" i="6"/>
  <c r="G47" i="6"/>
  <c r="H47" i="6" s="1"/>
  <c r="H112" i="5" l="1"/>
  <c r="F113" i="5" s="1"/>
  <c r="G113" i="5" s="1"/>
  <c r="K18" i="3"/>
  <c r="K22" i="3" s="1"/>
  <c r="K19" i="3"/>
  <c r="I47" i="6"/>
  <c r="D113" i="5" l="1"/>
  <c r="H113" i="5" s="1"/>
  <c r="D114" i="5" s="1"/>
  <c r="E48" i="6"/>
  <c r="G48" i="6"/>
  <c r="H48" i="6" s="1"/>
  <c r="K23" i="3"/>
  <c r="K26" i="3" s="1"/>
  <c r="F114" i="5" l="1"/>
  <c r="G114" i="5" s="1"/>
  <c r="H114" i="5" s="1"/>
  <c r="K29" i="3"/>
  <c r="K32" i="3" s="1"/>
  <c r="K28" i="3"/>
  <c r="K31" i="3" s="1"/>
  <c r="I48" i="6"/>
  <c r="D115" i="5" l="1"/>
  <c r="F115" i="5"/>
  <c r="G115" i="5" s="1"/>
  <c r="E49" i="6"/>
  <c r="G49" i="6"/>
  <c r="H49" i="6" s="1"/>
  <c r="H115" i="5" l="1"/>
  <c r="F116" i="5" s="1"/>
  <c r="G116" i="5" s="1"/>
  <c r="I49" i="6"/>
  <c r="D116" i="5" l="1"/>
  <c r="H116" i="5" s="1"/>
  <c r="E50" i="6"/>
  <c r="G50" i="6"/>
  <c r="H50" i="6" s="1"/>
  <c r="I50" i="6" l="1"/>
  <c r="D117" i="5"/>
  <c r="F117" i="5"/>
  <c r="G117" i="5" s="1"/>
  <c r="H117" i="5" l="1"/>
  <c r="D118" i="5" s="1"/>
  <c r="G51" i="6"/>
  <c r="H51" i="6" s="1"/>
  <c r="E51" i="6"/>
  <c r="F118" i="5" l="1"/>
  <c r="G118" i="5" s="1"/>
  <c r="H118" i="5" s="1"/>
  <c r="I51" i="6"/>
  <c r="E52" i="6" s="1"/>
  <c r="G52" i="6" l="1"/>
  <c r="H52" i="6" s="1"/>
  <c r="J52" i="6" s="1"/>
  <c r="D119" i="5"/>
  <c r="F119" i="5"/>
  <c r="G119" i="5" s="1"/>
  <c r="I52" i="6" l="1"/>
  <c r="G53" i="6" s="1"/>
  <c r="H53" i="6" s="1"/>
  <c r="H119" i="5"/>
  <c r="E53" i="6" l="1"/>
  <c r="I53" i="6" s="1"/>
  <c r="D120" i="5"/>
  <c r="F120" i="5"/>
  <c r="G120" i="5" s="1"/>
  <c r="H120" i="5" l="1"/>
  <c r="G54" i="6"/>
  <c r="H54" i="6" s="1"/>
  <c r="E54" i="6"/>
  <c r="I54" i="6" l="1"/>
  <c r="E55" i="6" s="1"/>
  <c r="F121" i="5"/>
  <c r="G121" i="5" s="1"/>
  <c r="D121" i="5"/>
  <c r="G55" i="6" l="1"/>
  <c r="H55" i="6" s="1"/>
  <c r="I55" i="6" s="1"/>
  <c r="H121" i="5"/>
  <c r="D122" i="5" s="1"/>
  <c r="F122" i="5" l="1"/>
  <c r="G122" i="5" s="1"/>
  <c r="H122" i="5" s="1"/>
  <c r="E56" i="6"/>
  <c r="G56" i="6"/>
  <c r="H56" i="6" s="1"/>
  <c r="I56" i="6" l="1"/>
  <c r="E57" i="6" s="1"/>
  <c r="D123" i="5"/>
  <c r="F123" i="5"/>
  <c r="G123" i="5" s="1"/>
  <c r="G57" i="6" l="1"/>
  <c r="H57" i="6" s="1"/>
  <c r="I57" i="6" s="1"/>
  <c r="H123" i="5"/>
  <c r="F124" i="5" s="1"/>
  <c r="G124" i="5" s="1"/>
  <c r="I124" i="5" s="1"/>
  <c r="D124" i="5" l="1"/>
  <c r="H124" i="5" s="1"/>
  <c r="D125" i="5" s="1"/>
  <c r="G58" i="6"/>
  <c r="H58" i="6" s="1"/>
  <c r="E58" i="6"/>
  <c r="F125" i="5" l="1"/>
  <c r="G125" i="5" s="1"/>
  <c r="H125" i="5" s="1"/>
  <c r="I58" i="6"/>
  <c r="G59" i="6" s="1"/>
  <c r="H59" i="6" s="1"/>
  <c r="E59" i="6" l="1"/>
  <c r="I59" i="6" s="1"/>
  <c r="E60" i="6" s="1"/>
  <c r="D126" i="5"/>
  <c r="F126" i="5"/>
  <c r="G126" i="5" s="1"/>
  <c r="G60" i="6" l="1"/>
  <c r="H60" i="6" s="1"/>
  <c r="I60" i="6" s="1"/>
  <c r="E61" i="6" s="1"/>
  <c r="H126" i="5"/>
  <c r="D127" i="5" s="1"/>
  <c r="G61" i="6" l="1"/>
  <c r="H61" i="6" s="1"/>
  <c r="I61" i="6" s="1"/>
  <c r="G62" i="6" s="1"/>
  <c r="H62" i="6" s="1"/>
  <c r="F127" i="5"/>
  <c r="G127" i="5" s="1"/>
  <c r="H127" i="5" s="1"/>
  <c r="E62" i="6" l="1"/>
  <c r="I62" i="6" s="1"/>
  <c r="D128" i="5"/>
  <c r="F128" i="5"/>
  <c r="G128" i="5" s="1"/>
  <c r="E63" i="6" l="1"/>
  <c r="G63" i="6"/>
  <c r="H63" i="6" s="1"/>
  <c r="H128" i="5"/>
  <c r="I63" i="6" l="1"/>
  <c r="E64" i="6" s="1"/>
  <c r="F129" i="5"/>
  <c r="G129" i="5" s="1"/>
  <c r="D129" i="5"/>
  <c r="G64" i="6" l="1"/>
  <c r="H64" i="6" s="1"/>
  <c r="J64" i="6" s="1"/>
  <c r="H129" i="5"/>
  <c r="D130" i="5" s="1"/>
  <c r="I64" i="6" l="1"/>
  <c r="F130" i="5"/>
  <c r="G130" i="5" s="1"/>
  <c r="H130" i="5" s="1"/>
  <c r="E65" i="6"/>
  <c r="G65" i="6"/>
  <c r="H65" i="6" s="1"/>
  <c r="I65" i="6" l="1"/>
  <c r="D131" i="5"/>
  <c r="F131" i="5"/>
  <c r="G131" i="5" s="1"/>
  <c r="H131" i="5" l="1"/>
  <c r="E66" i="6"/>
  <c r="G66" i="6"/>
  <c r="H66" i="6" s="1"/>
  <c r="I66" i="6" l="1"/>
  <c r="F132" i="5"/>
  <c r="G132" i="5" s="1"/>
  <c r="D132" i="5"/>
  <c r="H132" i="5" l="1"/>
  <c r="D133" i="5" s="1"/>
  <c r="G67" i="6"/>
  <c r="H67" i="6" s="1"/>
  <c r="E67" i="6"/>
  <c r="F133" i="5" l="1"/>
  <c r="G133" i="5" s="1"/>
  <c r="H133" i="5" s="1"/>
  <c r="I67" i="6"/>
  <c r="E68" i="6" s="1"/>
  <c r="G68" i="6" l="1"/>
  <c r="H68" i="6" s="1"/>
  <c r="I68" i="6" s="1"/>
  <c r="D134" i="5"/>
  <c r="F134" i="5"/>
  <c r="G134" i="5" s="1"/>
  <c r="E69" i="6" l="1"/>
  <c r="G69" i="6"/>
  <c r="H69" i="6" s="1"/>
  <c r="H134" i="5"/>
  <c r="D135" i="5" l="1"/>
  <c r="F135" i="5"/>
  <c r="G135" i="5" s="1"/>
  <c r="I69" i="6"/>
  <c r="G70" i="6" l="1"/>
  <c r="H70" i="6" s="1"/>
  <c r="E70" i="6"/>
  <c r="H135" i="5"/>
  <c r="I70" i="6" l="1"/>
  <c r="E71" i="6" s="1"/>
  <c r="D136" i="5"/>
  <c r="F136" i="5"/>
  <c r="G136" i="5" s="1"/>
  <c r="I136" i="5" s="1"/>
  <c r="G71" i="6" l="1"/>
  <c r="H71" i="6" s="1"/>
  <c r="I71" i="6" s="1"/>
  <c r="H136" i="5"/>
  <c r="F137" i="5" s="1"/>
  <c r="G137" i="5" s="1"/>
  <c r="D137" i="5" l="1"/>
  <c r="H137" i="5" s="1"/>
  <c r="D138" i="5" s="1"/>
  <c r="E72" i="6"/>
  <c r="G72" i="6"/>
  <c r="H72" i="6" s="1"/>
  <c r="I72" i="6" l="1"/>
  <c r="G73" i="6" s="1"/>
  <c r="H73" i="6" s="1"/>
  <c r="F138" i="5"/>
  <c r="G138" i="5" s="1"/>
  <c r="H138" i="5" s="1"/>
  <c r="E73" i="6"/>
  <c r="I40" i="3"/>
  <c r="I41" i="3" s="1"/>
  <c r="I43" i="3" l="1"/>
  <c r="I33" i="3" s="1"/>
  <c r="I73" i="6"/>
  <c r="D139" i="5"/>
  <c r="F139" i="5"/>
  <c r="G139" i="5" s="1"/>
  <c r="E74" i="6"/>
  <c r="G74" i="6"/>
  <c r="H74" i="6" s="1"/>
  <c r="I74" i="6" l="1"/>
  <c r="H139" i="5"/>
  <c r="G75" i="6" l="1"/>
  <c r="H75" i="6" s="1"/>
  <c r="E75" i="6"/>
  <c r="F140" i="5"/>
  <c r="G140" i="5" s="1"/>
  <c r="D140" i="5"/>
  <c r="H140" i="5" l="1"/>
  <c r="D141" i="5" s="1"/>
  <c r="I75" i="6"/>
  <c r="F141" i="5" l="1"/>
  <c r="G141" i="5" s="1"/>
  <c r="H141" i="5" s="1"/>
  <c r="E76" i="6"/>
  <c r="G76" i="6"/>
  <c r="H76" i="6" s="1"/>
  <c r="J76" i="6" s="1"/>
  <c r="D142" i="5" l="1"/>
  <c r="F142" i="5"/>
  <c r="G142" i="5" s="1"/>
  <c r="I76" i="6"/>
  <c r="E77" i="6" l="1"/>
  <c r="G77" i="6"/>
  <c r="H77" i="6" s="1"/>
  <c r="H142" i="5"/>
  <c r="D143" i="5" l="1"/>
  <c r="F143" i="5"/>
  <c r="G143" i="5" s="1"/>
  <c r="I77" i="6"/>
  <c r="G78" i="6" l="1"/>
  <c r="H78" i="6" s="1"/>
  <c r="E78" i="6"/>
  <c r="H143" i="5"/>
  <c r="I78" i="6" l="1"/>
  <c r="E79" i="6" s="1"/>
  <c r="D144" i="5"/>
  <c r="F144" i="5"/>
  <c r="G144" i="5" s="1"/>
  <c r="G79" i="6" l="1"/>
  <c r="H79" i="6" s="1"/>
  <c r="I79" i="6" s="1"/>
  <c r="H144" i="5"/>
  <c r="F145" i="5" l="1"/>
  <c r="G145" i="5" s="1"/>
  <c r="D145" i="5"/>
  <c r="E80" i="6"/>
  <c r="G80" i="6"/>
  <c r="H80" i="6" s="1"/>
  <c r="H145" i="5" l="1"/>
  <c r="D146" i="5" s="1"/>
  <c r="I80" i="6"/>
  <c r="F146" i="5" l="1"/>
  <c r="G146" i="5" s="1"/>
  <c r="H146" i="5" s="1"/>
  <c r="E81" i="6"/>
  <c r="G81" i="6"/>
  <c r="H81" i="6" s="1"/>
  <c r="I81" i="6" l="1"/>
  <c r="D147" i="5"/>
  <c r="F147" i="5"/>
  <c r="G147" i="5" s="1"/>
  <c r="H147" i="5" l="1"/>
  <c r="E82" i="6"/>
  <c r="G82" i="6"/>
  <c r="H82" i="6" s="1"/>
  <c r="I82" i="6" l="1"/>
  <c r="F148" i="5"/>
  <c r="G148" i="5" s="1"/>
  <c r="I148" i="5" s="1"/>
  <c r="D148" i="5"/>
  <c r="H148" i="5" l="1"/>
  <c r="D149" i="5" s="1"/>
  <c r="G83" i="6"/>
  <c r="H83" i="6" s="1"/>
  <c r="E83" i="6"/>
  <c r="F149" i="5" l="1"/>
  <c r="G149" i="5" s="1"/>
  <c r="H149" i="5" s="1"/>
  <c r="I83" i="6"/>
  <c r="G84" i="6" s="1"/>
  <c r="H84" i="6" s="1"/>
  <c r="E84" i="6" l="1"/>
  <c r="I84" i="6" s="1"/>
  <c r="D150" i="5"/>
  <c r="F150" i="5"/>
  <c r="G150" i="5" s="1"/>
  <c r="E85" i="6" l="1"/>
  <c r="G85" i="6"/>
  <c r="H85" i="6" s="1"/>
  <c r="J40" i="3"/>
  <c r="J41" i="3" s="1"/>
  <c r="H150" i="5"/>
  <c r="J43" i="3" l="1"/>
  <c r="J33" i="3" s="1"/>
  <c r="D151" i="5"/>
  <c r="F151" i="5"/>
  <c r="G151" i="5" s="1"/>
  <c r="I85" i="6"/>
  <c r="G86" i="6" l="1"/>
  <c r="H86" i="6" s="1"/>
  <c r="E86" i="6"/>
  <c r="H151" i="5"/>
  <c r="I86" i="6" l="1"/>
  <c r="E87" i="6" s="1"/>
  <c r="D152" i="5"/>
  <c r="F152" i="5"/>
  <c r="G152" i="5" s="1"/>
  <c r="G87" i="6" l="1"/>
  <c r="H87" i="6" s="1"/>
  <c r="I87" i="6" s="1"/>
  <c r="H152" i="5"/>
  <c r="F153" i="5" s="1"/>
  <c r="G153" i="5" s="1"/>
  <c r="E88" i="6" l="1"/>
  <c r="G88" i="6"/>
  <c r="H88" i="6" s="1"/>
  <c r="J88" i="6" s="1"/>
  <c r="D153" i="5"/>
  <c r="H153" i="5" s="1"/>
  <c r="I88" i="6" l="1"/>
  <c r="G89" i="6" s="1"/>
  <c r="H89" i="6" s="1"/>
  <c r="F154" i="5"/>
  <c r="G154" i="5" s="1"/>
  <c r="D154" i="5"/>
  <c r="E89" i="6"/>
  <c r="H154" i="5" l="1"/>
  <c r="D155" i="5" s="1"/>
  <c r="I89" i="6"/>
  <c r="E90" i="6" s="1"/>
  <c r="G90" i="6" l="1"/>
  <c r="H90" i="6" s="1"/>
  <c r="I90" i="6" s="1"/>
  <c r="F155" i="5"/>
  <c r="G155" i="5" s="1"/>
  <c r="H155" i="5" s="1"/>
  <c r="G91" i="6" l="1"/>
  <c r="H91" i="6" s="1"/>
  <c r="E91" i="6"/>
  <c r="F156" i="5"/>
  <c r="G156" i="5" s="1"/>
  <c r="D156" i="5"/>
  <c r="I91" i="6" l="1"/>
  <c r="E92" i="6" s="1"/>
  <c r="H156" i="5"/>
  <c r="D157" i="5" s="1"/>
  <c r="G92" i="6" l="1"/>
  <c r="H92" i="6" s="1"/>
  <c r="I92" i="6" s="1"/>
  <c r="F157" i="5"/>
  <c r="G157" i="5" s="1"/>
  <c r="H157" i="5" s="1"/>
  <c r="D158" i="5" l="1"/>
  <c r="F158" i="5"/>
  <c r="G158" i="5" s="1"/>
  <c r="E93" i="6"/>
  <c r="G93" i="6"/>
  <c r="H93" i="6" s="1"/>
  <c r="I93" i="6" l="1"/>
  <c r="H158" i="5"/>
  <c r="D159" i="5" l="1"/>
  <c r="F159" i="5"/>
  <c r="G159" i="5" s="1"/>
  <c r="G94" i="6"/>
  <c r="H94" i="6" s="1"/>
  <c r="E94" i="6"/>
  <c r="I94" i="6" l="1"/>
  <c r="E95" i="6" s="1"/>
  <c r="H159" i="5"/>
  <c r="G95" i="6" l="1"/>
  <c r="H95" i="6" s="1"/>
  <c r="I95" i="6" s="1"/>
  <c r="D160" i="5"/>
  <c r="F160" i="5"/>
  <c r="G160" i="5" s="1"/>
  <c r="I160" i="5" s="1"/>
  <c r="E96" i="6" l="1"/>
  <c r="G96" i="6"/>
  <c r="H96" i="6" s="1"/>
  <c r="H160" i="5"/>
  <c r="I96" i="6" l="1"/>
  <c r="G97" i="6" s="1"/>
  <c r="H97" i="6" s="1"/>
  <c r="F161" i="5"/>
  <c r="G161" i="5" s="1"/>
  <c r="D161" i="5"/>
  <c r="K40" i="3" l="1"/>
  <c r="K41" i="3" s="1"/>
  <c r="E97" i="6"/>
  <c r="I97" i="6" s="1"/>
  <c r="H161" i="5"/>
  <c r="D162" i="5" s="1"/>
  <c r="K43" i="3" l="1"/>
  <c r="K33" i="3" s="1"/>
  <c r="F162" i="5"/>
  <c r="G162" i="5" s="1"/>
  <c r="H162" i="5" s="1"/>
  <c r="E98" i="6"/>
  <c r="G98" i="6"/>
  <c r="H98" i="6" s="1"/>
  <c r="D163" i="5" l="1"/>
  <c r="F163" i="5"/>
  <c r="G163" i="5" s="1"/>
  <c r="I98" i="6"/>
  <c r="E99" i="6" l="1"/>
  <c r="G99" i="6"/>
  <c r="H99" i="6" s="1"/>
  <c r="H163" i="5"/>
  <c r="F164" i="5" l="1"/>
  <c r="G164" i="5" s="1"/>
  <c r="D164" i="5"/>
  <c r="I99" i="6"/>
  <c r="H164" i="5" l="1"/>
  <c r="D165" i="5" s="1"/>
  <c r="E100" i="6"/>
  <c r="G100" i="6"/>
  <c r="H100" i="6" s="1"/>
  <c r="J100" i="6" s="1"/>
  <c r="F165" i="5" l="1"/>
  <c r="G165" i="5" s="1"/>
  <c r="H165" i="5" s="1"/>
  <c r="I100" i="6"/>
  <c r="E101" i="6" l="1"/>
  <c r="G101" i="6"/>
  <c r="H101" i="6" s="1"/>
  <c r="D166" i="5"/>
  <c r="F166" i="5"/>
  <c r="G166" i="5" s="1"/>
  <c r="H166" i="5" l="1"/>
  <c r="I101" i="6"/>
  <c r="G102" i="6" l="1"/>
  <c r="H102" i="6" s="1"/>
  <c r="E102" i="6"/>
  <c r="D167" i="5"/>
  <c r="F167" i="5"/>
  <c r="G167" i="5" s="1"/>
  <c r="I102" i="6" l="1"/>
  <c r="E103" i="6" s="1"/>
  <c r="H167" i="5"/>
  <c r="G103" i="6" l="1"/>
  <c r="H103" i="6" s="1"/>
  <c r="I103" i="6" s="1"/>
  <c r="D168" i="5"/>
  <c r="F168" i="5"/>
  <c r="G168" i="5" s="1"/>
  <c r="H168" i="5" l="1"/>
  <c r="F169" i="5" s="1"/>
  <c r="G169" i="5" s="1"/>
  <c r="E104" i="6"/>
  <c r="G104" i="6"/>
  <c r="H104" i="6" s="1"/>
  <c r="D169" i="5" l="1"/>
  <c r="H169" i="5" s="1"/>
  <c r="F170" i="5" s="1"/>
  <c r="G170" i="5" s="1"/>
  <c r="I104" i="6"/>
  <c r="G105" i="6" s="1"/>
  <c r="H105" i="6" s="1"/>
  <c r="E105" i="6" l="1"/>
  <c r="I105" i="6" s="1"/>
  <c r="E106" i="6" s="1"/>
  <c r="D170" i="5"/>
  <c r="H170" i="5" s="1"/>
  <c r="G106" i="6" l="1"/>
  <c r="H106" i="6" s="1"/>
  <c r="I106" i="6" s="1"/>
  <c r="D171" i="5"/>
  <c r="F171" i="5"/>
  <c r="G171" i="5" s="1"/>
  <c r="E107" i="6" l="1"/>
  <c r="G107" i="6"/>
  <c r="H107" i="6" s="1"/>
  <c r="H171" i="5"/>
  <c r="F172" i="5" l="1"/>
  <c r="G172" i="5" s="1"/>
  <c r="I172" i="5" s="1"/>
  <c r="D172" i="5"/>
  <c r="I107" i="6"/>
  <c r="H172" i="5" l="1"/>
  <c r="D173" i="5" s="1"/>
  <c r="E108" i="6"/>
  <c r="G108" i="6"/>
  <c r="H108" i="6" s="1"/>
  <c r="F173" i="5" l="1"/>
  <c r="G173" i="5" s="1"/>
  <c r="H173" i="5" s="1"/>
  <c r="I108" i="6"/>
  <c r="E109" i="6" s="1"/>
  <c r="G109" i="6" l="1"/>
  <c r="H109" i="6" s="1"/>
  <c r="I109" i="6" s="1"/>
  <c r="D174" i="5"/>
  <c r="F174" i="5"/>
  <c r="G174" i="5" s="1"/>
  <c r="G110" i="6" l="1"/>
  <c r="H110" i="6" s="1"/>
  <c r="E110" i="6"/>
  <c r="H174" i="5"/>
  <c r="I110" i="6" l="1"/>
  <c r="E111" i="6" s="1"/>
  <c r="D175" i="5"/>
  <c r="F175" i="5"/>
  <c r="G175" i="5" s="1"/>
  <c r="G111" i="6" l="1"/>
  <c r="H111" i="6" s="1"/>
  <c r="I111" i="6" s="1"/>
  <c r="H175" i="5"/>
  <c r="F176" i="5" s="1"/>
  <c r="G176" i="5" s="1"/>
  <c r="D176" i="5" l="1"/>
  <c r="H176" i="5" s="1"/>
  <c r="E112" i="6"/>
  <c r="G112" i="6"/>
  <c r="H112" i="6" s="1"/>
  <c r="J112" i="6" s="1"/>
  <c r="F177" i="5" l="1"/>
  <c r="G177" i="5" s="1"/>
  <c r="D177" i="5"/>
  <c r="I112" i="6"/>
  <c r="H177" i="5" l="1"/>
  <c r="F178" i="5" s="1"/>
  <c r="G178" i="5" s="1"/>
  <c r="G113" i="6"/>
  <c r="H113" i="6" s="1"/>
  <c r="E113" i="6"/>
  <c r="D178" i="5" l="1"/>
  <c r="H178" i="5" s="1"/>
  <c r="I113" i="6"/>
  <c r="E114" i="6" s="1"/>
  <c r="G114" i="6" l="1"/>
  <c r="H114" i="6" s="1"/>
  <c r="I114" i="6" s="1"/>
  <c r="E115" i="6" s="1"/>
  <c r="D179" i="5"/>
  <c r="F179" i="5"/>
  <c r="G179" i="5" s="1"/>
  <c r="H179" i="5" l="1"/>
  <c r="F180" i="5" s="1"/>
  <c r="G180" i="5" s="1"/>
  <c r="G115" i="6"/>
  <c r="H115" i="6" s="1"/>
  <c r="I115" i="6" s="1"/>
  <c r="D180" i="5" l="1"/>
  <c r="H180" i="5" s="1"/>
  <c r="D181" i="5" s="1"/>
  <c r="E116" i="6"/>
  <c r="G116" i="6"/>
  <c r="H116" i="6" s="1"/>
  <c r="F181" i="5" l="1"/>
  <c r="G181" i="5" s="1"/>
  <c r="H181" i="5" s="1"/>
  <c r="D182" i="5" s="1"/>
  <c r="I116" i="6"/>
  <c r="F182" i="5" l="1"/>
  <c r="G182" i="5" s="1"/>
  <c r="H182" i="5" s="1"/>
  <c r="E117" i="6"/>
  <c r="G117" i="6"/>
  <c r="H117" i="6" s="1"/>
  <c r="D183" i="5" l="1"/>
  <c r="F183" i="5"/>
  <c r="G183" i="5" s="1"/>
  <c r="I117" i="6"/>
  <c r="G118" i="6" l="1"/>
  <c r="H118" i="6" s="1"/>
  <c r="E118" i="6"/>
  <c r="H183" i="5"/>
  <c r="I118" i="6" l="1"/>
  <c r="E119" i="6" s="1"/>
  <c r="D184" i="5"/>
  <c r="F184" i="5"/>
  <c r="G184" i="5" s="1"/>
  <c r="I184" i="5" s="1"/>
  <c r="G119" i="6" l="1"/>
  <c r="H119" i="6" s="1"/>
  <c r="I119" i="6" s="1"/>
  <c r="H184" i="5"/>
  <c r="F185" i="5" l="1"/>
  <c r="G185" i="5" s="1"/>
  <c r="D185" i="5"/>
  <c r="E120" i="6"/>
  <c r="G120" i="6"/>
  <c r="H120" i="6" s="1"/>
  <c r="H185" i="5" l="1"/>
  <c r="D186" i="5" s="1"/>
  <c r="I120" i="6"/>
  <c r="F186" i="5" l="1"/>
  <c r="G186" i="5" s="1"/>
  <c r="H186" i="5" s="1"/>
  <c r="G121" i="6"/>
  <c r="H121" i="6" s="1"/>
  <c r="E121" i="6"/>
  <c r="I121" i="6" l="1"/>
  <c r="E122" i="6" s="1"/>
  <c r="D187" i="5"/>
  <c r="F187" i="5"/>
  <c r="G187" i="5" s="1"/>
  <c r="G122" i="6" l="1"/>
  <c r="H122" i="6" s="1"/>
  <c r="I122" i="6" s="1"/>
  <c r="E123" i="6" s="1"/>
  <c r="H187" i="5"/>
  <c r="F188" i="5" s="1"/>
  <c r="G188" i="5" s="1"/>
  <c r="G123" i="6" l="1"/>
  <c r="H123" i="6" s="1"/>
  <c r="I123" i="6" s="1"/>
  <c r="D188" i="5"/>
  <c r="H188" i="5" s="1"/>
  <c r="D189" i="5" s="1"/>
  <c r="F189" i="5" l="1"/>
  <c r="G189" i="5" s="1"/>
  <c r="H189" i="5" s="1"/>
  <c r="E124" i="6"/>
  <c r="G124" i="6"/>
  <c r="H124" i="6" s="1"/>
  <c r="J124" i="6" s="1"/>
  <c r="D190" i="5" l="1"/>
  <c r="F190" i="5"/>
  <c r="G190" i="5" s="1"/>
  <c r="I124" i="6"/>
  <c r="G125" i="6" s="1"/>
  <c r="H125" i="6" s="1"/>
  <c r="E125" i="6" l="1"/>
  <c r="I125" i="6" s="1"/>
  <c r="H190" i="5"/>
  <c r="D191" i="5" s="1"/>
  <c r="F191" i="5" l="1"/>
  <c r="G191" i="5" s="1"/>
  <c r="H191" i="5" s="1"/>
  <c r="G126" i="6"/>
  <c r="H126" i="6" s="1"/>
  <c r="E126" i="6"/>
  <c r="I126" i="6" l="1"/>
  <c r="G127" i="6" s="1"/>
  <c r="H127" i="6" s="1"/>
  <c r="D192" i="5"/>
  <c r="F192" i="5"/>
  <c r="G192" i="5" s="1"/>
  <c r="E127" i="6" l="1"/>
  <c r="I127" i="6" s="1"/>
  <c r="G128" i="6" s="1"/>
  <c r="H128" i="6" s="1"/>
  <c r="H192" i="5"/>
  <c r="E128" i="6" l="1"/>
  <c r="I128" i="6" s="1"/>
  <c r="F193" i="5"/>
  <c r="G193" i="5" s="1"/>
  <c r="D193" i="5"/>
  <c r="G129" i="6" l="1"/>
  <c r="H129" i="6" s="1"/>
  <c r="E129" i="6"/>
  <c r="H193" i="5"/>
  <c r="D194" i="5" s="1"/>
  <c r="F194" i="5" l="1"/>
  <c r="G194" i="5" s="1"/>
  <c r="H194" i="5" s="1"/>
  <c r="I129" i="6"/>
  <c r="E130" i="6" s="1"/>
  <c r="G130" i="6" l="1"/>
  <c r="H130" i="6" s="1"/>
  <c r="I130" i="6" s="1"/>
  <c r="E131" i="6" s="1"/>
  <c r="D195" i="5"/>
  <c r="F195" i="5"/>
  <c r="G195" i="5" s="1"/>
  <c r="G131" i="6" l="1"/>
  <c r="H131" i="6" s="1"/>
  <c r="I131" i="6" s="1"/>
  <c r="H195" i="5"/>
  <c r="E132" i="6" l="1"/>
  <c r="G132" i="6"/>
  <c r="H132" i="6" s="1"/>
  <c r="F196" i="5"/>
  <c r="G196" i="5" s="1"/>
  <c r="I196" i="5" s="1"/>
  <c r="D196" i="5"/>
  <c r="H196" i="5" l="1"/>
  <c r="D197" i="5" s="1"/>
  <c r="I132" i="6"/>
  <c r="F197" i="5" l="1"/>
  <c r="G197" i="5" s="1"/>
  <c r="H197" i="5" s="1"/>
  <c r="E133" i="6"/>
  <c r="G133" i="6"/>
  <c r="H133" i="6" s="1"/>
  <c r="I133" i="6" l="1"/>
  <c r="G134" i="6" s="1"/>
  <c r="H134" i="6" s="1"/>
  <c r="D198" i="5"/>
  <c r="F198" i="5"/>
  <c r="G198" i="5" s="1"/>
  <c r="E134" i="6" l="1"/>
  <c r="I134" i="6" s="1"/>
  <c r="G135" i="6" s="1"/>
  <c r="H135" i="6" s="1"/>
  <c r="H198" i="5"/>
  <c r="E135" i="6" l="1"/>
  <c r="I135" i="6" s="1"/>
  <c r="E136" i="6" s="1"/>
  <c r="D199" i="5"/>
  <c r="F199" i="5"/>
  <c r="G199" i="5" s="1"/>
  <c r="G136" i="6" l="1"/>
  <c r="H136" i="6" s="1"/>
  <c r="J136" i="6" s="1"/>
  <c r="H199" i="5"/>
  <c r="I136" i="6" l="1"/>
  <c r="E137" i="6" s="1"/>
  <c r="D200" i="5"/>
  <c r="F200" i="5"/>
  <c r="G200" i="5" s="1"/>
  <c r="G137" i="6" l="1"/>
  <c r="H137" i="6" s="1"/>
  <c r="I137" i="6" s="1"/>
  <c r="G138" i="6" s="1"/>
  <c r="H138" i="6" s="1"/>
  <c r="H200" i="5"/>
  <c r="E138" i="6" l="1"/>
  <c r="I138" i="6" s="1"/>
  <c r="F201" i="5"/>
  <c r="G201" i="5" s="1"/>
  <c r="D201" i="5"/>
  <c r="H201" i="5" l="1"/>
  <c r="D202" i="5" s="1"/>
  <c r="E139" i="6"/>
  <c r="G139" i="6"/>
  <c r="H139" i="6" s="1"/>
  <c r="F202" i="5" l="1"/>
  <c r="G202" i="5" s="1"/>
  <c r="H202" i="5" s="1"/>
  <c r="I139" i="6"/>
  <c r="E140" i="6" l="1"/>
  <c r="G140" i="6"/>
  <c r="H140" i="6" s="1"/>
  <c r="D203" i="5"/>
  <c r="F203" i="5"/>
  <c r="G203" i="5" s="1"/>
  <c r="H203" i="5" l="1"/>
  <c r="I140" i="6"/>
  <c r="E141" i="6" l="1"/>
  <c r="G141" i="6"/>
  <c r="H141" i="6" s="1"/>
  <c r="F204" i="5"/>
  <c r="G204" i="5" s="1"/>
  <c r="D204" i="5"/>
  <c r="H204" i="5" l="1"/>
  <c r="D205" i="5" s="1"/>
  <c r="I141" i="6"/>
  <c r="F205" i="5" l="1"/>
  <c r="G205" i="5" s="1"/>
  <c r="H205" i="5" s="1"/>
  <c r="G142" i="6"/>
  <c r="H142" i="6" s="1"/>
  <c r="E142" i="6"/>
  <c r="I142" i="6" l="1"/>
  <c r="E143" i="6" s="1"/>
  <c r="D206" i="5"/>
  <c r="F206" i="5"/>
  <c r="G206" i="5" s="1"/>
  <c r="G143" i="6" l="1"/>
  <c r="H143" i="6" s="1"/>
  <c r="I143" i="6" s="1"/>
  <c r="H206" i="5"/>
  <c r="D207" i="5" l="1"/>
  <c r="F207" i="5"/>
  <c r="G207" i="5" s="1"/>
  <c r="E144" i="6"/>
  <c r="G144" i="6"/>
  <c r="H144" i="6" s="1"/>
  <c r="I144" i="6" l="1"/>
  <c r="H207" i="5"/>
  <c r="D208" i="5" l="1"/>
  <c r="F208" i="5"/>
  <c r="G208" i="5" s="1"/>
  <c r="I208" i="5" s="1"/>
  <c r="G145" i="6"/>
  <c r="H145" i="6" s="1"/>
  <c r="E145" i="6"/>
  <c r="I145" i="6" l="1"/>
  <c r="H208" i="5"/>
  <c r="F209" i="5" l="1"/>
  <c r="G209" i="5" s="1"/>
  <c r="D209" i="5"/>
  <c r="E146" i="6"/>
  <c r="G146" i="6"/>
  <c r="H146" i="6" s="1"/>
  <c r="H209" i="5" l="1"/>
  <c r="D210" i="5" s="1"/>
  <c r="I146" i="6"/>
  <c r="F210" i="5" l="1"/>
  <c r="G210" i="5" s="1"/>
  <c r="H210" i="5" s="1"/>
  <c r="E147" i="6"/>
  <c r="G147" i="6"/>
  <c r="H147" i="6" s="1"/>
  <c r="I147" i="6" l="1"/>
  <c r="F211" i="5"/>
  <c r="G211" i="5" s="1"/>
  <c r="D211" i="5"/>
  <c r="H211" i="5" l="1"/>
  <c r="F212" i="5" s="1"/>
  <c r="G212" i="5" s="1"/>
  <c r="E148" i="6"/>
  <c r="G148" i="6"/>
  <c r="H148" i="6" s="1"/>
  <c r="J148" i="6" s="1"/>
  <c r="D212" i="5" l="1"/>
  <c r="H212" i="5" s="1"/>
  <c r="D213" i="5" s="1"/>
  <c r="I148" i="6"/>
  <c r="F213" i="5" l="1"/>
  <c r="G213" i="5" s="1"/>
  <c r="H213" i="5" s="1"/>
  <c r="E149" i="6"/>
  <c r="G149" i="6"/>
  <c r="H149" i="6" s="1"/>
  <c r="I149" i="6" l="1"/>
  <c r="G150" i="6" s="1"/>
  <c r="H150" i="6" s="1"/>
  <c r="D214" i="5"/>
  <c r="F214" i="5"/>
  <c r="G214" i="5" s="1"/>
  <c r="E150" i="6" l="1"/>
  <c r="I150" i="6" s="1"/>
  <c r="G151" i="6" s="1"/>
  <c r="H151" i="6" s="1"/>
  <c r="H214" i="5"/>
  <c r="E151" i="6" l="1"/>
  <c r="I151" i="6" s="1"/>
  <c r="E152" i="6" s="1"/>
  <c r="D215" i="5"/>
  <c r="F215" i="5"/>
  <c r="G215" i="5" s="1"/>
  <c r="G152" i="6" l="1"/>
  <c r="H152" i="6" s="1"/>
  <c r="I152" i="6" s="1"/>
  <c r="H215" i="5"/>
  <c r="G153" i="6" l="1"/>
  <c r="H153" i="6" s="1"/>
  <c r="E153" i="6"/>
  <c r="D216" i="5"/>
  <c r="F216" i="5"/>
  <c r="G216" i="5" s="1"/>
  <c r="I153" i="6" l="1"/>
  <c r="E154" i="6" s="1"/>
  <c r="H216" i="5"/>
  <c r="G154" i="6" l="1"/>
  <c r="H154" i="6" s="1"/>
  <c r="I154" i="6" s="1"/>
  <c r="F217" i="5"/>
  <c r="G217" i="5" s="1"/>
  <c r="D217" i="5"/>
  <c r="H217" i="5" l="1"/>
  <c r="D218" i="5" s="1"/>
  <c r="E155" i="6"/>
  <c r="G155" i="6"/>
  <c r="H155" i="6" s="1"/>
  <c r="F218" i="5" l="1"/>
  <c r="G218" i="5" s="1"/>
  <c r="H218" i="5" s="1"/>
  <c r="I155" i="6"/>
  <c r="F219" i="5" l="1"/>
  <c r="G219" i="5" s="1"/>
  <c r="D219" i="5"/>
  <c r="E156" i="6"/>
  <c r="G156" i="6"/>
  <c r="H156" i="6" s="1"/>
  <c r="H219" i="5" l="1"/>
  <c r="D220" i="5" s="1"/>
  <c r="I156" i="6"/>
  <c r="F220" i="5" l="1"/>
  <c r="G220" i="5" s="1"/>
  <c r="I220" i="5" s="1"/>
  <c r="E157" i="6"/>
  <c r="G157" i="6"/>
  <c r="H157" i="6" s="1"/>
  <c r="H220" i="5" l="1"/>
  <c r="D221" i="5" s="1"/>
  <c r="I157" i="6"/>
  <c r="F221" i="5" l="1"/>
  <c r="G221" i="5" s="1"/>
  <c r="H221" i="5" s="1"/>
  <c r="F222" i="5" s="1"/>
  <c r="G222" i="5" s="1"/>
  <c r="G158" i="6"/>
  <c r="H158" i="6" s="1"/>
  <c r="E158" i="6"/>
  <c r="D222" i="5" l="1"/>
  <c r="H222" i="5" s="1"/>
  <c r="I158" i="6"/>
  <c r="D223" i="5" l="1"/>
  <c r="F223" i="5"/>
  <c r="G223" i="5" s="1"/>
  <c r="E159" i="6"/>
  <c r="G159" i="6"/>
  <c r="H159" i="6" s="1"/>
  <c r="I159" i="6" l="1"/>
  <c r="H223" i="5"/>
  <c r="D224" i="5" l="1"/>
  <c r="F224" i="5"/>
  <c r="G224" i="5" s="1"/>
  <c r="E160" i="6"/>
  <c r="G160" i="6"/>
  <c r="H160" i="6" s="1"/>
  <c r="I160" i="6" l="1"/>
  <c r="H224" i="5"/>
  <c r="D225" i="5" l="1"/>
  <c r="F225" i="5"/>
  <c r="G225" i="5" s="1"/>
  <c r="G161" i="6"/>
  <c r="H161" i="6" s="1"/>
  <c r="E161" i="6"/>
  <c r="I161" i="6" l="1"/>
  <c r="E162" i="6" s="1"/>
  <c r="H225" i="5"/>
  <c r="G162" i="6" l="1"/>
  <c r="H162" i="6" s="1"/>
  <c r="I162" i="6" s="1"/>
  <c r="F226" i="5"/>
  <c r="G226" i="5" s="1"/>
  <c r="D226" i="5"/>
  <c r="H226" i="5" l="1"/>
  <c r="F227" i="5" s="1"/>
  <c r="G227" i="5" s="1"/>
  <c r="E163" i="6"/>
  <c r="G163" i="6"/>
  <c r="H163" i="6" s="1"/>
  <c r="D227" i="5" l="1"/>
  <c r="H227" i="5" s="1"/>
  <c r="F228" i="5" s="1"/>
  <c r="G228" i="5" s="1"/>
  <c r="I163" i="6"/>
  <c r="D228" i="5" l="1"/>
  <c r="H228" i="5" s="1"/>
  <c r="F229" i="5" s="1"/>
  <c r="G229" i="5" s="1"/>
  <c r="E164" i="6"/>
  <c r="G164" i="6"/>
  <c r="H164" i="6" s="1"/>
  <c r="D229" i="5" l="1"/>
  <c r="H229" i="5" s="1"/>
  <c r="I164" i="6"/>
  <c r="E165" i="6" l="1"/>
  <c r="G165" i="6"/>
  <c r="H165" i="6" s="1"/>
  <c r="D230" i="5"/>
  <c r="F230" i="5"/>
  <c r="G230" i="5" s="1"/>
  <c r="H230" i="5" l="1"/>
  <c r="I165" i="6"/>
  <c r="G166" i="6" l="1"/>
  <c r="H166" i="6" s="1"/>
  <c r="E166" i="6"/>
  <c r="F231" i="5"/>
  <c r="G231" i="5" s="1"/>
  <c r="D231" i="5"/>
  <c r="I166" i="6" l="1"/>
  <c r="G167" i="6" s="1"/>
  <c r="H167" i="6" s="1"/>
  <c r="H231" i="5"/>
  <c r="F232" i="5" s="1"/>
  <c r="G232" i="5" s="1"/>
  <c r="I232" i="5" s="1"/>
  <c r="D232" i="5" l="1"/>
  <c r="H232" i="5" s="1"/>
  <c r="E167" i="6"/>
  <c r="I167" i="6" s="1"/>
  <c r="E168" i="6" l="1"/>
  <c r="G168" i="6"/>
  <c r="H168" i="6" s="1"/>
  <c r="F233" i="5"/>
  <c r="G233" i="5" s="1"/>
  <c r="D233" i="5"/>
  <c r="I168" i="6" l="1"/>
  <c r="G169" i="6" s="1"/>
  <c r="H169" i="6" s="1"/>
  <c r="H233" i="5"/>
  <c r="D234" i="5" s="1"/>
  <c r="E169" i="6" l="1"/>
  <c r="F234" i="5"/>
  <c r="G234" i="5" s="1"/>
  <c r="H234" i="5" s="1"/>
  <c r="I169" i="6"/>
  <c r="G170" i="6" s="1"/>
  <c r="H170" i="6" s="1"/>
  <c r="E170" i="6" l="1"/>
  <c r="I170" i="6" s="1"/>
  <c r="F235" i="5"/>
  <c r="G235" i="5" s="1"/>
  <c r="D235" i="5"/>
  <c r="H235" i="5" l="1"/>
  <c r="F236" i="5" s="1"/>
  <c r="G236" i="5" s="1"/>
  <c r="E171" i="6"/>
  <c r="G171" i="6"/>
  <c r="H171" i="6" s="1"/>
  <c r="D236" i="5" l="1"/>
  <c r="H236" i="5" s="1"/>
  <c r="D237" i="5" s="1"/>
  <c r="I171" i="6"/>
  <c r="F237" i="5" l="1"/>
  <c r="G237" i="5" s="1"/>
  <c r="H237" i="5" s="1"/>
  <c r="E172" i="6"/>
  <c r="G172" i="6"/>
  <c r="H172" i="6" s="1"/>
  <c r="I172" i="6" l="1"/>
  <c r="D238" i="5"/>
  <c r="F238" i="5"/>
  <c r="G238" i="5" s="1"/>
  <c r="H238" i="5" l="1"/>
  <c r="E173" i="6"/>
  <c r="G173" i="6"/>
  <c r="H173" i="6" s="1"/>
  <c r="I173" i="6" l="1"/>
  <c r="D239" i="5"/>
  <c r="F239" i="5"/>
  <c r="G239" i="5" s="1"/>
  <c r="H239" i="5" l="1"/>
  <c r="G174" i="6"/>
  <c r="H174" i="6" s="1"/>
  <c r="E174" i="6"/>
  <c r="I174" i="6" l="1"/>
  <c r="G175" i="6" s="1"/>
  <c r="H175" i="6" s="1"/>
  <c r="D240" i="5"/>
  <c r="F240" i="5"/>
  <c r="G240" i="5" s="1"/>
  <c r="E175" i="6" l="1"/>
  <c r="I175" i="6" s="1"/>
  <c r="H240" i="5"/>
  <c r="E176" i="6" l="1"/>
  <c r="G176" i="6"/>
  <c r="H176" i="6" s="1"/>
  <c r="D241" i="5"/>
  <c r="F241" i="5"/>
  <c r="G241" i="5" s="1"/>
  <c r="H241" i="5" l="1"/>
  <c r="I176" i="6"/>
  <c r="G177" i="6" l="1"/>
  <c r="H177" i="6" s="1"/>
  <c r="E177" i="6"/>
  <c r="D242" i="5"/>
  <c r="F242" i="5"/>
  <c r="G242" i="5" s="1"/>
  <c r="I177" i="6" l="1"/>
  <c r="E178" i="6" s="1"/>
  <c r="H242" i="5"/>
  <c r="G178" i="6" l="1"/>
  <c r="H178" i="6" s="1"/>
  <c r="I178" i="6" s="1"/>
  <c r="D243" i="5"/>
  <c r="F243" i="5"/>
  <c r="G243" i="5" s="1"/>
  <c r="H243" i="5" l="1"/>
  <c r="E179" i="6"/>
  <c r="G179" i="6"/>
  <c r="H179" i="6" s="1"/>
  <c r="I179" i="6" l="1"/>
  <c r="F244" i="5"/>
  <c r="G244" i="5" s="1"/>
  <c r="I244" i="5" s="1"/>
  <c r="D244" i="5"/>
  <c r="H244" i="5" l="1"/>
  <c r="D245" i="5" s="1"/>
  <c r="E180" i="6"/>
  <c r="G180" i="6"/>
  <c r="H180" i="6" s="1"/>
  <c r="F245" i="5" l="1"/>
  <c r="G245" i="5" s="1"/>
  <c r="H245" i="5" s="1"/>
  <c r="I180" i="6"/>
  <c r="D246" i="5" l="1"/>
  <c r="F246" i="5"/>
  <c r="G246" i="5" s="1"/>
  <c r="E181" i="6"/>
  <c r="G181" i="6"/>
  <c r="H181" i="6" s="1"/>
  <c r="I181" i="6" l="1"/>
  <c r="E182" i="6" s="1"/>
  <c r="H246" i="5"/>
  <c r="G182" i="6" l="1"/>
  <c r="H182" i="6" s="1"/>
  <c r="D247" i="5"/>
  <c r="F247" i="5"/>
  <c r="G247" i="5" s="1"/>
  <c r="I182" i="6"/>
  <c r="G183" i="6" l="1"/>
  <c r="H183" i="6" s="1"/>
  <c r="E183" i="6"/>
  <c r="H247" i="5"/>
  <c r="I183" i="6" l="1"/>
  <c r="E184" i="6" s="1"/>
  <c r="D248" i="5"/>
  <c r="F248" i="5"/>
  <c r="G248" i="5" s="1"/>
  <c r="G184" i="6" l="1"/>
  <c r="H184" i="6" s="1"/>
  <c r="I184" i="6" s="1"/>
  <c r="H248" i="5"/>
  <c r="D249" i="5" l="1"/>
  <c r="F249" i="5"/>
  <c r="G249" i="5" s="1"/>
  <c r="G185" i="6"/>
  <c r="H185" i="6" s="1"/>
  <c r="E185" i="6"/>
  <c r="I185" i="6" l="1"/>
  <c r="G186" i="6" s="1"/>
  <c r="H186" i="6" s="1"/>
  <c r="H249" i="5"/>
  <c r="E186" i="6" l="1"/>
  <c r="D250" i="5"/>
  <c r="F250" i="5"/>
  <c r="G250" i="5" s="1"/>
  <c r="I186" i="6"/>
  <c r="E187" i="6" l="1"/>
  <c r="G187" i="6"/>
  <c r="H187" i="6" s="1"/>
  <c r="H250" i="5"/>
  <c r="D251" i="5" l="1"/>
  <c r="F251" i="5"/>
  <c r="G251" i="5" s="1"/>
  <c r="I187" i="6"/>
  <c r="E188" i="6" l="1"/>
  <c r="G188" i="6"/>
  <c r="H188" i="6" s="1"/>
  <c r="H251" i="5"/>
  <c r="F252" i="5" l="1"/>
  <c r="G252" i="5" s="1"/>
  <c r="D252" i="5"/>
  <c r="I188" i="6"/>
  <c r="H252" i="5" l="1"/>
  <c r="D253" i="5" s="1"/>
  <c r="G189" i="6"/>
  <c r="H189" i="6" s="1"/>
  <c r="E189" i="6"/>
  <c r="F253" i="5"/>
  <c r="G253" i="5" s="1"/>
  <c r="I189" i="6" l="1"/>
  <c r="E190" i="6" s="1"/>
  <c r="H253" i="5"/>
  <c r="G190" i="6" l="1"/>
  <c r="H190" i="6" s="1"/>
  <c r="I190" i="6" s="1"/>
  <c r="D254" i="5"/>
  <c r="F254" i="5"/>
  <c r="G254" i="5" s="1"/>
  <c r="H254" i="5" l="1"/>
  <c r="E191" i="6"/>
  <c r="G191" i="6"/>
  <c r="H191" i="6" s="1"/>
  <c r="I191" i="6" l="1"/>
  <c r="D255" i="5"/>
  <c r="F255" i="5"/>
  <c r="G255" i="5" s="1"/>
  <c r="H255" i="5" l="1"/>
  <c r="E192" i="6"/>
  <c r="G192" i="6"/>
  <c r="H192" i="6" s="1"/>
  <c r="I192" i="6" l="1"/>
  <c r="D256" i="5"/>
  <c r="F256" i="5"/>
  <c r="G256" i="5" s="1"/>
  <c r="I256" i="5" s="1"/>
  <c r="H256" i="5" l="1"/>
  <c r="G193" i="6"/>
  <c r="H193" i="6" s="1"/>
  <c r="E193" i="6"/>
  <c r="I193" i="6" l="1"/>
  <c r="E194" i="6" s="1"/>
  <c r="D257" i="5"/>
  <c r="F257" i="5"/>
  <c r="G257" i="5" s="1"/>
  <c r="G194" i="6" l="1"/>
  <c r="H194" i="6" s="1"/>
  <c r="I194" i="6" s="1"/>
  <c r="H257" i="5"/>
  <c r="E195" i="6" l="1"/>
  <c r="G195" i="6"/>
  <c r="H195" i="6" s="1"/>
  <c r="D258" i="5"/>
  <c r="F258" i="5"/>
  <c r="G258" i="5" s="1"/>
  <c r="H258" i="5" l="1"/>
  <c r="I195" i="6"/>
  <c r="G196" i="6" l="1"/>
  <c r="H196" i="6" s="1"/>
  <c r="E196" i="6"/>
  <c r="F259" i="5"/>
  <c r="G259" i="5" s="1"/>
  <c r="D259" i="5"/>
  <c r="H259" i="5" l="1"/>
  <c r="F260" i="5" s="1"/>
  <c r="G260" i="5" s="1"/>
  <c r="I196" i="6"/>
  <c r="E197" i="6" s="1"/>
  <c r="G197" i="6" l="1"/>
  <c r="H197" i="6" s="1"/>
  <c r="I197" i="6" s="1"/>
  <c r="D260" i="5"/>
  <c r="H260" i="5" s="1"/>
  <c r="F261" i="5" l="1"/>
  <c r="G261" i="5" s="1"/>
  <c r="D261" i="5"/>
  <c r="G198" i="6"/>
  <c r="H198" i="6" s="1"/>
  <c r="E198" i="6"/>
  <c r="H261" i="5" l="1"/>
  <c r="D262" i="5" s="1"/>
  <c r="I198" i="6"/>
  <c r="E199" i="6" s="1"/>
  <c r="F262" i="5" l="1"/>
  <c r="G262" i="5" s="1"/>
  <c r="H262" i="5" s="1"/>
  <c r="G199" i="6"/>
  <c r="H199" i="6" s="1"/>
  <c r="I199" i="6" s="1"/>
  <c r="D263" i="5"/>
  <c r="F263" i="5"/>
  <c r="G263" i="5" s="1"/>
  <c r="E200" i="6" l="1"/>
  <c r="G200" i="6"/>
  <c r="H200" i="6" s="1"/>
  <c r="H263" i="5"/>
  <c r="D264" i="5" l="1"/>
  <c r="F264" i="5"/>
  <c r="G264" i="5" s="1"/>
  <c r="I200" i="6"/>
  <c r="E201" i="6" l="1"/>
  <c r="G201" i="6"/>
  <c r="H201" i="6" s="1"/>
  <c r="H264" i="5"/>
  <c r="D265" i="5" l="1"/>
  <c r="F265" i="5"/>
  <c r="G265" i="5" s="1"/>
  <c r="I201" i="6"/>
  <c r="E202" i="6" l="1"/>
  <c r="G202" i="6"/>
  <c r="H202" i="6" s="1"/>
  <c r="H265" i="5"/>
  <c r="F266" i="5" l="1"/>
  <c r="G266" i="5" s="1"/>
  <c r="D266" i="5"/>
  <c r="I202" i="6"/>
  <c r="H266" i="5" l="1"/>
  <c r="G203" i="6"/>
  <c r="H203" i="6" s="1"/>
  <c r="E203" i="6"/>
  <c r="D267" i="5"/>
  <c r="F267" i="5"/>
  <c r="G267" i="5" s="1"/>
  <c r="I203" i="6" l="1"/>
  <c r="E204" i="6" s="1"/>
  <c r="H267" i="5"/>
  <c r="G204" i="6" l="1"/>
  <c r="H204" i="6" s="1"/>
  <c r="I204" i="6" s="1"/>
  <c r="F268" i="5"/>
  <c r="G268" i="5" s="1"/>
  <c r="I268" i="5" s="1"/>
  <c r="D268" i="5"/>
  <c r="H268" i="5" l="1"/>
  <c r="F269" i="5" s="1"/>
  <c r="G269" i="5" s="1"/>
  <c r="E205" i="6"/>
  <c r="G205" i="6"/>
  <c r="H205" i="6" s="1"/>
  <c r="D269" i="5" l="1"/>
  <c r="H269" i="5" s="1"/>
  <c r="I205" i="6"/>
  <c r="D270" i="5" l="1"/>
  <c r="F270" i="5"/>
  <c r="G270" i="5" s="1"/>
  <c r="G206" i="6"/>
  <c r="H206" i="6" s="1"/>
  <c r="E206" i="6"/>
  <c r="I206" i="6" l="1"/>
  <c r="H270" i="5"/>
  <c r="D271" i="5" l="1"/>
  <c r="F271" i="5"/>
  <c r="G271" i="5" s="1"/>
  <c r="E207" i="6"/>
  <c r="G207" i="6"/>
  <c r="H207" i="6" s="1"/>
  <c r="I207" i="6" l="1"/>
  <c r="H271" i="5"/>
  <c r="D272" i="5" l="1"/>
  <c r="F272" i="5"/>
  <c r="G272" i="5" s="1"/>
  <c r="E208" i="6"/>
  <c r="G208" i="6"/>
  <c r="H208" i="6" s="1"/>
  <c r="I208" i="6" l="1"/>
  <c r="H272" i="5"/>
  <c r="F273" i="5" l="1"/>
  <c r="G273" i="5" s="1"/>
  <c r="D273" i="5"/>
  <c r="E209" i="6"/>
  <c r="G209" i="6"/>
  <c r="H209" i="6" s="1"/>
  <c r="H273" i="5" l="1"/>
  <c r="D274" i="5" s="1"/>
  <c r="I209" i="6"/>
  <c r="F274" i="5" l="1"/>
  <c r="G274" i="5" s="1"/>
  <c r="H274" i="5" s="1"/>
  <c r="E210" i="6"/>
  <c r="G210" i="6"/>
  <c r="H210" i="6" s="1"/>
  <c r="I210" i="6" l="1"/>
  <c r="D275" i="5"/>
  <c r="F275" i="5"/>
  <c r="G275" i="5" s="1"/>
  <c r="H275" i="5" l="1"/>
  <c r="G211" i="6"/>
  <c r="H211" i="6" s="1"/>
  <c r="E211" i="6"/>
  <c r="I211" i="6" l="1"/>
  <c r="E212" i="6"/>
  <c r="G212" i="6"/>
  <c r="H212" i="6" s="1"/>
  <c r="D276" i="5"/>
  <c r="F276" i="5"/>
  <c r="G276" i="5" s="1"/>
  <c r="H276" i="5" l="1"/>
  <c r="I212" i="6"/>
  <c r="E213" i="6" l="1"/>
  <c r="G213" i="6"/>
  <c r="H213" i="6" s="1"/>
  <c r="D277" i="5"/>
  <c r="F277" i="5"/>
  <c r="G277" i="5" s="1"/>
  <c r="H277" i="5" l="1"/>
  <c r="I213" i="6"/>
  <c r="G214" i="6" l="1"/>
  <c r="H214" i="6" s="1"/>
  <c r="E214" i="6"/>
  <c r="F278" i="5"/>
  <c r="G278" i="5" s="1"/>
  <c r="D278" i="5"/>
  <c r="I214" i="6" l="1"/>
  <c r="G215" i="6" s="1"/>
  <c r="H215" i="6" s="1"/>
  <c r="H278" i="5"/>
  <c r="F279" i="5" s="1"/>
  <c r="G279" i="5" s="1"/>
  <c r="D279" i="5" l="1"/>
  <c r="H279" i="5" s="1"/>
  <c r="D280" i="5" s="1"/>
  <c r="E215" i="6"/>
  <c r="I215" i="6" s="1"/>
  <c r="F280" i="5" l="1"/>
  <c r="G280" i="5" s="1"/>
  <c r="I280" i="5" s="1"/>
  <c r="E216" i="6"/>
  <c r="G216" i="6"/>
  <c r="H216" i="6" s="1"/>
  <c r="H280" i="5" l="1"/>
  <c r="F281" i="5" s="1"/>
  <c r="G281" i="5" s="1"/>
  <c r="I216" i="6"/>
  <c r="D281" i="5" l="1"/>
  <c r="H281" i="5" s="1"/>
  <c r="D282" i="5" s="1"/>
  <c r="E217" i="6"/>
  <c r="G217" i="6"/>
  <c r="H217" i="6" s="1"/>
  <c r="F282" i="5" l="1"/>
  <c r="G282" i="5" s="1"/>
  <c r="H282" i="5" s="1"/>
  <c r="I217" i="6"/>
  <c r="D283" i="5" l="1"/>
  <c r="F283" i="5"/>
  <c r="G283" i="5" s="1"/>
  <c r="E218" i="6"/>
  <c r="G218" i="6"/>
  <c r="H218" i="6" s="1"/>
  <c r="I218" i="6" l="1"/>
  <c r="H283" i="5"/>
  <c r="D284" i="5" l="1"/>
  <c r="F284" i="5"/>
  <c r="G284" i="5" s="1"/>
  <c r="G219" i="6"/>
  <c r="H219" i="6" s="1"/>
  <c r="E219" i="6"/>
  <c r="I219" i="6" l="1"/>
  <c r="H284" i="5"/>
  <c r="D285" i="5" l="1"/>
  <c r="F285" i="5"/>
  <c r="G285" i="5" s="1"/>
  <c r="E220" i="6"/>
  <c r="G220" i="6"/>
  <c r="H220" i="6" s="1"/>
  <c r="I220" i="6" l="1"/>
  <c r="H285" i="5"/>
  <c r="F286" i="5" l="1"/>
  <c r="G286" i="5" s="1"/>
  <c r="D286" i="5"/>
  <c r="E221" i="6"/>
  <c r="G221" i="6"/>
  <c r="H221" i="6" s="1"/>
  <c r="H286" i="5" l="1"/>
  <c r="F287" i="5" s="1"/>
  <c r="G287" i="5" s="1"/>
  <c r="I221" i="6"/>
  <c r="D287" i="5" l="1"/>
  <c r="H287" i="5" s="1"/>
  <c r="G222" i="6"/>
  <c r="H222" i="6" s="1"/>
  <c r="E222" i="6"/>
  <c r="D288" i="5" l="1"/>
  <c r="F288" i="5"/>
  <c r="G288" i="5" s="1"/>
  <c r="I222" i="6"/>
  <c r="E223" i="6" s="1"/>
  <c r="H288" i="5" l="1"/>
  <c r="F289" i="5" s="1"/>
  <c r="G289" i="5" s="1"/>
  <c r="G223" i="6"/>
  <c r="H223" i="6" s="1"/>
  <c r="I223" i="6" s="1"/>
  <c r="D289" i="5" l="1"/>
  <c r="H289" i="5" s="1"/>
  <c r="D290" i="5" s="1"/>
  <c r="E224" i="6"/>
  <c r="G224" i="6"/>
  <c r="H224" i="6" s="1"/>
  <c r="F290" i="5" l="1"/>
  <c r="G290" i="5" s="1"/>
  <c r="H290" i="5" s="1"/>
  <c r="I224" i="6"/>
  <c r="E225" i="6" l="1"/>
  <c r="G225" i="6"/>
  <c r="H225" i="6" s="1"/>
  <c r="D291" i="5"/>
  <c r="F291" i="5"/>
  <c r="G291" i="5" s="1"/>
  <c r="H291" i="5" l="1"/>
  <c r="I225" i="6"/>
  <c r="E226" i="6" l="1"/>
  <c r="G226" i="6"/>
  <c r="H226" i="6" s="1"/>
  <c r="D292" i="5"/>
  <c r="F292" i="5"/>
  <c r="G292" i="5" s="1"/>
  <c r="I292" i="5" s="1"/>
  <c r="H292" i="5" l="1"/>
  <c r="I226" i="6"/>
  <c r="G227" i="6" l="1"/>
  <c r="H227" i="6" s="1"/>
  <c r="E227" i="6"/>
  <c r="D293" i="5"/>
  <c r="F293" i="5"/>
  <c r="G293" i="5" s="1"/>
  <c r="I227" i="6" l="1"/>
  <c r="G228" i="6" s="1"/>
  <c r="H228" i="6" s="1"/>
  <c r="H293" i="5"/>
  <c r="E228" i="6" l="1"/>
  <c r="I228" i="6" s="1"/>
  <c r="F294" i="5"/>
  <c r="G294" i="5" s="1"/>
  <c r="D294" i="5"/>
  <c r="H294" i="5" l="1"/>
  <c r="F295" i="5" s="1"/>
  <c r="G295" i="5" s="1"/>
  <c r="E229" i="6"/>
  <c r="G229" i="6"/>
  <c r="H229" i="6" s="1"/>
  <c r="D295" i="5" l="1"/>
  <c r="H295" i="5" s="1"/>
  <c r="D296" i="5" s="1"/>
  <c r="I229" i="6"/>
  <c r="F296" i="5" l="1"/>
  <c r="G296" i="5" s="1"/>
  <c r="H296" i="5" s="1"/>
  <c r="G230" i="6"/>
  <c r="H230" i="6" s="1"/>
  <c r="E230" i="6"/>
  <c r="I230" i="6" l="1"/>
  <c r="E231" i="6" s="1"/>
  <c r="F297" i="5"/>
  <c r="G297" i="5" s="1"/>
  <c r="D297" i="5"/>
  <c r="G231" i="6" l="1"/>
  <c r="H231" i="6" s="1"/>
  <c r="I231" i="6" s="1"/>
  <c r="H297" i="5"/>
  <c r="D298" i="5" s="1"/>
  <c r="F298" i="5" l="1"/>
  <c r="G298" i="5" s="1"/>
  <c r="H298" i="5" s="1"/>
  <c r="E232" i="6"/>
  <c r="G232" i="6"/>
  <c r="H232" i="6" s="1"/>
  <c r="D299" i="5" l="1"/>
  <c r="F299" i="5"/>
  <c r="G299" i="5" s="1"/>
  <c r="I232" i="6"/>
  <c r="E233" i="6" l="1"/>
  <c r="G233" i="6"/>
  <c r="H233" i="6" s="1"/>
  <c r="H299" i="5"/>
  <c r="D300" i="5" l="1"/>
  <c r="F300" i="5"/>
  <c r="G300" i="5" s="1"/>
  <c r="I233" i="6"/>
  <c r="E234" i="6" l="1"/>
  <c r="G234" i="6"/>
  <c r="H234" i="6" s="1"/>
  <c r="H300" i="5"/>
  <c r="D301" i="5" l="1"/>
  <c r="F301" i="5"/>
  <c r="G301" i="5" s="1"/>
  <c r="I234" i="6"/>
  <c r="G235" i="6" l="1"/>
  <c r="H235" i="6" s="1"/>
  <c r="E235" i="6"/>
  <c r="H301" i="5"/>
  <c r="I235" i="6" l="1"/>
  <c r="F302" i="5"/>
  <c r="G302" i="5" s="1"/>
  <c r="D302" i="5"/>
  <c r="E236" i="6"/>
  <c r="G236" i="6"/>
  <c r="H236" i="6" s="1"/>
  <c r="H302" i="5" l="1"/>
  <c r="F303" i="5" s="1"/>
  <c r="G303" i="5" s="1"/>
  <c r="I236" i="6"/>
  <c r="D303" i="5" l="1"/>
  <c r="H303" i="5" s="1"/>
  <c r="D304" i="5" s="1"/>
  <c r="E237" i="6"/>
  <c r="G237" i="6"/>
  <c r="H237" i="6" s="1"/>
  <c r="F304" i="5" l="1"/>
  <c r="G304" i="5" s="1"/>
  <c r="I237" i="6"/>
  <c r="G238" i="6" s="1"/>
  <c r="H238" i="6" s="1"/>
  <c r="I304" i="5" l="1"/>
  <c r="H304" i="5"/>
  <c r="F305" i="5" s="1"/>
  <c r="G305" i="5" s="1"/>
  <c r="E238" i="6"/>
  <c r="I238" i="6" s="1"/>
  <c r="D305" i="5" l="1"/>
  <c r="H305" i="5" s="1"/>
  <c r="D306" i="5" s="1"/>
  <c r="E239" i="6"/>
  <c r="G239" i="6"/>
  <c r="H239" i="6" s="1"/>
  <c r="I239" i="6" l="1"/>
  <c r="E240" i="6" s="1"/>
  <c r="F306" i="5"/>
  <c r="G306" i="5" s="1"/>
  <c r="H306" i="5" s="1"/>
  <c r="G240" i="6" l="1"/>
  <c r="H240" i="6" s="1"/>
  <c r="I240" i="6" s="1"/>
  <c r="E241" i="6" s="1"/>
  <c r="D307" i="5"/>
  <c r="F307" i="5"/>
  <c r="G307" i="5" s="1"/>
  <c r="G241" i="6" l="1"/>
  <c r="H241" i="6" s="1"/>
  <c r="I241" i="6" s="1"/>
  <c r="H307" i="5"/>
  <c r="E242" i="6" l="1"/>
  <c r="G242" i="6"/>
  <c r="H242" i="6" s="1"/>
  <c r="D308" i="5"/>
  <c r="F308" i="5"/>
  <c r="G308" i="5" s="1"/>
  <c r="H308" i="5" l="1"/>
  <c r="I242" i="6"/>
  <c r="G243" i="6" l="1"/>
  <c r="H243" i="6" s="1"/>
  <c r="E243" i="6"/>
  <c r="D309" i="5"/>
  <c r="F309" i="5"/>
  <c r="G309" i="5" s="1"/>
  <c r="I243" i="6" l="1"/>
  <c r="E244" i="6" s="1"/>
  <c r="H309" i="5"/>
  <c r="F310" i="5" s="1"/>
  <c r="G310" i="5" s="1"/>
  <c r="G244" i="6"/>
  <c r="H244" i="6" s="1"/>
  <c r="D310" i="5" l="1"/>
  <c r="H310" i="5" s="1"/>
  <c r="F311" i="5" s="1"/>
  <c r="G311" i="5" s="1"/>
  <c r="I244" i="6"/>
  <c r="D311" i="5" l="1"/>
  <c r="H311" i="5" s="1"/>
  <c r="D312" i="5" s="1"/>
  <c r="E245" i="6"/>
  <c r="G245" i="6"/>
  <c r="H245" i="6" s="1"/>
  <c r="F312" i="5" l="1"/>
  <c r="G312" i="5" s="1"/>
  <c r="H312" i="5" s="1"/>
  <c r="I245" i="6"/>
  <c r="G246" i="6" s="1"/>
  <c r="H246" i="6" s="1"/>
  <c r="E246" i="6" l="1"/>
  <c r="I246" i="6" s="1"/>
  <c r="E247" i="6" s="1"/>
  <c r="F313" i="5"/>
  <c r="G313" i="5" s="1"/>
  <c r="D313" i="5"/>
  <c r="G247" i="6" l="1"/>
  <c r="H247" i="6" s="1"/>
  <c r="I247" i="6" s="1"/>
  <c r="H313" i="5"/>
  <c r="D314" i="5" s="1"/>
  <c r="F314" i="5" l="1"/>
  <c r="G314" i="5" s="1"/>
  <c r="H314" i="5" s="1"/>
  <c r="E248" i="6"/>
  <c r="G248" i="6"/>
  <c r="H248" i="6" s="1"/>
  <c r="F315" i="5" l="1"/>
  <c r="G315" i="5" s="1"/>
  <c r="D315" i="5"/>
  <c r="I248" i="6"/>
  <c r="H315" i="5" l="1"/>
  <c r="D316" i="5" s="1"/>
  <c r="G249" i="6"/>
  <c r="H249" i="6" s="1"/>
  <c r="E249" i="6"/>
  <c r="F316" i="5" l="1"/>
  <c r="G316" i="5" s="1"/>
  <c r="I316" i="5" s="1"/>
  <c r="I249" i="6"/>
  <c r="H316" i="5" l="1"/>
  <c r="D317" i="5" s="1"/>
  <c r="F317" i="5"/>
  <c r="G317" i="5" s="1"/>
  <c r="E250" i="6"/>
  <c r="G250" i="6"/>
  <c r="H250" i="6" s="1"/>
  <c r="I250" i="6" l="1"/>
  <c r="H317" i="5"/>
  <c r="G251" i="6" l="1"/>
  <c r="H251" i="6" s="1"/>
  <c r="E251" i="6"/>
  <c r="F318" i="5"/>
  <c r="G318" i="5" s="1"/>
  <c r="D318" i="5"/>
  <c r="H318" i="5" l="1"/>
  <c r="F319" i="5" s="1"/>
  <c r="G319" i="5" s="1"/>
  <c r="I251" i="6"/>
  <c r="D319" i="5" l="1"/>
  <c r="H319" i="5" s="1"/>
  <c r="D320" i="5" s="1"/>
  <c r="E252" i="6"/>
  <c r="G252" i="6"/>
  <c r="H252" i="6" s="1"/>
  <c r="F320" i="5" l="1"/>
  <c r="G320" i="5" s="1"/>
  <c r="H320" i="5" s="1"/>
  <c r="I252" i="6"/>
  <c r="E253" i="6" l="1"/>
  <c r="G253" i="6"/>
  <c r="H253" i="6" s="1"/>
  <c r="F321" i="5"/>
  <c r="G321" i="5" s="1"/>
  <c r="D321" i="5"/>
  <c r="H321" i="5" l="1"/>
  <c r="F322" i="5" s="1"/>
  <c r="G322" i="5" s="1"/>
  <c r="I253" i="6"/>
  <c r="D322" i="5" l="1"/>
  <c r="G254" i="6"/>
  <c r="H254" i="6" s="1"/>
  <c r="E254" i="6"/>
  <c r="H322" i="5"/>
  <c r="I254" i="6" l="1"/>
  <c r="E255" i="6" s="1"/>
  <c r="D323" i="5"/>
  <c r="F323" i="5"/>
  <c r="G323" i="5" s="1"/>
  <c r="G255" i="6" l="1"/>
  <c r="H255" i="6" s="1"/>
  <c r="I255" i="6" s="1"/>
  <c r="H323" i="5"/>
  <c r="E256" i="6" l="1"/>
  <c r="G256" i="6"/>
  <c r="H256" i="6" s="1"/>
  <c r="D324" i="5"/>
  <c r="F324" i="5"/>
  <c r="G324" i="5" s="1"/>
  <c r="I256" i="6" l="1"/>
  <c r="G257" i="6" s="1"/>
  <c r="H257" i="6" s="1"/>
  <c r="H324" i="5"/>
  <c r="E257" i="6" l="1"/>
  <c r="I257" i="6"/>
  <c r="E258" i="6" s="1"/>
  <c r="D325" i="5"/>
  <c r="F325" i="5"/>
  <c r="G325" i="5" s="1"/>
  <c r="G258" i="6" l="1"/>
  <c r="H258" i="6" s="1"/>
  <c r="I258" i="6" s="1"/>
  <c r="H325" i="5"/>
  <c r="F326" i="5" l="1"/>
  <c r="G326" i="5" s="1"/>
  <c r="D326" i="5"/>
  <c r="G259" i="6"/>
  <c r="H259" i="6" s="1"/>
  <c r="E259" i="6"/>
  <c r="I259" i="6" l="1"/>
  <c r="E260" i="6" s="1"/>
  <c r="H326" i="5"/>
  <c r="D327" i="5" s="1"/>
  <c r="F327" i="5" l="1"/>
  <c r="G327" i="5" s="1"/>
  <c r="H327" i="5" s="1"/>
  <c r="G260" i="6"/>
  <c r="H260" i="6" s="1"/>
  <c r="I260" i="6" s="1"/>
  <c r="G261" i="6" l="1"/>
  <c r="H261" i="6" s="1"/>
  <c r="E261" i="6"/>
  <c r="F328" i="5"/>
  <c r="G328" i="5" s="1"/>
  <c r="I328" i="5" s="1"/>
  <c r="D328" i="5"/>
  <c r="H328" i="5" l="1"/>
  <c r="I261" i="6"/>
  <c r="G262" i="6" s="1"/>
  <c r="H262" i="6" s="1"/>
  <c r="D329" i="5" l="1"/>
  <c r="F329" i="5"/>
  <c r="G329" i="5" s="1"/>
  <c r="E262" i="6"/>
  <c r="I262" i="6" s="1"/>
  <c r="E263" i="6" s="1"/>
  <c r="H329" i="5" l="1"/>
  <c r="D330" i="5" s="1"/>
  <c r="G263" i="6"/>
  <c r="H263" i="6" s="1"/>
  <c r="I263" i="6" s="1"/>
  <c r="F330" i="5" l="1"/>
  <c r="G330" i="5" s="1"/>
  <c r="H330" i="5" s="1"/>
  <c r="E264" i="6"/>
  <c r="G264" i="6"/>
  <c r="H264" i="6" s="1"/>
  <c r="D331" i="5" l="1"/>
  <c r="F331" i="5"/>
  <c r="G331" i="5" s="1"/>
  <c r="I264" i="6"/>
  <c r="H331" i="5" l="1"/>
  <c r="E265" i="6"/>
  <c r="G265" i="6"/>
  <c r="H265" i="6" s="1"/>
  <c r="D332" i="5" l="1"/>
  <c r="F332" i="5"/>
  <c r="G332" i="5" s="1"/>
  <c r="I265" i="6"/>
  <c r="H332" i="5" l="1"/>
  <c r="F333" i="5"/>
  <c r="G333" i="5" s="1"/>
  <c r="D333" i="5"/>
  <c r="E266" i="6"/>
  <c r="G266" i="6"/>
  <c r="H266" i="6" s="1"/>
  <c r="H333" i="5" l="1"/>
  <c r="D334" i="5" s="1"/>
  <c r="F334" i="5"/>
  <c r="G334" i="5" s="1"/>
  <c r="I266" i="6"/>
  <c r="H334" i="5" l="1"/>
  <c r="E267" i="6"/>
  <c r="G267" i="6"/>
  <c r="H267" i="6" s="1"/>
  <c r="F335" i="5" l="1"/>
  <c r="G335" i="5" s="1"/>
  <c r="D335" i="5"/>
  <c r="I267" i="6"/>
  <c r="H335" i="5" l="1"/>
  <c r="D336" i="5"/>
  <c r="F336" i="5"/>
  <c r="G336" i="5" s="1"/>
  <c r="E268" i="6"/>
  <c r="G268" i="6"/>
  <c r="H268" i="6" s="1"/>
  <c r="H336" i="5" l="1"/>
  <c r="I268" i="6"/>
  <c r="F337" i="5" l="1"/>
  <c r="G337" i="5" s="1"/>
  <c r="D337" i="5"/>
  <c r="G269" i="6"/>
  <c r="H269" i="6" s="1"/>
  <c r="E269" i="6"/>
  <c r="H337" i="5" l="1"/>
  <c r="D338" i="5"/>
  <c r="F338" i="5"/>
  <c r="G338" i="5" s="1"/>
  <c r="I269" i="6"/>
  <c r="G270" i="6" s="1"/>
  <c r="H270" i="6" s="1"/>
  <c r="E270" i="6" l="1"/>
  <c r="I270" i="6" s="1"/>
  <c r="E271" i="6" s="1"/>
  <c r="H338" i="5"/>
  <c r="G271" i="6" l="1"/>
  <c r="H271" i="6" s="1"/>
  <c r="I271" i="6" s="1"/>
  <c r="F339" i="5"/>
  <c r="G339" i="5" s="1"/>
  <c r="D339" i="5"/>
  <c r="H339" i="5" l="1"/>
  <c r="D340" i="5"/>
  <c r="F340" i="5"/>
  <c r="G340" i="5" s="1"/>
  <c r="I340" i="5" s="1"/>
  <c r="E272" i="6"/>
  <c r="G272" i="6"/>
  <c r="H272" i="6" s="1"/>
  <c r="H340" i="5" l="1"/>
  <c r="I272" i="6"/>
  <c r="E273" i="6" s="1"/>
  <c r="G273" i="6" l="1"/>
  <c r="H273" i="6" s="1"/>
  <c r="I273" i="6" s="1"/>
  <c r="D341" i="5"/>
  <c r="F341" i="5"/>
  <c r="G341" i="5" s="1"/>
  <c r="H341" i="5" l="1"/>
  <c r="E274" i="6"/>
  <c r="G274" i="6"/>
  <c r="H274" i="6" s="1"/>
  <c r="D342" i="5" l="1"/>
  <c r="F342" i="5"/>
  <c r="G342" i="5" s="1"/>
  <c r="I274" i="6"/>
  <c r="H342" i="5" l="1"/>
  <c r="E275" i="6"/>
  <c r="G275" i="6"/>
  <c r="H275" i="6" s="1"/>
  <c r="F343" i="5" l="1"/>
  <c r="G343" i="5" s="1"/>
  <c r="D343" i="5"/>
  <c r="I275" i="6"/>
  <c r="H343" i="5" l="1"/>
  <c r="E276" i="6"/>
  <c r="G276" i="6"/>
  <c r="H276" i="6" s="1"/>
  <c r="F344" i="5" l="1"/>
  <c r="G344" i="5" s="1"/>
  <c r="D344" i="5"/>
  <c r="I276" i="6"/>
  <c r="H344" i="5" l="1"/>
  <c r="E277" i="6"/>
  <c r="G277" i="6"/>
  <c r="H277" i="6" s="1"/>
  <c r="F345" i="5" l="1"/>
  <c r="G345" i="5" s="1"/>
  <c r="D345" i="5"/>
  <c r="I277" i="6"/>
  <c r="H345" i="5" l="1"/>
  <c r="G278" i="6"/>
  <c r="H278" i="6" s="1"/>
  <c r="E278" i="6"/>
  <c r="F346" i="5" l="1"/>
  <c r="G346" i="5" s="1"/>
  <c r="D346" i="5"/>
  <c r="I278" i="6"/>
  <c r="G279" i="6" s="1"/>
  <c r="H279" i="6" s="1"/>
  <c r="E279" i="6" l="1"/>
  <c r="I279" i="6" s="1"/>
  <c r="E280" i="6" s="1"/>
  <c r="H346" i="5"/>
  <c r="G280" i="6" l="1"/>
  <c r="H280" i="6" s="1"/>
  <c r="I280" i="6" s="1"/>
  <c r="D347" i="5"/>
  <c r="F347" i="5"/>
  <c r="G347" i="5" s="1"/>
  <c r="H347" i="5" l="1"/>
  <c r="F348" i="5"/>
  <c r="G348" i="5" s="1"/>
  <c r="D348" i="5"/>
  <c r="G281" i="6"/>
  <c r="H281" i="6" s="1"/>
  <c r="E281" i="6"/>
  <c r="H348" i="5" l="1"/>
  <c r="I281" i="6"/>
  <c r="E282" i="6" s="1"/>
  <c r="D349" i="5" l="1"/>
  <c r="F349" i="5"/>
  <c r="G349" i="5" s="1"/>
  <c r="G282" i="6"/>
  <c r="H282" i="6" s="1"/>
  <c r="I282" i="6" s="1"/>
  <c r="H349" i="5" l="1"/>
  <c r="D350" i="5"/>
  <c r="F350" i="5"/>
  <c r="G350" i="5" s="1"/>
  <c r="G283" i="6"/>
  <c r="H283" i="6" s="1"/>
  <c r="E283" i="6"/>
  <c r="H350" i="5" l="1"/>
  <c r="D351" i="5"/>
  <c r="F351" i="5"/>
  <c r="G351" i="5" s="1"/>
  <c r="I283" i="6"/>
  <c r="E284" i="6" s="1"/>
  <c r="H351" i="5" l="1"/>
  <c r="G284" i="6"/>
  <c r="H284" i="6" s="1"/>
  <c r="I284" i="6" s="1"/>
  <c r="D352" i="5"/>
  <c r="F352" i="5"/>
  <c r="G352" i="5" s="1"/>
  <c r="H352" i="5" l="1"/>
  <c r="I352" i="5"/>
  <c r="E285" i="6"/>
  <c r="G285" i="6"/>
  <c r="H285" i="6" s="1"/>
  <c r="I285" i="6" l="1"/>
  <c r="G286" i="6" l="1"/>
  <c r="H286" i="6" s="1"/>
  <c r="E286" i="6"/>
  <c r="I286" i="6" l="1"/>
  <c r="E287" i="6" s="1"/>
  <c r="G287" i="6" l="1"/>
  <c r="H287" i="6" s="1"/>
  <c r="I287" i="6" s="1"/>
  <c r="E288" i="6" l="1"/>
  <c r="G288" i="6"/>
  <c r="H288" i="6" s="1"/>
  <c r="I288" i="6" l="1"/>
  <c r="E289" i="6" l="1"/>
  <c r="G289" i="6"/>
  <c r="H289" i="6" s="1"/>
  <c r="I289" i="6" l="1"/>
  <c r="E290" i="6" l="1"/>
  <c r="G290" i="6"/>
  <c r="H290" i="6" s="1"/>
  <c r="I290" i="6" l="1"/>
  <c r="E291" i="6" l="1"/>
  <c r="G291" i="6"/>
  <c r="H291" i="6" s="1"/>
  <c r="I291" i="6" l="1"/>
  <c r="E292" i="6" l="1"/>
  <c r="G292" i="6"/>
  <c r="H292" i="6" s="1"/>
  <c r="I292" i="6" l="1"/>
  <c r="E293" i="6" s="1"/>
  <c r="G293" i="6"/>
  <c r="H293" i="6" s="1"/>
  <c r="I293" i="6" l="1"/>
  <c r="G294" i="6" l="1"/>
  <c r="H294" i="6" s="1"/>
  <c r="E294" i="6"/>
  <c r="I294" i="6" l="1"/>
  <c r="E295" i="6" s="1"/>
  <c r="G295" i="6" l="1"/>
  <c r="H295" i="6" s="1"/>
  <c r="I295" i="6" s="1"/>
  <c r="E296" i="6" l="1"/>
  <c r="G296" i="6"/>
  <c r="H296" i="6" s="1"/>
  <c r="I296" i="6" l="1"/>
  <c r="E297" i="6" l="1"/>
  <c r="G297" i="6"/>
  <c r="H297" i="6" s="1"/>
  <c r="I297" i="6" l="1"/>
  <c r="G298" i="6" l="1"/>
  <c r="H298" i="6" s="1"/>
  <c r="E298" i="6"/>
  <c r="I298" i="6" l="1"/>
  <c r="E299" i="6" s="1"/>
  <c r="G299" i="6" l="1"/>
  <c r="H299" i="6" s="1"/>
  <c r="I299" i="6" s="1"/>
  <c r="E300" i="6" l="1"/>
  <c r="G300" i="6"/>
  <c r="H300" i="6" s="1"/>
  <c r="I300" i="6" l="1"/>
  <c r="E301" i="6" l="1"/>
  <c r="G301" i="6"/>
  <c r="H301" i="6" s="1"/>
  <c r="I301" i="6" l="1"/>
  <c r="G302" i="6" l="1"/>
  <c r="H302" i="6" s="1"/>
  <c r="E302" i="6"/>
  <c r="I302" i="6" l="1"/>
  <c r="G303" i="6" s="1"/>
  <c r="H303" i="6" s="1"/>
  <c r="E303" i="6" l="1"/>
  <c r="I303" i="6" s="1"/>
  <c r="E304" i="6" l="1"/>
  <c r="G304" i="6"/>
  <c r="H304" i="6" s="1"/>
  <c r="I304" i="6" l="1"/>
  <c r="G305" i="6" l="1"/>
  <c r="H305" i="6" s="1"/>
  <c r="E305" i="6"/>
  <c r="I305" i="6" l="1"/>
  <c r="E306" i="6" s="1"/>
  <c r="G306" i="6" l="1"/>
  <c r="H306" i="6" s="1"/>
  <c r="I306" i="6" s="1"/>
  <c r="E307" i="6" l="1"/>
  <c r="G307" i="6"/>
  <c r="H307" i="6" s="1"/>
  <c r="I307" i="6" l="1"/>
  <c r="G308" i="6" l="1"/>
  <c r="H308" i="6" s="1"/>
  <c r="E308" i="6"/>
  <c r="I308" i="6" l="1"/>
  <c r="G309" i="6" s="1"/>
  <c r="H309" i="6" s="1"/>
  <c r="E309" i="6" l="1"/>
  <c r="I309" i="6" s="1"/>
  <c r="E310" i="6" l="1"/>
  <c r="G310" i="6"/>
  <c r="H310" i="6" s="1"/>
  <c r="I310" i="6" l="1"/>
  <c r="E311" i="6" l="1"/>
  <c r="G311" i="6"/>
  <c r="H311" i="6" s="1"/>
  <c r="I311" i="6" l="1"/>
  <c r="E312" i="6" l="1"/>
  <c r="G312" i="6"/>
  <c r="H312" i="6" s="1"/>
  <c r="I312" i="6" l="1"/>
  <c r="G313" i="6" l="1"/>
  <c r="H313" i="6" s="1"/>
  <c r="E313" i="6"/>
  <c r="I313" i="6" l="1"/>
  <c r="E314" i="6" s="1"/>
  <c r="G314" i="6" l="1"/>
  <c r="H314" i="6" s="1"/>
  <c r="I314" i="6" s="1"/>
  <c r="E315" i="6" l="1"/>
  <c r="G315" i="6"/>
  <c r="H315" i="6" s="1"/>
  <c r="I315" i="6" l="1"/>
  <c r="G316" i="6" l="1"/>
  <c r="H316" i="6" s="1"/>
  <c r="E316" i="6"/>
  <c r="I316" i="6" l="1"/>
  <c r="E317" i="6" s="1"/>
  <c r="G317" i="6" l="1"/>
  <c r="H317" i="6" s="1"/>
  <c r="I317" i="6" s="1"/>
  <c r="E318" i="6" l="1"/>
  <c r="G318" i="6"/>
  <c r="H318" i="6" s="1"/>
  <c r="I318" i="6" l="1"/>
  <c r="E319" i="6" l="1"/>
  <c r="G319" i="6"/>
  <c r="H319" i="6" s="1"/>
  <c r="I319" i="6" l="1"/>
  <c r="E320" i="6" l="1"/>
  <c r="G320" i="6"/>
  <c r="H320" i="6" s="1"/>
  <c r="I320" i="6" l="1"/>
  <c r="G321" i="6" l="1"/>
  <c r="H321" i="6" s="1"/>
  <c r="E321" i="6"/>
  <c r="I321" i="6" l="1"/>
  <c r="E322" i="6" s="1"/>
  <c r="G322" i="6" l="1"/>
  <c r="H322" i="6" s="1"/>
  <c r="I322" i="6" s="1"/>
  <c r="E323" i="6" l="1"/>
  <c r="G323" i="6"/>
  <c r="H323" i="6" s="1"/>
  <c r="I323" i="6" l="1"/>
  <c r="G324" i="6" l="1"/>
  <c r="H324" i="6" s="1"/>
  <c r="E324" i="6"/>
  <c r="I324" i="6" l="1"/>
  <c r="E325" i="6" s="1"/>
  <c r="G325" i="6"/>
  <c r="H325" i="6" s="1"/>
  <c r="I325" i="6" l="1"/>
  <c r="E326" i="6" l="1"/>
  <c r="G326" i="6"/>
  <c r="H326" i="6" s="1"/>
  <c r="I326" i="6" l="1"/>
  <c r="E327" i="6" l="1"/>
  <c r="G327" i="6"/>
  <c r="H327" i="6" s="1"/>
  <c r="I327" i="6" l="1"/>
  <c r="E328" i="6" l="1"/>
  <c r="G328" i="6"/>
  <c r="H328" i="6" s="1"/>
  <c r="I328" i="6" l="1"/>
  <c r="G329" i="6" l="1"/>
  <c r="H329" i="6" s="1"/>
  <c r="E329" i="6"/>
  <c r="I329" i="6" l="1"/>
  <c r="G330" i="6" s="1"/>
  <c r="H330" i="6" s="1"/>
  <c r="E330" i="6" l="1"/>
  <c r="I330" i="6" s="1"/>
  <c r="E331" i="6" l="1"/>
  <c r="G331" i="6"/>
  <c r="H331" i="6" s="1"/>
  <c r="I331" i="6" l="1"/>
  <c r="G332" i="6" l="1"/>
  <c r="H332" i="6" s="1"/>
  <c r="E332" i="6"/>
  <c r="I332" i="6" l="1"/>
  <c r="E333" i="6"/>
  <c r="G333" i="6"/>
  <c r="H333" i="6" s="1"/>
  <c r="I333" i="6" l="1"/>
  <c r="E334" i="6" l="1"/>
  <c r="G334" i="6"/>
  <c r="H334" i="6" s="1"/>
  <c r="I334" i="6" l="1"/>
  <c r="E335" i="6" l="1"/>
  <c r="G335" i="6"/>
  <c r="H335" i="6" s="1"/>
  <c r="I335" i="6" l="1"/>
  <c r="E336" i="6" l="1"/>
  <c r="G336" i="6"/>
  <c r="H336" i="6" s="1"/>
  <c r="I336" i="6" l="1"/>
  <c r="G337" i="6" l="1"/>
  <c r="H337" i="6" s="1"/>
  <c r="E337" i="6"/>
  <c r="I337" i="6" l="1"/>
  <c r="E338" i="6" s="1"/>
  <c r="G338" i="6" l="1"/>
  <c r="H338" i="6" s="1"/>
  <c r="I338" i="6" s="1"/>
  <c r="E339" i="6" l="1"/>
  <c r="G339" i="6"/>
  <c r="H339" i="6" s="1"/>
  <c r="I339" i="6" l="1"/>
  <c r="G340" i="6" l="1"/>
  <c r="H340" i="6" s="1"/>
  <c r="E340" i="6"/>
  <c r="I340" i="6" l="1"/>
  <c r="L24" i="2" l="1"/>
  <c r="P24" i="2"/>
  <c r="P26" i="2"/>
  <c r="G29" i="2"/>
  <c r="K13" i="2"/>
  <c r="K14" i="2"/>
  <c r="K16" i="2"/>
  <c r="K19" i="2" s="1"/>
  <c r="K20" i="2" s="1"/>
  <c r="G27" i="2"/>
  <c r="N12" i="2" s="1"/>
  <c r="G17" i="2"/>
  <c r="G19" i="2"/>
  <c r="G22" i="2"/>
  <c r="G25" i="2" s="1"/>
  <c r="G24" i="2"/>
  <c r="O13" i="2"/>
  <c r="O14" i="2"/>
  <c r="O16" i="2"/>
  <c r="O19" i="2" s="1"/>
  <c r="O20" i="2" s="1"/>
  <c r="Q13" i="2"/>
  <c r="Q14" i="2"/>
  <c r="Q16" i="2"/>
  <c r="Q19" i="2" s="1"/>
  <c r="Q20" i="2" s="1"/>
  <c r="N13" i="2"/>
  <c r="N14" i="2"/>
  <c r="N16" i="2"/>
  <c r="N19" i="2" s="1"/>
  <c r="N20" i="2" s="1"/>
  <c r="M13" i="2"/>
  <c r="M14" i="2"/>
  <c r="M16" i="2"/>
  <c r="M19" i="2" s="1"/>
  <c r="M20" i="2" s="1"/>
  <c r="P13" i="2"/>
  <c r="P14" i="2"/>
  <c r="P16" i="2"/>
  <c r="P19" i="2" s="1"/>
  <c r="P20" i="2" s="1"/>
  <c r="L13" i="2"/>
  <c r="L14" i="2"/>
  <c r="L16" i="2"/>
  <c r="L19" i="2" s="1"/>
  <c r="L20" i="2" s="1"/>
  <c r="Q24" i="2"/>
  <c r="Q26" i="2"/>
  <c r="M24" i="2"/>
  <c r="M26" i="2"/>
  <c r="Q12" i="2" l="1"/>
  <c r="M12" i="2"/>
  <c r="L12" i="2"/>
  <c r="K12" i="2"/>
  <c r="O12" i="2"/>
  <c r="G30" i="2"/>
  <c r="P12" i="2"/>
</calcChain>
</file>

<file path=xl/sharedStrings.xml><?xml version="1.0" encoding="utf-8"?>
<sst xmlns="http://schemas.openxmlformats.org/spreadsheetml/2006/main" count="316" uniqueCount="227">
  <si>
    <t>Hard Costs</t>
  </si>
  <si>
    <t>Financing</t>
  </si>
  <si>
    <t>One Year Proforma</t>
  </si>
  <si>
    <t>Acquisition Cost</t>
  </si>
  <si>
    <t>Total Cost</t>
  </si>
  <si>
    <t>Rental Income</t>
  </si>
  <si>
    <t>LTC</t>
  </si>
  <si>
    <t>Principal</t>
  </si>
  <si>
    <t>Equity</t>
  </si>
  <si>
    <t>Term</t>
  </si>
  <si>
    <t>Rate</t>
  </si>
  <si>
    <t>PMT</t>
  </si>
  <si>
    <t>ADS</t>
  </si>
  <si>
    <t>NOI</t>
  </si>
  <si>
    <t>Less: ADS</t>
  </si>
  <si>
    <t>BTCF</t>
  </si>
  <si>
    <t>Total Hard Costs</t>
  </si>
  <si>
    <t>DSCR</t>
  </si>
  <si>
    <t>Soft Costs</t>
  </si>
  <si>
    <t>Rent Roll</t>
  </si>
  <si>
    <t>SQ FT</t>
  </si>
  <si>
    <t>TI PSF</t>
  </si>
  <si>
    <t>TI TOTAL</t>
  </si>
  <si>
    <t>ANNUAL RENT</t>
  </si>
  <si>
    <t>MONTHLY RENT</t>
  </si>
  <si>
    <t>Contingency</t>
  </si>
  <si>
    <t>Interest Carry</t>
  </si>
  <si>
    <t>Closing Costs</t>
  </si>
  <si>
    <t>Permitting</t>
  </si>
  <si>
    <t>DD Costs</t>
  </si>
  <si>
    <t>Legal Fees</t>
  </si>
  <si>
    <t>Total Soft Costs</t>
  </si>
  <si>
    <t>Total Hard + Soft</t>
  </si>
  <si>
    <t>Cap Rate</t>
  </si>
  <si>
    <t>Total Project Costs</t>
  </si>
  <si>
    <t>Profit</t>
  </si>
  <si>
    <t>Total Building SF</t>
  </si>
  <si>
    <t>Annual Rent</t>
  </si>
  <si>
    <t>Extended Rent Schedule</t>
  </si>
  <si>
    <t>Total</t>
  </si>
  <si>
    <t>Proforma Cash Flow</t>
  </si>
  <si>
    <t>Model Assumptions</t>
  </si>
  <si>
    <t>REVENUE</t>
  </si>
  <si>
    <t>Exit Cap Rate</t>
  </si>
  <si>
    <t>Net Rental Income</t>
  </si>
  <si>
    <t>Misc. Income (Fees)</t>
  </si>
  <si>
    <t>Total Cash Equity</t>
  </si>
  <si>
    <t>Total Revenue</t>
  </si>
  <si>
    <t xml:space="preserve">Investor Equity after Tax Credits </t>
  </si>
  <si>
    <t>OPERATING EXPENSES</t>
  </si>
  <si>
    <t>Preferred Return to Investor Equity</t>
  </si>
  <si>
    <t>Net Operating Income</t>
  </si>
  <si>
    <t>Debt Service</t>
  </si>
  <si>
    <t>Estimated Net Operating Cash Flow</t>
  </si>
  <si>
    <t>Distributable Cash</t>
  </si>
  <si>
    <t>Property Cash Flow</t>
  </si>
  <si>
    <t>Total Distributable Cash</t>
  </si>
  <si>
    <t>Cash Flow After Preferred Return</t>
  </si>
  <si>
    <t>Cash Flow to Class B Investor</t>
  </si>
  <si>
    <t>Cash Flow to Class A Investor</t>
  </si>
  <si>
    <t>Investor Return</t>
  </si>
  <si>
    <t>CREH Return</t>
  </si>
  <si>
    <t>Equity Multiple</t>
  </si>
  <si>
    <t xml:space="preserve">    IRR</t>
  </si>
  <si>
    <t>Property Sale Valuation</t>
  </si>
  <si>
    <t>Forecasted Asset Value</t>
  </si>
  <si>
    <t xml:space="preserve">   Less Closing Costs and Commissions (4%)</t>
  </si>
  <si>
    <t xml:space="preserve">   Less: Loan Balance</t>
  </si>
  <si>
    <t>Net Proceeds</t>
  </si>
  <si>
    <t>Less: Equity Repayment</t>
  </si>
  <si>
    <t>Net Sales Proceeds</t>
  </si>
  <si>
    <t>IRR</t>
  </si>
  <si>
    <t>Initial Investment</t>
  </si>
  <si>
    <t>Equity Return</t>
  </si>
  <si>
    <t>Cash Flow From Operation</t>
  </si>
  <si>
    <t>Cash at Sale</t>
  </si>
  <si>
    <t>IRR for Equity Investment</t>
  </si>
  <si>
    <t>Loan Terms</t>
  </si>
  <si>
    <t>Loan Amount</t>
  </si>
  <si>
    <t>Total Project Cost</t>
  </si>
  <si>
    <t>Amortization</t>
  </si>
  <si>
    <t>Capital Required</t>
  </si>
  <si>
    <t>Interest Only Period</t>
  </si>
  <si>
    <t>Loan Principal</t>
  </si>
  <si>
    <t># of Months</t>
  </si>
  <si>
    <t>IO + Loan Period</t>
  </si>
  <si>
    <t>Stabilized Monthly Debt Service</t>
  </si>
  <si>
    <t>Stabilized Annual Debt Service</t>
  </si>
  <si>
    <t>Monthly Breakdown</t>
  </si>
  <si>
    <t>Year</t>
  </si>
  <si>
    <t>Month</t>
  </si>
  <si>
    <t>Beginning Balance</t>
  </si>
  <si>
    <t>Payment</t>
  </si>
  <si>
    <t xml:space="preserve">Interest </t>
  </si>
  <si>
    <t>Ending Balance</t>
  </si>
  <si>
    <t>Developer Entry Cap Rate</t>
  </si>
  <si>
    <t>Basis Point Spread</t>
  </si>
  <si>
    <t xml:space="preserve"> </t>
  </si>
  <si>
    <t>Total Lease Value</t>
  </si>
  <si>
    <t>Total Value</t>
  </si>
  <si>
    <t>Insert Cost Category</t>
  </si>
  <si>
    <t>Yr 1</t>
  </si>
  <si>
    <t>Yr 2</t>
  </si>
  <si>
    <t>Sale IRR Calculation - Year 2</t>
  </si>
  <si>
    <t>Sale IRR Calculation - Year 3</t>
  </si>
  <si>
    <t>Yr 3</t>
  </si>
  <si>
    <t>Year 1</t>
  </si>
  <si>
    <t>Acquisition</t>
  </si>
  <si>
    <t>Year 2</t>
  </si>
  <si>
    <t>Year 3</t>
  </si>
  <si>
    <t>Year 4</t>
  </si>
  <si>
    <t>Year 5</t>
  </si>
  <si>
    <t>Year 6</t>
  </si>
  <si>
    <t>Year 7</t>
  </si>
  <si>
    <t>Sale IRR Calculation - Year 4</t>
  </si>
  <si>
    <t>Yr 4</t>
  </si>
  <si>
    <t>Proforma Assumptions</t>
  </si>
  <si>
    <t>Land Sale Broker Fee</t>
  </si>
  <si>
    <t>Leasing Commission</t>
  </si>
  <si>
    <t>Tenant Name</t>
  </si>
  <si>
    <t>Sale Cap Rate Goal</t>
  </si>
  <si>
    <t>Interest Only Period (Months)</t>
  </si>
  <si>
    <t>Loan Amortization (Years)</t>
  </si>
  <si>
    <t>Lender Fees</t>
  </si>
  <si>
    <t>Lender Fee Percentage</t>
  </si>
  <si>
    <t>Financing Summary</t>
  </si>
  <si>
    <t>Acquisition Date</t>
  </si>
  <si>
    <t>Project Mgmt Fee (Developer Fee)</t>
  </si>
  <si>
    <t>Tenant</t>
  </si>
  <si>
    <t>*Refresh after updating any assumptions*</t>
  </si>
  <si>
    <t>BASE RENT TOTAL</t>
  </si>
  <si>
    <t>BASE RENT PSF</t>
  </si>
  <si>
    <t>Environmental</t>
  </si>
  <si>
    <t>Description</t>
  </si>
  <si>
    <t>Costruction Cost</t>
  </si>
  <si>
    <t>Per Foot</t>
  </si>
  <si>
    <t xml:space="preserve">Site Work </t>
  </si>
  <si>
    <t>-</t>
  </si>
  <si>
    <t>Construction</t>
  </si>
  <si>
    <t>TI</t>
  </si>
  <si>
    <t xml:space="preserve">   Less: Equity Repayment</t>
  </si>
  <si>
    <t>Levered Cap Rate Valuation (Year 2 Sale)</t>
  </si>
  <si>
    <t>Consturction Total</t>
  </si>
  <si>
    <t>Inspections</t>
  </si>
  <si>
    <t>Surveys</t>
  </si>
  <si>
    <t>Phase I</t>
  </si>
  <si>
    <t>Phase II</t>
  </si>
  <si>
    <t>GeoTech</t>
  </si>
  <si>
    <t>Structural</t>
  </si>
  <si>
    <t>Site</t>
  </si>
  <si>
    <t>Square Footage</t>
  </si>
  <si>
    <t>DD Cost Total</t>
  </si>
  <si>
    <t>Financing Rate</t>
  </si>
  <si>
    <t>Hard</t>
  </si>
  <si>
    <t>Soft</t>
  </si>
  <si>
    <t>Costs</t>
  </si>
  <si>
    <t>A&amp;E</t>
  </si>
  <si>
    <t>Site Work</t>
  </si>
  <si>
    <t>S/W Cost Total</t>
  </si>
  <si>
    <t>Lease Terms</t>
  </si>
  <si>
    <t>Sitework</t>
  </si>
  <si>
    <t>Addt'l Import</t>
  </si>
  <si>
    <t>U/G Detention</t>
  </si>
  <si>
    <t>Landscaping</t>
  </si>
  <si>
    <t>Site Lighting</t>
  </si>
  <si>
    <t>Signage</t>
  </si>
  <si>
    <t>Building</t>
  </si>
  <si>
    <t>Interior Demo</t>
  </si>
  <si>
    <t>Asbestos Abatement</t>
  </si>
  <si>
    <t>Project Return-</t>
  </si>
  <si>
    <t>ROE Yr 1-</t>
  </si>
  <si>
    <t>DD Costs (Soft Cost)</t>
  </si>
  <si>
    <t>Total Qualified Expenses</t>
  </si>
  <si>
    <t>Construction Costs</t>
  </si>
  <si>
    <t>Site Survey and Structural Reports</t>
  </si>
  <si>
    <t>Permit and Inspection Fees</t>
  </si>
  <si>
    <t>Construction Period Interest and Taxes</t>
  </si>
  <si>
    <t>Developer Fees (15%)</t>
  </si>
  <si>
    <t>Tax Credit Qualified Costs</t>
  </si>
  <si>
    <t>Abandoned Building Credit</t>
  </si>
  <si>
    <t>Federal Credit</t>
  </si>
  <si>
    <t xml:space="preserve">State Credit </t>
  </si>
  <si>
    <t>Gross Value</t>
  </si>
  <si>
    <t>Abandoned Building Credit Syndication Value</t>
  </si>
  <si>
    <t>Federal Credit Syndication Value</t>
  </si>
  <si>
    <t>State Credit Syndication Value</t>
  </si>
  <si>
    <t>Sale Value</t>
  </si>
  <si>
    <t>Tax Credits</t>
  </si>
  <si>
    <t>Abandoned</t>
  </si>
  <si>
    <t>Federal Historic</t>
  </si>
  <si>
    <t>State Historic</t>
  </si>
  <si>
    <t>Free rent (months)</t>
  </si>
  <si>
    <t>Rate (Annual or PSF)</t>
  </si>
  <si>
    <t>TI (Total or PSF)</t>
  </si>
  <si>
    <t>Tax Credit Syndication Value Available</t>
  </si>
  <si>
    <t>Months of Construction</t>
  </si>
  <si>
    <t>Construction I/O</t>
  </si>
  <si>
    <t>Operating I/O</t>
  </si>
  <si>
    <t>Year 1 I/O</t>
  </si>
  <si>
    <t>Year 1 Amortizing Months</t>
  </si>
  <si>
    <t>Year 2 I/O</t>
  </si>
  <si>
    <t>Year 2 Amortizing Months</t>
  </si>
  <si>
    <t>Year 3 I/O</t>
  </si>
  <si>
    <t>Year 3 Amortizing Months</t>
  </si>
  <si>
    <t>IO Monthly Pmt</t>
  </si>
  <si>
    <t>*Always enable macros</t>
  </si>
  <si>
    <t>Dealpath Metrics</t>
  </si>
  <si>
    <t>ROE Y1</t>
  </si>
  <si>
    <t>IRR Yr1</t>
  </si>
  <si>
    <t>IRR Yr2</t>
  </si>
  <si>
    <t>IRR Yr3</t>
  </si>
  <si>
    <t>IRR Yr4</t>
  </si>
  <si>
    <t>IRR Yr5</t>
  </si>
  <si>
    <t>Avg Rent PSF</t>
  </si>
  <si>
    <t>Developer Entry Cap</t>
  </si>
  <si>
    <t>New Building Construction</t>
  </si>
  <si>
    <t>Interior Renovations</t>
  </si>
  <si>
    <t>Building Demolition</t>
  </si>
  <si>
    <t>Roof Replacement</t>
  </si>
  <si>
    <t>Structural Repairs</t>
  </si>
  <si>
    <t>Fencing</t>
  </si>
  <si>
    <t>FF&amp;E</t>
  </si>
  <si>
    <t>Low Voltage</t>
  </si>
  <si>
    <t>Materials Testing &amp; SWPPP Inspections</t>
  </si>
  <si>
    <t xml:space="preserve">5th 3rd </t>
  </si>
  <si>
    <t xml:space="preserve">5223 Sunset Blvd. </t>
  </si>
  <si>
    <t xml:space="preserve">Ground Lease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</si>
</sst>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5" formatCode="&quot;$&quot;#,##0_);\(&quot;$&quot;#,##0\)"/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&quot;Year&quot;\ 0\ "/>
    <numFmt numFmtId="167" formatCode="0.0%"/>
    <numFmt numFmtId="168" formatCode="0.00&quot;X&quot;"/>
    <numFmt numFmtId="169" formatCode="0\ &quot;Years&quot;"/>
    <numFmt numFmtId="170" formatCode="0\ &quot;Months&quot;"/>
    <numFmt numFmtId="171" formatCode="&quot;$&quot;#,##0.00"/>
    <numFmt numFmtId="172" formatCode="&quot;$&quot;#,##0"/>
    <numFmt numFmtId="173" formatCode="&quot;Less: Mgmt Fee &quot;\3\%"/>
    <numFmt numFmtId="174" formatCode="&quot;Project Mgmt Fee &quot;\ 0%"/>
    <numFmt numFmtId="175" formatCode="&quot;Land Sale Broker Fee &quot;\ 0%"/>
    <numFmt numFmtId="176" formatCode="&quot;Leasing Commission &quot;\ 0%"/>
    <numFmt numFmtId="177" formatCode="&quot;   Less: Closing Costs (&quot;0%&quot;)&quot;"/>
    <numFmt numFmtId="178" formatCode="0\ &quot;SQFT&quot;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8"/>
      <name val="Arial"/>
      <family val="2"/>
    </font>
    <font>
      <b/>
      <sz val="12"/>
      <color indexed="9"/>
      <name val="Arial"/>
      <family val="2"/>
    </font>
    <font>
      <sz val="11"/>
      <color rgb="FF254744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theme="4" tint="-0.249977111117893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sz val="8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70C0"/>
      <name val="Arial"/>
      <family val="2"/>
    </font>
    <font>
      <b/>
      <i/>
      <sz val="11"/>
      <color theme="1"/>
      <name val="Aptos Narrow"/>
      <family val="2"/>
      <scheme val="minor"/>
    </font>
    <font>
      <b/>
      <i/>
      <sz val="2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</font>
  </fonts>
  <fills count="17">
    <fill>
      <patternFill patternType="none"/>
    </fill>
    <fill>
      <patternFill patternType="gray125"/>
    </fill>
    <fill>
      <patternFill patternType="solid">
        <fgColor rgb="FF254744"/>
        <bgColor indexed="64"/>
      </patternFill>
    </fill>
    <fill>
      <patternFill patternType="solid">
        <fgColor rgb="FFCCD6D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BB0AD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B4C4C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BBDBA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3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372">
    <xf numFmtId="0" fontId="0" fillId="0" borderId="0" xfId="0"/>
    <xf numFmtId="0" fontId="8" fillId="0" borderId="0" xfId="0" applyFont="1" applyAlignment="1">
      <alignment horizontal="left"/>
    </xf>
    <xf numFmtId="44" fontId="0" fillId="0" borderId="0" xfId="0" applyNumberFormat="1"/>
    <xf numFmtId="164" fontId="7" fillId="0" borderId="0" xfId="1" applyNumberFormat="1" applyFont="1"/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7" xfId="0" applyBorder="1"/>
    <xf numFmtId="165" fontId="0" fillId="0" borderId="8" xfId="0" applyNumberFormat="1" applyBorder="1"/>
    <xf numFmtId="0" fontId="0" fillId="0" borderId="9" xfId="0" applyBorder="1"/>
    <xf numFmtId="0" fontId="0" fillId="0" borderId="8" xfId="0" applyBorder="1"/>
    <xf numFmtId="0" fontId="0" fillId="0" borderId="7" xfId="0" applyBorder="1" applyAlignment="1">
      <alignment horizontal="left" indent="1"/>
    </xf>
    <xf numFmtId="44" fontId="0" fillId="0" borderId="0" xfId="2" applyFont="1"/>
    <xf numFmtId="9" fontId="0" fillId="0" borderId="0" xfId="0" applyNumberFormat="1"/>
    <xf numFmtId="165" fontId="0" fillId="0" borderId="0" xfId="0" applyNumberFormat="1"/>
    <xf numFmtId="165" fontId="0" fillId="0" borderId="8" xfId="2" applyNumberFormat="1" applyFont="1" applyBorder="1"/>
    <xf numFmtId="0" fontId="0" fillId="0" borderId="11" xfId="0" applyBorder="1"/>
    <xf numFmtId="165" fontId="4" fillId="0" borderId="8" xfId="0" applyNumberFormat="1" applyFont="1" applyBorder="1"/>
    <xf numFmtId="165" fontId="0" fillId="0" borderId="12" xfId="2" applyNumberFormat="1" applyFont="1" applyBorder="1"/>
    <xf numFmtId="165" fontId="0" fillId="0" borderId="15" xfId="0" applyNumberFormat="1" applyBorder="1"/>
    <xf numFmtId="10" fontId="0" fillId="0" borderId="0" xfId="0" applyNumberFormat="1"/>
    <xf numFmtId="8" fontId="0" fillId="0" borderId="0" xfId="0" applyNumberFormat="1"/>
    <xf numFmtId="6" fontId="0" fillId="0" borderId="8" xfId="0" applyNumberFormat="1" applyBorder="1"/>
    <xf numFmtId="6" fontId="0" fillId="0" borderId="12" xfId="0" applyNumberFormat="1" applyBorder="1"/>
    <xf numFmtId="0" fontId="0" fillId="0" borderId="14" xfId="0" applyBorder="1"/>
    <xf numFmtId="10" fontId="0" fillId="0" borderId="0" xfId="3" applyNumberFormat="1" applyFont="1" applyBorder="1"/>
    <xf numFmtId="0" fontId="0" fillId="0" borderId="4" xfId="0" applyBorder="1"/>
    <xf numFmtId="0" fontId="0" fillId="0" borderId="7" xfId="0" applyBorder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11" xfId="0" applyFont="1" applyBorder="1"/>
    <xf numFmtId="165" fontId="4" fillId="0" borderId="12" xfId="0" applyNumberFormat="1" applyFont="1" applyBorder="1"/>
    <xf numFmtId="10" fontId="0" fillId="0" borderId="0" xfId="3" applyNumberFormat="1" applyFont="1" applyAlignment="1">
      <alignment horizontal="center"/>
    </xf>
    <xf numFmtId="165" fontId="0" fillId="0" borderId="0" xfId="2" applyNumberFormat="1" applyFont="1" applyBorder="1" applyAlignment="1">
      <alignment horizontal="center"/>
    </xf>
    <xf numFmtId="165" fontId="0" fillId="0" borderId="0" xfId="2" applyNumberFormat="1" applyFont="1" applyBorder="1"/>
    <xf numFmtId="164" fontId="0" fillId="0" borderId="16" xfId="0" applyNumberFormat="1" applyBorder="1" applyAlignment="1">
      <alignment horizontal="center"/>
    </xf>
    <xf numFmtId="44" fontId="0" fillId="0" borderId="16" xfId="2" applyFont="1" applyBorder="1" applyAlignment="1">
      <alignment horizontal="center"/>
    </xf>
    <xf numFmtId="165" fontId="0" fillId="0" borderId="16" xfId="2" applyNumberFormat="1" applyFont="1" applyBorder="1" applyAlignment="1">
      <alignment horizontal="center"/>
    </xf>
    <xf numFmtId="165" fontId="0" fillId="0" borderId="16" xfId="2" applyNumberFormat="1" applyFont="1" applyBorder="1"/>
    <xf numFmtId="0" fontId="0" fillId="0" borderId="17" xfId="0" applyBorder="1"/>
    <xf numFmtId="0" fontId="0" fillId="0" borderId="21" xfId="0" applyBorder="1"/>
    <xf numFmtId="10" fontId="4" fillId="4" borderId="3" xfId="0" applyNumberFormat="1" applyFont="1" applyFill="1" applyBorder="1" applyAlignment="1">
      <alignment horizontal="center"/>
    </xf>
    <xf numFmtId="10" fontId="4" fillId="6" borderId="3" xfId="0" applyNumberFormat="1" applyFont="1" applyFill="1" applyBorder="1" applyAlignment="1">
      <alignment horizontal="center"/>
    </xf>
    <xf numFmtId="10" fontId="4" fillId="6" borderId="2" xfId="0" applyNumberFormat="1" applyFont="1" applyFill="1" applyBorder="1" applyAlignment="1">
      <alignment horizontal="center"/>
    </xf>
    <xf numFmtId="0" fontId="0" fillId="7" borderId="7" xfId="0" applyFill="1" applyBorder="1"/>
    <xf numFmtId="165" fontId="0" fillId="5" borderId="23" xfId="0" applyNumberFormat="1" applyFill="1" applyBorder="1"/>
    <xf numFmtId="165" fontId="0" fillId="6" borderId="8" xfId="0" applyNumberFormat="1" applyFill="1" applyBorder="1"/>
    <xf numFmtId="0" fontId="4" fillId="3" borderId="11" xfId="0" applyFont="1" applyFill="1" applyBorder="1"/>
    <xf numFmtId="165" fontId="4" fillId="3" borderId="12" xfId="0" applyNumberFormat="1" applyFont="1" applyFill="1" applyBorder="1"/>
    <xf numFmtId="0" fontId="0" fillId="0" borderId="24" xfId="0" applyBorder="1"/>
    <xf numFmtId="0" fontId="0" fillId="7" borderId="14" xfId="0" applyFill="1" applyBorder="1"/>
    <xf numFmtId="9" fontId="0" fillId="0" borderId="0" xfId="3" applyFont="1"/>
    <xf numFmtId="165" fontId="4" fillId="4" borderId="25" xfId="0" applyNumberFormat="1" applyFont="1" applyFill="1" applyBorder="1"/>
    <xf numFmtId="165" fontId="4" fillId="5" borderId="26" xfId="0" applyNumberFormat="1" applyFont="1" applyFill="1" applyBorder="1"/>
    <xf numFmtId="165" fontId="4" fillId="6" borderId="25" xfId="0" applyNumberFormat="1" applyFont="1" applyFill="1" applyBorder="1"/>
    <xf numFmtId="165" fontId="4" fillId="6" borderId="27" xfId="0" applyNumberFormat="1" applyFont="1" applyFill="1" applyBorder="1"/>
    <xf numFmtId="166" fontId="2" fillId="8" borderId="19" xfId="0" applyNumberFormat="1" applyFont="1" applyFill="1" applyBorder="1" applyAlignment="1">
      <alignment horizontal="center"/>
    </xf>
    <xf numFmtId="0" fontId="4" fillId="0" borderId="0" xfId="0" applyFont="1"/>
    <xf numFmtId="165" fontId="4" fillId="0" borderId="19" xfId="0" applyNumberFormat="1" applyFont="1" applyBorder="1"/>
    <xf numFmtId="165" fontId="4" fillId="0" borderId="20" xfId="0" applyNumberFormat="1" applyFont="1" applyBorder="1"/>
    <xf numFmtId="0" fontId="3" fillId="0" borderId="0" xfId="0" applyFont="1"/>
    <xf numFmtId="164" fontId="0" fillId="0" borderId="0" xfId="1" applyNumberFormat="1" applyFont="1"/>
    <xf numFmtId="0" fontId="11" fillId="0" borderId="0" xfId="0" applyFont="1" applyAlignment="1">
      <alignment horizontal="right"/>
    </xf>
    <xf numFmtId="0" fontId="0" fillId="7" borderId="0" xfId="0" applyFill="1"/>
    <xf numFmtId="0" fontId="12" fillId="7" borderId="0" xfId="0" applyFont="1" applyFill="1" applyAlignment="1">
      <alignment horizontal="center" vertical="center"/>
    </xf>
    <xf numFmtId="0" fontId="0" fillId="8" borderId="30" xfId="0" applyFill="1" applyBorder="1"/>
    <xf numFmtId="0" fontId="2" fillId="8" borderId="31" xfId="0" applyFont="1" applyFill="1" applyBorder="1" applyAlignment="1">
      <alignment horizontal="center" wrapText="1"/>
    </xf>
    <xf numFmtId="166" fontId="2" fillId="8" borderId="19" xfId="0" applyNumberFormat="1" applyFont="1" applyFill="1" applyBorder="1"/>
    <xf numFmtId="0" fontId="5" fillId="8" borderId="19" xfId="0" applyFont="1" applyFill="1" applyBorder="1"/>
    <xf numFmtId="0" fontId="5" fillId="7" borderId="0" xfId="0" applyFont="1" applyFill="1" applyAlignment="1">
      <alignment horizontal="center"/>
    </xf>
    <xf numFmtId="9" fontId="13" fillId="3" borderId="6" xfId="0" applyNumberFormat="1" applyFont="1" applyFill="1" applyBorder="1" applyAlignment="1">
      <alignment horizontal="right"/>
    </xf>
    <xf numFmtId="9" fontId="13" fillId="7" borderId="0" xfId="0" applyNumberFormat="1" applyFont="1" applyFill="1" applyAlignment="1">
      <alignment horizontal="right"/>
    </xf>
    <xf numFmtId="9" fontId="13" fillId="3" borderId="8" xfId="0" applyNumberFormat="1" applyFont="1" applyFill="1" applyBorder="1"/>
    <xf numFmtId="9" fontId="13" fillId="7" borderId="0" xfId="0" applyNumberFormat="1" applyFont="1" applyFill="1"/>
    <xf numFmtId="0" fontId="4" fillId="0" borderId="21" xfId="0" applyFont="1" applyBorder="1"/>
    <xf numFmtId="9" fontId="13" fillId="3" borderId="8" xfId="0" applyNumberFormat="1" applyFont="1" applyFill="1" applyBorder="1" applyAlignment="1">
      <alignment horizontal="right"/>
    </xf>
    <xf numFmtId="0" fontId="0" fillId="0" borderId="16" xfId="0" applyBorder="1"/>
    <xf numFmtId="165" fontId="0" fillId="0" borderId="16" xfId="2" applyNumberFormat="1" applyFont="1" applyFill="1" applyBorder="1"/>
    <xf numFmtId="165" fontId="14" fillId="0" borderId="16" xfId="0" applyNumberFormat="1" applyFont="1" applyBorder="1"/>
    <xf numFmtId="10" fontId="13" fillId="3" borderId="8" xfId="0" applyNumberFormat="1" applyFont="1" applyFill="1" applyBorder="1"/>
    <xf numFmtId="10" fontId="13" fillId="7" borderId="0" xfId="0" applyNumberFormat="1" applyFont="1" applyFill="1"/>
    <xf numFmtId="165" fontId="0" fillId="0" borderId="0" xfId="2" applyNumberFormat="1" applyFont="1" applyFill="1" applyBorder="1"/>
    <xf numFmtId="10" fontId="13" fillId="0" borderId="8" xfId="0" applyNumberFormat="1" applyFont="1" applyBorder="1"/>
    <xf numFmtId="0" fontId="4" fillId="0" borderId="7" xfId="0" applyFont="1" applyBorder="1"/>
    <xf numFmtId="165" fontId="4" fillId="0" borderId="15" xfId="2" applyNumberFormat="1" applyFont="1" applyBorder="1"/>
    <xf numFmtId="0" fontId="4" fillId="0" borderId="32" xfId="0" applyFont="1" applyBorder="1"/>
    <xf numFmtId="0" fontId="4" fillId="0" borderId="33" xfId="0" applyFont="1" applyBorder="1"/>
    <xf numFmtId="165" fontId="4" fillId="0" borderId="33" xfId="2" applyNumberFormat="1" applyFont="1" applyBorder="1"/>
    <xf numFmtId="165" fontId="0" fillId="7" borderId="0" xfId="0" applyNumberFormat="1" applyFill="1"/>
    <xf numFmtId="165" fontId="0" fillId="7" borderId="0" xfId="2" applyNumberFormat="1" applyFont="1" applyFill="1" applyBorder="1"/>
    <xf numFmtId="0" fontId="4" fillId="0" borderId="16" xfId="0" applyFont="1" applyBorder="1"/>
    <xf numFmtId="167" fontId="13" fillId="3" borderId="8" xfId="3" applyNumberFormat="1" applyFont="1" applyFill="1" applyBorder="1"/>
    <xf numFmtId="167" fontId="13" fillId="7" borderId="0" xfId="3" applyNumberFormat="1" applyFont="1" applyFill="1" applyBorder="1"/>
    <xf numFmtId="9" fontId="13" fillId="7" borderId="0" xfId="3" applyFont="1" applyFill="1" applyBorder="1"/>
    <xf numFmtId="165" fontId="4" fillId="0" borderId="33" xfId="0" applyNumberFormat="1" applyFont="1" applyBorder="1"/>
    <xf numFmtId="9" fontId="13" fillId="3" borderId="12" xfId="3" applyFont="1" applyFill="1" applyBorder="1"/>
    <xf numFmtId="0" fontId="4" fillId="0" borderId="34" xfId="0" applyFont="1" applyBorder="1"/>
    <xf numFmtId="0" fontId="0" fillId="0" borderId="25" xfId="0" applyBorder="1"/>
    <xf numFmtId="165" fontId="14" fillId="0" borderId="25" xfId="0" applyNumberFormat="1" applyFont="1" applyBorder="1"/>
    <xf numFmtId="0" fontId="4" fillId="0" borderId="30" xfId="0" applyFont="1" applyBorder="1"/>
    <xf numFmtId="0" fontId="4" fillId="0" borderId="19" xfId="0" applyFont="1" applyBorder="1"/>
    <xf numFmtId="165" fontId="15" fillId="0" borderId="19" xfId="0" applyNumberFormat="1" applyFont="1" applyBorder="1"/>
    <xf numFmtId="43" fontId="1" fillId="0" borderId="0" xfId="1" applyFont="1" applyBorder="1"/>
    <xf numFmtId="165" fontId="4" fillId="0" borderId="0" xfId="0" applyNumberFormat="1" applyFont="1"/>
    <xf numFmtId="0" fontId="0" fillId="0" borderId="21" xfId="0" applyBorder="1" applyAlignment="1">
      <alignment horizontal="left" indent="1"/>
    </xf>
    <xf numFmtId="165" fontId="14" fillId="0" borderId="35" xfId="0" applyNumberFormat="1" applyFont="1" applyBorder="1"/>
    <xf numFmtId="0" fontId="4" fillId="0" borderId="8" xfId="0" applyFont="1" applyBorder="1"/>
    <xf numFmtId="0" fontId="4" fillId="7" borderId="0" xfId="0" applyFont="1" applyFill="1"/>
    <xf numFmtId="0" fontId="0" fillId="0" borderId="21" xfId="0" applyBorder="1" applyAlignment="1">
      <alignment horizontal="left"/>
    </xf>
    <xf numFmtId="165" fontId="0" fillId="7" borderId="16" xfId="0" applyNumberFormat="1" applyFill="1" applyBorder="1"/>
    <xf numFmtId="0" fontId="16" fillId="0" borderId="21" xfId="0" applyFont="1" applyBorder="1" applyAlignment="1">
      <alignment horizontal="left" indent="1"/>
    </xf>
    <xf numFmtId="0" fontId="16" fillId="0" borderId="0" xfId="0" applyFont="1"/>
    <xf numFmtId="165" fontId="16" fillId="0" borderId="0" xfId="2" applyNumberFormat="1" applyFont="1" applyBorder="1"/>
    <xf numFmtId="2" fontId="0" fillId="0" borderId="10" xfId="0" applyNumberFormat="1" applyBorder="1"/>
    <xf numFmtId="9" fontId="0" fillId="0" borderId="0" xfId="3" applyFont="1" applyBorder="1"/>
    <xf numFmtId="0" fontId="0" fillId="0" borderId="36" xfId="0" applyBorder="1"/>
    <xf numFmtId="0" fontId="0" fillId="0" borderId="37" xfId="0" applyBorder="1"/>
    <xf numFmtId="10" fontId="0" fillId="0" borderId="37" xfId="0" applyNumberFormat="1" applyBorder="1"/>
    <xf numFmtId="166" fontId="2" fillId="9" borderId="39" xfId="0" applyNumberFormat="1" applyFont="1" applyFill="1" applyBorder="1"/>
    <xf numFmtId="0" fontId="0" fillId="0" borderId="0" xfId="0" applyAlignment="1">
      <alignment horizontal="left"/>
    </xf>
    <xf numFmtId="165" fontId="0" fillId="0" borderId="39" xfId="0" applyNumberFormat="1" applyBorder="1"/>
    <xf numFmtId="0" fontId="0" fillId="0" borderId="10" xfId="0" applyBorder="1"/>
    <xf numFmtId="165" fontId="4" fillId="0" borderId="39" xfId="0" applyNumberFormat="1" applyFont="1" applyBorder="1"/>
    <xf numFmtId="0" fontId="17" fillId="7" borderId="0" xfId="0" applyFont="1" applyFill="1" applyAlignment="1">
      <alignment horizontal="center" vertical="center"/>
    </xf>
    <xf numFmtId="0" fontId="4" fillId="0" borderId="13" xfId="0" applyFont="1" applyBorder="1"/>
    <xf numFmtId="165" fontId="4" fillId="0" borderId="13" xfId="0" applyNumberFormat="1" applyFont="1" applyBorder="1"/>
    <xf numFmtId="165" fontId="0" fillId="0" borderId="40" xfId="0" applyNumberFormat="1" applyBorder="1"/>
    <xf numFmtId="0" fontId="2" fillId="7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0" fillId="0" borderId="0" xfId="3" applyNumberFormat="1" applyFont="1" applyFill="1" applyAlignment="1">
      <alignment horizontal="center"/>
    </xf>
    <xf numFmtId="44" fontId="0" fillId="0" borderId="0" xfId="2" applyFont="1" applyFill="1" applyAlignment="1">
      <alignment horizontal="center"/>
    </xf>
    <xf numFmtId="0" fontId="18" fillId="0" borderId="0" xfId="0" applyFont="1" applyAlignment="1">
      <alignment horizontal="center"/>
    </xf>
    <xf numFmtId="0" fontId="18" fillId="7" borderId="0" xfId="0" applyFont="1" applyFill="1" applyAlignment="1">
      <alignment horizontal="center"/>
    </xf>
    <xf numFmtId="165" fontId="0" fillId="0" borderId="0" xfId="2" applyNumberFormat="1" applyFont="1" applyFill="1"/>
    <xf numFmtId="165" fontId="0" fillId="0" borderId="0" xfId="3" applyNumberFormat="1" applyFont="1" applyFill="1"/>
    <xf numFmtId="9" fontId="0" fillId="0" borderId="0" xfId="3" applyFont="1" applyFill="1"/>
    <xf numFmtId="0" fontId="0" fillId="0" borderId="39" xfId="0" applyBorder="1"/>
    <xf numFmtId="165" fontId="0" fillId="0" borderId="16" xfId="0" applyNumberFormat="1" applyBorder="1"/>
    <xf numFmtId="0" fontId="0" fillId="0" borderId="34" xfId="0" applyBorder="1"/>
    <xf numFmtId="165" fontId="0" fillId="0" borderId="13" xfId="0" applyNumberFormat="1" applyBorder="1"/>
    <xf numFmtId="165" fontId="0" fillId="0" borderId="12" xfId="0" applyNumberFormat="1" applyBorder="1"/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  <xf numFmtId="0" fontId="5" fillId="10" borderId="7" xfId="0" applyFont="1" applyFill="1" applyBorder="1"/>
    <xf numFmtId="165" fontId="10" fillId="7" borderId="8" xfId="0" applyNumberFormat="1" applyFont="1" applyFill="1" applyBorder="1"/>
    <xf numFmtId="165" fontId="0" fillId="7" borderId="8" xfId="0" applyNumberFormat="1" applyFill="1" applyBorder="1"/>
    <xf numFmtId="10" fontId="19" fillId="11" borderId="8" xfId="0" applyNumberFormat="1" applyFont="1" applyFill="1" applyBorder="1"/>
    <xf numFmtId="169" fontId="19" fillId="11" borderId="8" xfId="0" applyNumberFormat="1" applyFont="1" applyFill="1" applyBorder="1"/>
    <xf numFmtId="170" fontId="19" fillId="0" borderId="8" xfId="0" applyNumberFormat="1" applyFont="1" applyBorder="1"/>
    <xf numFmtId="0" fontId="5" fillId="10" borderId="11" xfId="0" applyFont="1" applyFill="1" applyBorder="1"/>
    <xf numFmtId="165" fontId="0" fillId="7" borderId="12" xfId="0" applyNumberFormat="1" applyFill="1" applyBorder="1"/>
    <xf numFmtId="170" fontId="0" fillId="7" borderId="8" xfId="0" applyNumberFormat="1" applyFill="1" applyBorder="1"/>
    <xf numFmtId="0" fontId="5" fillId="9" borderId="18" xfId="0" applyFont="1" applyFill="1" applyBorder="1"/>
    <xf numFmtId="0" fontId="5" fillId="9" borderId="19" xfId="0" applyFont="1" applyFill="1" applyBorder="1"/>
    <xf numFmtId="0" fontId="5" fillId="9" borderId="20" xfId="0" applyFont="1" applyFill="1" applyBorder="1"/>
    <xf numFmtId="0" fontId="0" fillId="7" borderId="4" xfId="0" applyFill="1" applyBorder="1"/>
    <xf numFmtId="0" fontId="0" fillId="7" borderId="5" xfId="0" applyFill="1" applyBorder="1"/>
    <xf numFmtId="5" fontId="0" fillId="7" borderId="5" xfId="0" applyNumberFormat="1" applyFill="1" applyBorder="1"/>
    <xf numFmtId="5" fontId="0" fillId="7" borderId="6" xfId="0" applyNumberFormat="1" applyFill="1" applyBorder="1"/>
    <xf numFmtId="5" fontId="0" fillId="7" borderId="0" xfId="0" applyNumberFormat="1" applyFill="1"/>
    <xf numFmtId="5" fontId="0" fillId="7" borderId="8" xfId="0" applyNumberFormat="1" applyFill="1" applyBorder="1"/>
    <xf numFmtId="171" fontId="0" fillId="0" borderId="0" xfId="0" applyNumberFormat="1"/>
    <xf numFmtId="0" fontId="0" fillId="7" borderId="16" xfId="0" applyFill="1" applyBorder="1"/>
    <xf numFmtId="172" fontId="0" fillId="0" borderId="0" xfId="0" applyNumberFormat="1"/>
    <xf numFmtId="0" fontId="0" fillId="7" borderId="11" xfId="0" applyFill="1" applyBorder="1"/>
    <xf numFmtId="0" fontId="0" fillId="7" borderId="13" xfId="0" applyFill="1" applyBorder="1"/>
    <xf numFmtId="5" fontId="0" fillId="7" borderId="13" xfId="0" applyNumberFormat="1" applyFill="1" applyBorder="1"/>
    <xf numFmtId="5" fontId="0" fillId="7" borderId="12" xfId="0" applyNumberFormat="1" applyFill="1" applyBorder="1"/>
    <xf numFmtId="165" fontId="0" fillId="0" borderId="0" xfId="2" applyNumberFormat="1" applyFont="1"/>
    <xf numFmtId="6" fontId="0" fillId="0" borderId="0" xfId="0" applyNumberFormat="1"/>
    <xf numFmtId="0" fontId="0" fillId="0" borderId="18" xfId="0" applyBorder="1"/>
    <xf numFmtId="10" fontId="0" fillId="0" borderId="20" xfId="0" applyNumberFormat="1" applyBorder="1"/>
    <xf numFmtId="44" fontId="0" fillId="0" borderId="12" xfId="0" applyNumberFormat="1" applyBorder="1"/>
    <xf numFmtId="5" fontId="0" fillId="7" borderId="16" xfId="0" applyNumberFormat="1" applyFill="1" applyBorder="1"/>
    <xf numFmtId="5" fontId="0" fillId="7" borderId="15" xfId="0" applyNumberFormat="1" applyFill="1" applyBorder="1"/>
    <xf numFmtId="9" fontId="0" fillId="0" borderId="8" xfId="3" applyFont="1" applyBorder="1"/>
    <xf numFmtId="10" fontId="0" fillId="0" borderId="8" xfId="3" applyNumberFormat="1" applyFont="1" applyBorder="1"/>
    <xf numFmtId="0" fontId="0" fillId="0" borderId="15" xfId="0" applyBorder="1"/>
    <xf numFmtId="165" fontId="0" fillId="0" borderId="27" xfId="0" applyNumberFormat="1" applyBorder="1"/>
    <xf numFmtId="165" fontId="0" fillId="4" borderId="0" xfId="0" applyNumberFormat="1" applyFill="1"/>
    <xf numFmtId="165" fontId="0" fillId="6" borderId="0" xfId="0" applyNumberFormat="1" applyFill="1"/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165" fontId="0" fillId="0" borderId="8" xfId="2" applyNumberFormat="1" applyFont="1" applyFill="1" applyBorder="1"/>
    <xf numFmtId="175" fontId="0" fillId="0" borderId="7" xfId="0" applyNumberFormat="1" applyBorder="1" applyAlignment="1">
      <alignment horizontal="left"/>
    </xf>
    <xf numFmtId="165" fontId="1" fillId="0" borderId="8" xfId="2" applyNumberFormat="1" applyFont="1" applyFill="1" applyBorder="1"/>
    <xf numFmtId="176" fontId="0" fillId="0" borderId="7" xfId="0" applyNumberFormat="1" applyBorder="1" applyAlignment="1">
      <alignment horizontal="left"/>
    </xf>
    <xf numFmtId="165" fontId="1" fillId="0" borderId="15" xfId="2" applyNumberFormat="1" applyFont="1" applyFill="1" applyBorder="1"/>
    <xf numFmtId="44" fontId="1" fillId="0" borderId="0" xfId="2" applyFont="1" applyFill="1" applyBorder="1" applyAlignment="1">
      <alignment horizontal="center"/>
    </xf>
    <xf numFmtId="173" fontId="1" fillId="0" borderId="14" xfId="3" applyNumberFormat="1" applyFont="1" applyFill="1" applyBorder="1" applyAlignment="1">
      <alignment horizontal="left"/>
    </xf>
    <xf numFmtId="10" fontId="4" fillId="5" borderId="22" xfId="3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5" fillId="2" borderId="14" xfId="0" applyFont="1" applyFill="1" applyBorder="1"/>
    <xf numFmtId="14" fontId="2" fillId="2" borderId="16" xfId="0" applyNumberFormat="1" applyFont="1" applyFill="1" applyBorder="1"/>
    <xf numFmtId="14" fontId="2" fillId="2" borderId="15" xfId="0" applyNumberFormat="1" applyFont="1" applyFill="1" applyBorder="1"/>
    <xf numFmtId="0" fontId="2" fillId="2" borderId="28" xfId="0" applyFont="1" applyFill="1" applyBorder="1" applyAlignment="1">
      <alignment horizontal="center"/>
    </xf>
    <xf numFmtId="10" fontId="0" fillId="0" borderId="8" xfId="0" applyNumberFormat="1" applyBorder="1"/>
    <xf numFmtId="169" fontId="0" fillId="0" borderId="8" xfId="0" applyNumberFormat="1" applyBorder="1"/>
    <xf numFmtId="170" fontId="0" fillId="0" borderId="8" xfId="0" applyNumberFormat="1" applyBorder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10" borderId="21" xfId="0" applyFont="1" applyFill="1" applyBorder="1"/>
    <xf numFmtId="0" fontId="5" fillId="10" borderId="44" xfId="0" applyFont="1" applyFill="1" applyBorder="1"/>
    <xf numFmtId="0" fontId="2" fillId="2" borderId="22" xfId="0" applyFont="1" applyFill="1" applyBorder="1" applyAlignment="1">
      <alignment horizontal="center"/>
    </xf>
    <xf numFmtId="0" fontId="0" fillId="7" borderId="9" xfId="0" applyFill="1" applyBorder="1"/>
    <xf numFmtId="0" fontId="0" fillId="7" borderId="10" xfId="0" applyFill="1" applyBorder="1"/>
    <xf numFmtId="5" fontId="0" fillId="7" borderId="10" xfId="0" applyNumberFormat="1" applyFill="1" applyBorder="1"/>
    <xf numFmtId="5" fontId="0" fillId="7" borderId="28" xfId="0" applyNumberFormat="1" applyFill="1" applyBorder="1"/>
    <xf numFmtId="0" fontId="0" fillId="13" borderId="13" xfId="0" applyFill="1" applyBorder="1"/>
    <xf numFmtId="44" fontId="0" fillId="13" borderId="13" xfId="0" applyNumberFormat="1" applyFill="1" applyBorder="1"/>
    <xf numFmtId="0" fontId="0" fillId="13" borderId="12" xfId="0" applyFill="1" applyBorder="1"/>
    <xf numFmtId="0" fontId="4" fillId="13" borderId="2" xfId="0" applyFont="1" applyFill="1" applyBorder="1" applyAlignment="1">
      <alignment horizontal="center"/>
    </xf>
    <xf numFmtId="10" fontId="4" fillId="13" borderId="12" xfId="0" applyNumberFormat="1" applyFont="1" applyFill="1" applyBorder="1" applyAlignment="1">
      <alignment horizontal="center"/>
    </xf>
    <xf numFmtId="174" fontId="0" fillId="0" borderId="7" xfId="0" applyNumberFormat="1" applyBorder="1" applyAlignment="1">
      <alignment horizontal="left"/>
    </xf>
    <xf numFmtId="0" fontId="2" fillId="2" borderId="45" xfId="0" applyFont="1" applyFill="1" applyBorder="1" applyAlignment="1">
      <alignment horizontal="center"/>
    </xf>
    <xf numFmtId="9" fontId="0" fillId="0" borderId="13" xfId="3" applyFont="1" applyBorder="1"/>
    <xf numFmtId="0" fontId="0" fillId="0" borderId="12" xfId="0" applyBorder="1"/>
    <xf numFmtId="0" fontId="2" fillId="2" borderId="38" xfId="0" applyFont="1" applyFill="1" applyBorder="1" applyAlignment="1">
      <alignment horizontal="center"/>
    </xf>
    <xf numFmtId="44" fontId="20" fillId="12" borderId="41" xfId="2" applyFont="1" applyFill="1" applyBorder="1" applyAlignment="1" applyProtection="1">
      <alignment vertical="center"/>
      <protection locked="0"/>
    </xf>
    <xf numFmtId="14" fontId="20" fillId="12" borderId="41" xfId="2" applyNumberFormat="1" applyFont="1" applyFill="1" applyBorder="1" applyAlignment="1" applyProtection="1">
      <alignment vertical="center"/>
      <protection locked="0"/>
    </xf>
    <xf numFmtId="44" fontId="20" fillId="12" borderId="42" xfId="2" applyFont="1" applyFill="1" applyBorder="1" applyAlignment="1" applyProtection="1">
      <alignment vertical="center"/>
      <protection locked="0"/>
    </xf>
    <xf numFmtId="9" fontId="20" fillId="12" borderId="41" xfId="3" applyFont="1" applyFill="1" applyBorder="1" applyAlignment="1" applyProtection="1">
      <alignment vertical="center"/>
      <protection locked="0"/>
    </xf>
    <xf numFmtId="9" fontId="20" fillId="12" borderId="41" xfId="2" applyNumberFormat="1" applyFont="1" applyFill="1" applyBorder="1" applyAlignment="1" applyProtection="1">
      <alignment vertical="center"/>
      <protection locked="0"/>
    </xf>
    <xf numFmtId="9" fontId="20" fillId="12" borderId="42" xfId="2" applyNumberFormat="1" applyFont="1" applyFill="1" applyBorder="1" applyAlignment="1" applyProtection="1">
      <alignment vertical="center"/>
      <protection locked="0"/>
    </xf>
    <xf numFmtId="0" fontId="20" fillId="12" borderId="41" xfId="2" applyNumberFormat="1" applyFont="1" applyFill="1" applyBorder="1" applyAlignment="1" applyProtection="1">
      <alignment vertical="center"/>
      <protection locked="0"/>
    </xf>
    <xf numFmtId="44" fontId="20" fillId="12" borderId="41" xfId="2" applyFont="1" applyFill="1" applyBorder="1" applyAlignment="1" applyProtection="1">
      <alignment horizontal="center" vertical="center"/>
      <protection locked="0"/>
    </xf>
    <xf numFmtId="10" fontId="20" fillId="12" borderId="42" xfId="2" applyNumberFormat="1" applyFont="1" applyFill="1" applyBorder="1" applyAlignment="1" applyProtection="1">
      <alignment vertical="center"/>
      <protection locked="0"/>
    </xf>
    <xf numFmtId="10" fontId="20" fillId="12" borderId="41" xfId="3" applyNumberFormat="1" applyFont="1" applyFill="1" applyBorder="1" applyAlignment="1" applyProtection="1">
      <alignment vertical="center"/>
      <protection locked="0"/>
    </xf>
    <xf numFmtId="9" fontId="20" fillId="12" borderId="43" xfId="3" applyFont="1" applyFill="1" applyBorder="1" applyAlignment="1" applyProtection="1">
      <alignment vertical="center"/>
      <protection locked="0"/>
    </xf>
    <xf numFmtId="165" fontId="1" fillId="0" borderId="8" xfId="2" applyNumberFormat="1" applyFont="1" applyFill="1" applyBorder="1" applyProtection="1">
      <protection locked="0"/>
    </xf>
    <xf numFmtId="0" fontId="24" fillId="14" borderId="1" xfId="4" applyFont="1" applyFill="1" applyBorder="1" applyAlignment="1">
      <alignment horizontal="center"/>
    </xf>
    <xf numFmtId="0" fontId="24" fillId="14" borderId="3" xfId="4" applyFont="1" applyFill="1" applyBorder="1" applyAlignment="1">
      <alignment horizontal="center"/>
    </xf>
    <xf numFmtId="164" fontId="24" fillId="14" borderId="3" xfId="5" applyNumberFormat="1" applyFont="1" applyFill="1" applyBorder="1" applyAlignment="1" applyProtection="1">
      <alignment horizontal="center"/>
      <protection locked="0"/>
    </xf>
    <xf numFmtId="43" fontId="24" fillId="14" borderId="3" xfId="5" applyFont="1" applyFill="1" applyBorder="1" applyAlignment="1" applyProtection="1">
      <alignment horizontal="center"/>
      <protection locked="0"/>
    </xf>
    <xf numFmtId="44" fontId="24" fillId="14" borderId="3" xfId="6" applyFont="1" applyFill="1" applyBorder="1" applyAlignment="1">
      <alignment horizontal="center"/>
    </xf>
    <xf numFmtId="44" fontId="24" fillId="14" borderId="2" xfId="6" applyFont="1" applyFill="1" applyBorder="1" applyAlignment="1">
      <alignment horizontal="center"/>
    </xf>
    <xf numFmtId="0" fontId="25" fillId="0" borderId="0" xfId="4" applyFont="1" applyAlignment="1">
      <alignment horizontal="left"/>
    </xf>
    <xf numFmtId="164" fontId="25" fillId="0" borderId="0" xfId="5" applyNumberFormat="1" applyFont="1" applyFill="1" applyBorder="1" applyAlignment="1" applyProtection="1">
      <alignment horizontal="left"/>
      <protection locked="0"/>
    </xf>
    <xf numFmtId="43" fontId="25" fillId="0" borderId="0" xfId="5" applyFont="1" applyFill="1" applyBorder="1" applyAlignment="1" applyProtection="1">
      <alignment horizontal="left"/>
      <protection locked="0"/>
    </xf>
    <xf numFmtId="44" fontId="25" fillId="0" borderId="8" xfId="6" applyFont="1" applyFill="1" applyBorder="1" applyAlignment="1">
      <alignment horizontal="left"/>
    </xf>
    <xf numFmtId="165" fontId="24" fillId="0" borderId="25" xfId="6" applyNumberFormat="1" applyFont="1" applyFill="1" applyBorder="1" applyAlignment="1">
      <alignment horizontal="left"/>
    </xf>
    <xf numFmtId="0" fontId="24" fillId="0" borderId="46" xfId="4" applyFont="1" applyBorder="1" applyAlignment="1">
      <alignment horizontal="left"/>
    </xf>
    <xf numFmtId="0" fontId="25" fillId="0" borderId="25" xfId="4" applyFont="1" applyBorder="1" applyAlignment="1">
      <alignment horizontal="left"/>
    </xf>
    <xf numFmtId="164" fontId="25" fillId="0" borderId="25" xfId="5" applyNumberFormat="1" applyFont="1" applyFill="1" applyBorder="1" applyAlignment="1" applyProtection="1">
      <alignment horizontal="left"/>
      <protection locked="0"/>
    </xf>
    <xf numFmtId="43" fontId="25" fillId="0" borderId="25" xfId="5" applyFont="1" applyFill="1" applyBorder="1" applyAlignment="1" applyProtection="1">
      <alignment horizontal="left"/>
      <protection locked="0"/>
    </xf>
    <xf numFmtId="165" fontId="0" fillId="0" borderId="28" xfId="0" applyNumberFormat="1" applyBorder="1"/>
    <xf numFmtId="165" fontId="4" fillId="4" borderId="47" xfId="0" applyNumberFormat="1" applyFont="1" applyFill="1" applyBorder="1"/>
    <xf numFmtId="10" fontId="4" fillId="4" borderId="0" xfId="0" applyNumberFormat="1" applyFont="1" applyFill="1" applyAlignment="1">
      <alignment horizontal="center"/>
    </xf>
    <xf numFmtId="10" fontId="4" fillId="6" borderId="0" xfId="0" applyNumberFormat="1" applyFont="1" applyFill="1" applyAlignment="1">
      <alignment horizontal="center"/>
    </xf>
    <xf numFmtId="0" fontId="0" fillId="0" borderId="32" xfId="0" applyBorder="1"/>
    <xf numFmtId="165" fontId="0" fillId="4" borderId="33" xfId="0" applyNumberFormat="1" applyFill="1" applyBorder="1"/>
    <xf numFmtId="165" fontId="0" fillId="5" borderId="48" xfId="0" applyNumberFormat="1" applyFill="1" applyBorder="1"/>
    <xf numFmtId="165" fontId="0" fillId="6" borderId="33" xfId="0" applyNumberFormat="1" applyFill="1" applyBorder="1"/>
    <xf numFmtId="165" fontId="0" fillId="6" borderId="49" xfId="0" applyNumberFormat="1" applyFill="1" applyBorder="1"/>
    <xf numFmtId="0" fontId="0" fillId="0" borderId="13" xfId="0" applyBorder="1"/>
    <xf numFmtId="164" fontId="0" fillId="0" borderId="0" xfId="0" applyNumberFormat="1" applyAlignment="1">
      <alignment horizontal="center"/>
    </xf>
    <xf numFmtId="0" fontId="0" fillId="0" borderId="21" xfId="0" applyBorder="1" applyAlignment="1">
      <alignment horizontal="center"/>
    </xf>
    <xf numFmtId="165" fontId="4" fillId="0" borderId="30" xfId="0" applyNumberFormat="1" applyFont="1" applyBorder="1" applyAlignment="1">
      <alignment horizontal="center"/>
    </xf>
    <xf numFmtId="0" fontId="0" fillId="0" borderId="44" xfId="0" applyBorder="1" applyAlignment="1">
      <alignment vertical="center"/>
    </xf>
    <xf numFmtId="166" fontId="27" fillId="15" borderId="17" xfId="0" applyNumberFormat="1" applyFont="1" applyFill="1" applyBorder="1" applyAlignment="1">
      <alignment horizontal="center"/>
    </xf>
    <xf numFmtId="166" fontId="27" fillId="15" borderId="52" xfId="0" applyNumberFormat="1" applyFont="1" applyFill="1" applyBorder="1" applyAlignment="1">
      <alignment horizontal="center"/>
    </xf>
    <xf numFmtId="166" fontId="27" fillId="15" borderId="33" xfId="0" applyNumberFormat="1" applyFont="1" applyFill="1" applyBorder="1" applyAlignment="1">
      <alignment horizontal="center"/>
    </xf>
    <xf numFmtId="166" fontId="27" fillId="15" borderId="49" xfId="0" applyNumberFormat="1" applyFont="1" applyFill="1" applyBorder="1" applyAlignment="1">
      <alignment horizontal="center"/>
    </xf>
    <xf numFmtId="164" fontId="4" fillId="0" borderId="25" xfId="1" applyNumberFormat="1" applyFont="1" applyBorder="1" applyAlignment="1">
      <alignment horizontal="center"/>
    </xf>
    <xf numFmtId="44" fontId="4" fillId="0" borderId="25" xfId="0" applyNumberFormat="1" applyFont="1" applyBorder="1"/>
    <xf numFmtId="165" fontId="4" fillId="0" borderId="25" xfId="2" applyNumberFormat="1" applyFont="1" applyBorder="1" applyAlignment="1">
      <alignment horizontal="center"/>
    </xf>
    <xf numFmtId="165" fontId="4" fillId="0" borderId="27" xfId="2" applyNumberFormat="1" applyFont="1" applyBorder="1" applyAlignment="1">
      <alignment horizontal="center"/>
    </xf>
    <xf numFmtId="44" fontId="0" fillId="0" borderId="21" xfId="0" applyNumberFormat="1" applyBorder="1" applyAlignment="1">
      <alignment horizontal="center"/>
    </xf>
    <xf numFmtId="44" fontId="25" fillId="0" borderId="27" xfId="6" applyFont="1" applyFill="1" applyBorder="1" applyAlignment="1">
      <alignment horizontal="left"/>
    </xf>
    <xf numFmtId="0" fontId="24" fillId="0" borderId="7" xfId="4" applyFont="1" applyBorder="1" applyAlignment="1" applyProtection="1">
      <alignment horizontal="left"/>
      <protection locked="0"/>
    </xf>
    <xf numFmtId="0" fontId="25" fillId="12" borderId="7" xfId="4" applyFont="1" applyFill="1" applyBorder="1" applyAlignment="1" applyProtection="1">
      <alignment horizontal="left"/>
      <protection locked="0"/>
    </xf>
    <xf numFmtId="165" fontId="26" fillId="12" borderId="0" xfId="6" applyNumberFormat="1" applyFont="1" applyFill="1" applyBorder="1" applyAlignment="1" applyProtection="1">
      <alignment horizontal="left"/>
      <protection locked="0"/>
    </xf>
    <xf numFmtId="166" fontId="0" fillId="0" borderId="0" xfId="0" applyNumberFormat="1"/>
    <xf numFmtId="165" fontId="14" fillId="0" borderId="0" xfId="0" applyNumberFormat="1" applyFont="1"/>
    <xf numFmtId="165" fontId="14" fillId="7" borderId="0" xfId="0" applyNumberFormat="1" applyFont="1" applyFill="1"/>
    <xf numFmtId="165" fontId="15" fillId="0" borderId="0" xfId="0" applyNumberFormat="1" applyFont="1"/>
    <xf numFmtId="168" fontId="16" fillId="0" borderId="0" xfId="0" applyNumberFormat="1" applyFont="1"/>
    <xf numFmtId="167" fontId="0" fillId="0" borderId="0" xfId="0" applyNumberFormat="1"/>
    <xf numFmtId="168" fontId="0" fillId="0" borderId="0" xfId="0" applyNumberFormat="1"/>
    <xf numFmtId="166" fontId="2" fillId="8" borderId="14" xfId="0" applyNumberFormat="1" applyFont="1" applyFill="1" applyBorder="1"/>
    <xf numFmtId="166" fontId="2" fillId="8" borderId="16" xfId="0" applyNumberFormat="1" applyFont="1" applyFill="1" applyBorder="1"/>
    <xf numFmtId="166" fontId="2" fillId="8" borderId="53" xfId="0" applyNumberFormat="1" applyFont="1" applyFill="1" applyBorder="1"/>
    <xf numFmtId="0" fontId="2" fillId="0" borderId="0" xfId="0" applyFont="1" applyAlignment="1">
      <alignment horizontal="center"/>
    </xf>
    <xf numFmtId="0" fontId="2" fillId="2" borderId="51" xfId="0" applyFont="1" applyFill="1" applyBorder="1" applyAlignment="1">
      <alignment horizontal="center"/>
    </xf>
    <xf numFmtId="0" fontId="2" fillId="2" borderId="50" xfId="0" applyFont="1" applyFill="1" applyBorder="1" applyAlignment="1">
      <alignment horizontal="center"/>
    </xf>
    <xf numFmtId="177" fontId="0" fillId="0" borderId="21" xfId="0" applyNumberFormat="1" applyBorder="1" applyAlignment="1">
      <alignment horizontal="left"/>
    </xf>
    <xf numFmtId="0" fontId="4" fillId="3" borderId="46" xfId="0" applyFont="1" applyFill="1" applyBorder="1"/>
    <xf numFmtId="165" fontId="4" fillId="3" borderId="27" xfId="0" applyNumberFormat="1" applyFont="1" applyFill="1" applyBorder="1"/>
    <xf numFmtId="10" fontId="4" fillId="5" borderId="23" xfId="3" applyNumberFormat="1" applyFont="1" applyFill="1" applyBorder="1" applyAlignment="1">
      <alignment horizontal="center" vertical="center"/>
    </xf>
    <xf numFmtId="10" fontId="4" fillId="6" borderId="8" xfId="0" applyNumberFormat="1" applyFont="1" applyFill="1" applyBorder="1" applyAlignment="1">
      <alignment horizontal="center"/>
    </xf>
    <xf numFmtId="168" fontId="0" fillId="4" borderId="13" xfId="0" applyNumberFormat="1" applyFill="1" applyBorder="1" applyAlignment="1">
      <alignment vertical="center"/>
    </xf>
    <xf numFmtId="168" fontId="0" fillId="5" borderId="29" xfId="0" applyNumberFormat="1" applyFill="1" applyBorder="1" applyAlignment="1">
      <alignment vertical="center"/>
    </xf>
    <xf numFmtId="168" fontId="0" fillId="6" borderId="13" xfId="0" applyNumberFormat="1" applyFill="1" applyBorder="1" applyAlignment="1">
      <alignment vertical="center"/>
    </xf>
    <xf numFmtId="168" fontId="0" fillId="6" borderId="12" xfId="0" applyNumberFormat="1" applyFill="1" applyBorder="1" applyAlignment="1">
      <alignment vertical="center"/>
    </xf>
    <xf numFmtId="165" fontId="1" fillId="0" borderId="0" xfId="2" applyNumberFormat="1" applyFont="1" applyFill="1" applyBorder="1" applyAlignment="1">
      <alignment horizontal="center"/>
    </xf>
    <xf numFmtId="0" fontId="0" fillId="0" borderId="7" xfId="0" applyBorder="1" applyProtection="1">
      <protection locked="0"/>
    </xf>
    <xf numFmtId="0" fontId="0" fillId="0" borderId="14" xfId="0" applyBorder="1" applyProtection="1">
      <protection locked="0"/>
    </xf>
    <xf numFmtId="44" fontId="0" fillId="0" borderId="29" xfId="2" applyFont="1" applyBorder="1" applyProtection="1">
      <protection locked="0"/>
    </xf>
    <xf numFmtId="0" fontId="2" fillId="2" borderId="4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4" fillId="0" borderId="46" xfId="0" applyFont="1" applyBorder="1"/>
    <xf numFmtId="165" fontId="4" fillId="0" borderId="27" xfId="0" applyNumberFormat="1" applyFont="1" applyBorder="1"/>
    <xf numFmtId="9" fontId="0" fillId="0" borderId="5" xfId="0" applyNumberFormat="1" applyBorder="1"/>
    <xf numFmtId="165" fontId="0" fillId="0" borderId="6" xfId="0" applyNumberFormat="1" applyBorder="1"/>
    <xf numFmtId="9" fontId="0" fillId="0" borderId="16" xfId="0" applyNumberFormat="1" applyBorder="1"/>
    <xf numFmtId="0" fontId="5" fillId="0" borderId="0" xfId="0" applyFont="1"/>
    <xf numFmtId="0" fontId="0" fillId="0" borderId="7" xfId="0" applyBorder="1" applyAlignment="1">
      <alignment horizontal="right"/>
    </xf>
    <xf numFmtId="0" fontId="0" fillId="0" borderId="11" xfId="0" applyBorder="1" applyAlignment="1">
      <alignment horizontal="right"/>
    </xf>
    <xf numFmtId="164" fontId="0" fillId="0" borderId="0" xfId="0" applyNumberFormat="1"/>
    <xf numFmtId="1" fontId="0" fillId="0" borderId="7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2" borderId="55" xfId="0" applyFont="1" applyFill="1" applyBorder="1" applyAlignment="1">
      <alignment horizontal="center"/>
    </xf>
    <xf numFmtId="165" fontId="13" fillId="3" borderId="8" xfId="2" applyNumberFormat="1" applyFont="1" applyFill="1" applyBorder="1"/>
    <xf numFmtId="165" fontId="20" fillId="12" borderId="41" xfId="2" applyNumberFormat="1" applyFont="1" applyFill="1" applyBorder="1" applyAlignment="1" applyProtection="1">
      <alignment vertical="center"/>
      <protection locked="0"/>
    </xf>
    <xf numFmtId="165" fontId="20" fillId="12" borderId="43" xfId="2" applyNumberFormat="1" applyFont="1" applyFill="1" applyBorder="1" applyAlignment="1" applyProtection="1">
      <alignment vertical="center"/>
      <protection locked="0"/>
    </xf>
    <xf numFmtId="0" fontId="20" fillId="12" borderId="43" xfId="3" applyNumberFormat="1" applyFont="1" applyFill="1" applyBorder="1" applyAlignment="1" applyProtection="1">
      <alignment vertical="center"/>
      <protection locked="0"/>
    </xf>
    <xf numFmtId="0" fontId="0" fillId="0" borderId="6" xfId="0" applyBorder="1"/>
    <xf numFmtId="0" fontId="25" fillId="12" borderId="7" xfId="4" applyFont="1" applyFill="1" applyBorder="1" applyAlignment="1">
      <alignment horizontal="left"/>
    </xf>
    <xf numFmtId="0" fontId="5" fillId="0" borderId="0" xfId="0" applyFont="1" applyProtection="1">
      <protection locked="0"/>
    </xf>
    <xf numFmtId="0" fontId="10" fillId="12" borderId="26" xfId="0" applyFont="1" applyFill="1" applyBorder="1" applyProtection="1">
      <protection locked="0"/>
    </xf>
    <xf numFmtId="44" fontId="0" fillId="0" borderId="41" xfId="2" applyFont="1" applyBorder="1"/>
    <xf numFmtId="44" fontId="0" fillId="0" borderId="56" xfId="2" applyFont="1" applyBorder="1"/>
    <xf numFmtId="164" fontId="0" fillId="0" borderId="8" xfId="1" applyNumberFormat="1" applyFont="1" applyBorder="1"/>
    <xf numFmtId="2" fontId="0" fillId="0" borderId="15" xfId="0" applyNumberFormat="1" applyBorder="1"/>
    <xf numFmtId="0" fontId="29" fillId="0" borderId="11" xfId="0" applyFont="1" applyBorder="1" applyAlignment="1">
      <alignment vertical="center"/>
    </xf>
    <xf numFmtId="10" fontId="29" fillId="0" borderId="12" xfId="3" applyNumberFormat="1" applyFont="1" applyFill="1" applyBorder="1" applyAlignment="1">
      <alignment horizontal="left" vertical="center"/>
    </xf>
    <xf numFmtId="0" fontId="29" fillId="0" borderId="0" xfId="0" applyFont="1" applyAlignment="1">
      <alignment vertical="center"/>
    </xf>
    <xf numFmtId="10" fontId="29" fillId="0" borderId="0" xfId="3" applyNumberFormat="1" applyFont="1" applyFill="1" applyBorder="1" applyAlignment="1">
      <alignment horizontal="left" vertical="center"/>
    </xf>
    <xf numFmtId="0" fontId="29" fillId="0" borderId="1" xfId="0" applyFont="1" applyBorder="1" applyAlignment="1">
      <alignment vertical="center"/>
    </xf>
    <xf numFmtId="10" fontId="29" fillId="0" borderId="2" xfId="3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44" fontId="20" fillId="12" borderId="8" xfId="2" applyFont="1" applyFill="1" applyBorder="1" applyAlignment="1" applyProtection="1">
      <alignment vertical="center"/>
      <protection locked="0"/>
    </xf>
    <xf numFmtId="0" fontId="6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2" fillId="13" borderId="4" xfId="0" applyFont="1" applyFill="1" applyBorder="1" applyAlignment="1">
      <alignment horizontal="center"/>
    </xf>
    <xf numFmtId="0" fontId="22" fillId="13" borderId="5" xfId="0" applyFont="1" applyFill="1" applyBorder="1" applyAlignment="1">
      <alignment horizontal="center"/>
    </xf>
    <xf numFmtId="0" fontId="22" fillId="13" borderId="6" xfId="0" applyFont="1" applyFill="1" applyBorder="1" applyAlignment="1">
      <alignment horizontal="center"/>
    </xf>
    <xf numFmtId="0" fontId="22" fillId="13" borderId="7" xfId="0" applyFont="1" applyFill="1" applyBorder="1" applyAlignment="1">
      <alignment horizontal="center"/>
    </xf>
    <xf numFmtId="0" fontId="22" fillId="13" borderId="0" xfId="0" applyFont="1" applyFill="1" applyAlignment="1">
      <alignment horizontal="center"/>
    </xf>
    <xf numFmtId="0" fontId="22" fillId="13" borderId="8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2" fillId="13" borderId="11" xfId="0" applyFont="1" applyFill="1" applyBorder="1" applyAlignment="1">
      <alignment horizontal="center"/>
    </xf>
    <xf numFmtId="0" fontId="22" fillId="13" borderId="13" xfId="0" applyFont="1" applyFill="1" applyBorder="1" applyAlignment="1">
      <alignment horizontal="center"/>
    </xf>
    <xf numFmtId="0" fontId="28" fillId="13" borderId="7" xfId="0" applyFont="1" applyFill="1" applyBorder="1" applyAlignment="1">
      <alignment horizontal="center"/>
    </xf>
    <xf numFmtId="0" fontId="28" fillId="13" borderId="0" xfId="0" applyFont="1" applyFill="1" applyAlignment="1">
      <alignment horizontal="center"/>
    </xf>
    <xf numFmtId="0" fontId="28" fillId="13" borderId="8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4" fillId="16" borderId="54" xfId="0" applyFont="1" applyFill="1" applyBorder="1" applyAlignment="1">
      <alignment horizontal="center"/>
    </xf>
    <xf numFmtId="0" fontId="4" fillId="16" borderId="49" xfId="0" applyFont="1" applyFill="1" applyBorder="1" applyAlignment="1">
      <alignment horizontal="center"/>
    </xf>
    <xf numFmtId="0" fontId="20" fillId="12" borderId="7" xfId="0" applyFont="1" applyFill="1" applyBorder="1" applyAlignment="1" applyProtection="1">
      <alignment horizontal="center"/>
      <protection locked="0"/>
    </xf>
    <xf numFmtId="0" fontId="20" fillId="12" borderId="8" xfId="0" applyFont="1" applyFill="1" applyBorder="1" applyAlignment="1" applyProtection="1">
      <alignment horizontal="center"/>
      <protection locked="0"/>
    </xf>
    <xf numFmtId="178" fontId="20" fillId="12" borderId="14" xfId="0" applyNumberFormat="1" applyFont="1" applyFill="1" applyBorder="1" applyAlignment="1" applyProtection="1">
      <alignment horizontal="center"/>
      <protection locked="0"/>
    </xf>
    <xf numFmtId="178" fontId="20" fillId="12" borderId="15" xfId="0" applyNumberFormat="1" applyFont="1" applyFill="1" applyBorder="1" applyAlignment="1" applyProtection="1">
      <alignment horizontal="center"/>
      <protection locked="0"/>
    </xf>
    <xf numFmtId="0" fontId="12" fillId="2" borderId="4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/>
    </xf>
    <xf numFmtId="0" fontId="5" fillId="8" borderId="6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9" borderId="4" xfId="0" applyFont="1" applyFill="1" applyBorder="1" applyAlignment="1">
      <alignment horizontal="center"/>
    </xf>
    <xf numFmtId="0" fontId="5" fillId="9" borderId="6" xfId="0" applyFont="1" applyFill="1" applyBorder="1" applyAlignment="1">
      <alignment horizontal="center"/>
    </xf>
  </cellXfs>
  <cellStyles count="7">
    <cellStyle name="Comma" xfId="1" builtinId="3"/>
    <cellStyle name="Comma 3" xfId="5" xr:uid="{D67F9E2B-00BE-4887-84E3-312488AE1E40}"/>
    <cellStyle name="Currency" xfId="2" builtinId="4"/>
    <cellStyle name="Currency 2" xfId="6" xr:uid="{1799DF95-772E-4FEA-A4F3-816B0F9A2841}"/>
    <cellStyle name="Normal" xfId="0" builtinId="0"/>
    <cellStyle name="Normal 2" xfId="4" xr:uid="{9398201E-3AD9-4083-B80F-EFD0F240C3F0}"/>
    <cellStyle name="Percent" xfId="3" builtinId="5"/>
  </cellStyles>
  <dxfs count="0"/>
  <tableStyles count="0" defaultTableStyle="TableStyleMedium2" defaultPivotStyle="PivotStyleLight16"/>
  <colors>
    <mruColors>
      <color rgb="FFABBDBA"/>
      <color rgb="FF9BB0AD"/>
      <color rgb="FFB4C4C1"/>
      <color rgb="FF254744"/>
      <color rgb="FF55AFCF"/>
      <color rgb="FF698C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'Tax Credits'!$E$19" lockText="1" noThreeD="1"/>
</file>

<file path=xl/ctrlProps/ctrlProp3.xml><?xml version="1.0" encoding="utf-8"?>
<formControlPr xmlns="http://schemas.microsoft.com/office/spreadsheetml/2009/9/main" objectType="CheckBox" fmlaLink="'Tax Credits'!$E$20" lockText="1" noThreeD="1"/>
</file>

<file path=xl/ctrlProps/ctrlProp4.xml><?xml version="1.0" encoding="utf-8"?>
<formControlPr xmlns="http://schemas.microsoft.com/office/spreadsheetml/2009/9/main" objectType="CheckBox" fmlaLink="'Tax Credits'!$E$2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381000</xdr:colOff>
          <xdr:row>2</xdr:row>
          <xdr:rowOff>190500</xdr:rowOff>
        </xdr:from>
        <xdr:to>
          <xdr:col>19</xdr:col>
          <xdr:colOff>876300</xdr:colOff>
          <xdr:row>4</xdr:row>
          <xdr:rowOff>292100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101284</xdr:colOff>
      <xdr:row>1</xdr:row>
      <xdr:rowOff>181676</xdr:rowOff>
    </xdr:from>
    <xdr:to>
      <xdr:col>11</xdr:col>
      <xdr:colOff>291355</xdr:colOff>
      <xdr:row>3</xdr:row>
      <xdr:rowOff>168088</xdr:rowOff>
    </xdr:to>
    <xdr:pic>
      <xdr:nvPicPr>
        <xdr:cNvPr id="2" name="x_Picture 4" descr="A black background with white text&#10;&#10;AI-generated content may be incorrect.">
          <a:extLst>
            <a:ext uri="{FF2B5EF4-FFF2-40B4-BE49-F238E27FC236}">
              <a16:creationId xmlns:a16="http://schemas.microsoft.com/office/drawing/2014/main" id="{7C448ACF-4834-6F2B-DE99-0BEC0F758F1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36637" y="461823"/>
          <a:ext cx="3092394" cy="389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279400</xdr:colOff>
          <xdr:row>32</xdr:row>
          <xdr:rowOff>38100</xdr:rowOff>
        </xdr:from>
        <xdr:to>
          <xdr:col>21</xdr:col>
          <xdr:colOff>635000</xdr:colOff>
          <xdr:row>33</xdr:row>
          <xdr:rowOff>38100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292100</xdr:colOff>
          <xdr:row>32</xdr:row>
          <xdr:rowOff>215900</xdr:rowOff>
        </xdr:from>
        <xdr:to>
          <xdr:col>21</xdr:col>
          <xdr:colOff>647700</xdr:colOff>
          <xdr:row>34</xdr:row>
          <xdr:rowOff>12700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279400</xdr:colOff>
          <xdr:row>33</xdr:row>
          <xdr:rowOff>203200</xdr:rowOff>
        </xdr:from>
        <xdr:to>
          <xdr:col>21</xdr:col>
          <xdr:colOff>647700</xdr:colOff>
          <xdr:row>35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B3B62-0F8C-43D3-B445-9520E2908978}">
  <sheetPr codeName="Sheet1">
    <tabColor theme="4" tint="0.79998168889431442"/>
    <pageSetUpPr fitToPage="1"/>
  </sheetPr>
  <dimension ref="A1:AD57"/>
  <sheetViews>
    <sheetView showGridLines="0" tabSelected="1" topLeftCell="K20" zoomScaleNormal="85" workbookViewId="0">
      <selection activeCell="U39" sqref="U39"/>
    </sheetView>
  </sheetViews>
  <sheetFormatPr baseColWidth="10" defaultColWidth="8.83203125" defaultRowHeight="15" outlineLevelCol="1" x14ac:dyDescent="0.2"/>
  <cols>
    <col min="1" max="1" width="7.1640625" customWidth="1"/>
    <col min="2" max="2" width="3.33203125" customWidth="1"/>
    <col min="3" max="3" width="28.33203125" customWidth="1" outlineLevel="1"/>
    <col min="4" max="4" width="15.33203125" customWidth="1" outlineLevel="1"/>
    <col min="5" max="5" width="2.6640625" customWidth="1"/>
    <col min="6" max="6" width="23.83203125" customWidth="1"/>
    <col min="7" max="7" width="16.5" customWidth="1"/>
    <col min="8" max="8" width="3.5" customWidth="1"/>
    <col min="9" max="9" width="4.1640625" customWidth="1"/>
    <col min="10" max="10" width="23.83203125" bestFit="1" customWidth="1"/>
    <col min="11" max="12" width="15.5" customWidth="1"/>
    <col min="13" max="13" width="17.83203125" bestFit="1" customWidth="1"/>
    <col min="14" max="18" width="15.5" customWidth="1"/>
    <col min="19" max="19" width="30.5" customWidth="1" outlineLevel="1"/>
    <col min="20" max="20" width="17.83203125" customWidth="1" outlineLevel="1"/>
    <col min="21" max="21" width="15.83203125" customWidth="1" outlineLevel="1"/>
    <col min="22" max="22" width="12.83203125" customWidth="1" outlineLevel="1"/>
    <col min="23" max="23" width="19.5" customWidth="1" outlineLevel="1"/>
    <col min="24" max="24" width="17.5" customWidth="1" outlineLevel="1"/>
    <col min="25" max="25" width="15" bestFit="1" customWidth="1"/>
    <col min="26" max="30" width="10" bestFit="1" customWidth="1"/>
  </cols>
  <sheetData>
    <row r="1" spans="1:24" ht="23" thickBot="1" x14ac:dyDescent="0.35">
      <c r="D1" s="332"/>
      <c r="E1" s="332"/>
      <c r="F1" t="s">
        <v>205</v>
      </c>
    </row>
    <row r="2" spans="1:24" ht="15.75" customHeight="1" thickBot="1" x14ac:dyDescent="0.25">
      <c r="C2" s="335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7"/>
      <c r="S2" s="348" t="s">
        <v>129</v>
      </c>
      <c r="T2" s="350"/>
    </row>
    <row r="3" spans="1:24" ht="15.75" customHeight="1" thickBot="1" x14ac:dyDescent="0.25">
      <c r="C3" s="338"/>
      <c r="D3" s="339"/>
      <c r="E3" s="339"/>
      <c r="F3" s="339"/>
      <c r="G3" s="339"/>
      <c r="H3" s="339"/>
      <c r="I3" s="339"/>
      <c r="J3" s="339"/>
      <c r="K3" s="339"/>
      <c r="L3" s="339"/>
      <c r="M3" s="339"/>
      <c r="N3" s="339"/>
      <c r="O3" s="339"/>
      <c r="P3" s="339"/>
      <c r="Q3" s="340"/>
      <c r="S3" s="7"/>
      <c r="T3" s="10"/>
      <c r="V3" s="351" t="s">
        <v>19</v>
      </c>
      <c r="W3" s="351"/>
      <c r="X3" s="351"/>
    </row>
    <row r="4" spans="1:24" ht="16" x14ac:dyDescent="0.2">
      <c r="A4" s="1"/>
      <c r="B4" s="1"/>
      <c r="C4" s="338"/>
      <c r="D4" s="339"/>
      <c r="E4" s="339"/>
      <c r="F4" s="339"/>
      <c r="G4" s="339"/>
      <c r="H4" s="339"/>
      <c r="I4" s="339"/>
      <c r="J4" s="339"/>
      <c r="K4" s="339"/>
      <c r="L4" s="339"/>
      <c r="M4" s="339"/>
      <c r="N4" s="339"/>
      <c r="O4" s="339"/>
      <c r="P4" s="339"/>
      <c r="Q4" s="340"/>
      <c r="S4" s="7"/>
      <c r="T4" s="10"/>
      <c r="V4" s="5" t="s">
        <v>89</v>
      </c>
      <c r="W4" s="311" t="s">
        <v>192</v>
      </c>
      <c r="X4" s="202" t="s">
        <v>191</v>
      </c>
    </row>
    <row r="5" spans="1:24" ht="30.75" customHeight="1" thickBot="1" x14ac:dyDescent="0.45">
      <c r="A5" s="1"/>
      <c r="B5" s="1"/>
      <c r="C5" s="345" t="str">
        <f>S7</f>
        <v xml:space="preserve">5th 3rd </v>
      </c>
      <c r="D5" s="346"/>
      <c r="E5" s="346"/>
      <c r="F5" s="346"/>
      <c r="G5" s="346"/>
      <c r="H5" s="346"/>
      <c r="I5" s="346"/>
      <c r="J5" s="346"/>
      <c r="K5" s="346"/>
      <c r="L5" s="346"/>
      <c r="M5" s="346"/>
      <c r="N5" s="346"/>
      <c r="O5" s="346"/>
      <c r="P5" s="346"/>
      <c r="Q5" s="347"/>
      <c r="S5" s="16"/>
      <c r="T5" s="215"/>
      <c r="V5" s="309">
        <v>1</v>
      </c>
      <c r="W5" s="313"/>
      <c r="X5" s="319">
        <v>3</v>
      </c>
    </row>
    <row r="6" spans="1:24" ht="18.75" customHeight="1" x14ac:dyDescent="0.2">
      <c r="A6" s="1"/>
      <c r="B6" s="1"/>
      <c r="C6" s="338" t="str">
        <f>S8</f>
        <v xml:space="preserve">Ground Lease </v>
      </c>
      <c r="D6" s="339"/>
      <c r="E6" s="339"/>
      <c r="F6" s="339"/>
      <c r="G6" s="339"/>
      <c r="H6" s="339"/>
      <c r="I6" s="339"/>
      <c r="J6" s="339"/>
      <c r="K6" s="339"/>
      <c r="L6" s="339"/>
      <c r="M6" s="339"/>
      <c r="N6" s="339"/>
      <c r="O6" s="339"/>
      <c r="P6" s="339"/>
      <c r="Q6" s="340"/>
      <c r="S6" s="341" t="s">
        <v>116</v>
      </c>
      <c r="T6" s="342"/>
      <c r="V6" s="309">
        <v>2</v>
      </c>
      <c r="W6" s="313"/>
    </row>
    <row r="7" spans="1:24" ht="18.75" customHeight="1" x14ac:dyDescent="0.2">
      <c r="A7" s="1"/>
      <c r="B7" s="1"/>
      <c r="C7" s="338" t="str">
        <f>S9</f>
        <v xml:space="preserve">5223 Sunset Blvd. </v>
      </c>
      <c r="D7" s="339"/>
      <c r="E7" s="339"/>
      <c r="F7" s="339"/>
      <c r="G7" s="339"/>
      <c r="H7" s="339"/>
      <c r="I7" s="339"/>
      <c r="J7" s="339"/>
      <c r="K7" s="339"/>
      <c r="L7" s="339"/>
      <c r="M7" s="339"/>
      <c r="N7" s="339"/>
      <c r="O7" s="339"/>
      <c r="P7" s="339"/>
      <c r="Q7" s="340"/>
      <c r="S7" s="356" t="s">
        <v>224</v>
      </c>
      <c r="T7" s="357"/>
      <c r="V7" s="309">
        <v>3</v>
      </c>
      <c r="W7" s="313"/>
    </row>
    <row r="8" spans="1:24" ht="19.5" customHeight="1" thickBot="1" x14ac:dyDescent="0.25">
      <c r="C8" s="343"/>
      <c r="D8" s="344"/>
      <c r="E8" s="344"/>
      <c r="F8" s="344"/>
      <c r="G8" s="344"/>
      <c r="H8" s="207"/>
      <c r="I8" s="208"/>
      <c r="J8" s="207"/>
      <c r="K8" s="207"/>
      <c r="L8" s="207"/>
      <c r="M8" s="207"/>
      <c r="N8" s="207"/>
      <c r="O8" s="207"/>
      <c r="P8" s="207"/>
      <c r="Q8" s="209"/>
      <c r="S8" s="356" t="s">
        <v>226</v>
      </c>
      <c r="T8" s="357"/>
      <c r="V8" s="309">
        <v>4</v>
      </c>
      <c r="W8" s="313"/>
    </row>
    <row r="9" spans="1:24" ht="20" thickBot="1" x14ac:dyDescent="0.3">
      <c r="D9" s="3"/>
      <c r="E9" s="4"/>
      <c r="S9" s="356" t="s">
        <v>225</v>
      </c>
      <c r="T9" s="357"/>
      <c r="V9" s="309">
        <v>5</v>
      </c>
      <c r="W9" s="313"/>
    </row>
    <row r="10" spans="1:24" ht="17.25" customHeight="1" thickBot="1" x14ac:dyDescent="0.25">
      <c r="C10" s="333" t="s">
        <v>0</v>
      </c>
      <c r="D10" s="334"/>
      <c r="E10" s="6"/>
      <c r="F10" s="333" t="s">
        <v>155</v>
      </c>
      <c r="G10" s="334"/>
      <c r="J10" s="348" t="s">
        <v>141</v>
      </c>
      <c r="K10" s="349"/>
      <c r="L10" s="349"/>
      <c r="M10" s="349"/>
      <c r="N10" s="349"/>
      <c r="O10" s="349"/>
      <c r="P10" s="349"/>
      <c r="Q10" s="350"/>
      <c r="S10" s="358">
        <v>2500</v>
      </c>
      <c r="T10" s="359"/>
      <c r="V10" s="309">
        <v>6</v>
      </c>
      <c r="W10" s="313"/>
    </row>
    <row r="11" spans="1:24" ht="17.25" customHeight="1" x14ac:dyDescent="0.2">
      <c r="C11" s="7" t="str">
        <f>S12</f>
        <v>Acquisition Cost</v>
      </c>
      <c r="D11" s="182">
        <f>T12</f>
        <v>2750000</v>
      </c>
      <c r="F11" s="212" t="s">
        <v>153</v>
      </c>
      <c r="G11" s="8">
        <f>D15</f>
        <v>2750000</v>
      </c>
      <c r="J11" s="213" t="s">
        <v>33</v>
      </c>
      <c r="K11" s="40">
        <f>+L11-0.001</f>
        <v>5.0499999999999996E-2</v>
      </c>
      <c r="L11" s="40">
        <f>+M11-0.001</f>
        <v>5.1499999999999997E-2</v>
      </c>
      <c r="M11" s="40">
        <f>+N11-0.001</f>
        <v>5.2499999999999998E-2</v>
      </c>
      <c r="N11" s="189">
        <f>$T$28</f>
        <v>5.3499999999999999E-2</v>
      </c>
      <c r="O11" s="41">
        <f>+N11+0.001</f>
        <v>5.45E-2</v>
      </c>
      <c r="P11" s="41">
        <f>+O11+0.001</f>
        <v>5.5500000000000001E-2</v>
      </c>
      <c r="Q11" s="42">
        <f>+P11+0.001</f>
        <v>5.6500000000000002E-2</v>
      </c>
      <c r="S11" s="7" t="s">
        <v>126</v>
      </c>
      <c r="T11" s="218">
        <v>46023</v>
      </c>
      <c r="V11" s="309">
        <v>7</v>
      </c>
      <c r="W11" s="313"/>
    </row>
    <row r="12" spans="1:24" ht="17.25" customHeight="1" x14ac:dyDescent="0.2">
      <c r="C12" s="7" t="s">
        <v>138</v>
      </c>
      <c r="D12" s="182">
        <f>Costs!F32</f>
        <v>0</v>
      </c>
      <c r="E12" s="12"/>
      <c r="F12" s="24" t="s">
        <v>154</v>
      </c>
      <c r="G12" s="19">
        <f>D30</f>
        <v>238161.38</v>
      </c>
      <c r="J12" s="39" t="s">
        <v>96</v>
      </c>
      <c r="K12" s="246">
        <f t="shared" ref="K12:Q12" si="0">$G$27-K11</f>
        <v>-5.0499999999999996E-2</v>
      </c>
      <c r="L12" s="246">
        <f t="shared" si="0"/>
        <v>-5.1499999999999997E-2</v>
      </c>
      <c r="M12" s="246">
        <f t="shared" si="0"/>
        <v>-5.2499999999999998E-2</v>
      </c>
      <c r="N12" s="287">
        <f t="shared" si="0"/>
        <v>-5.3499999999999999E-2</v>
      </c>
      <c r="O12" s="247">
        <f t="shared" si="0"/>
        <v>-5.45E-2</v>
      </c>
      <c r="P12" s="247">
        <f t="shared" si="0"/>
        <v>-5.5500000000000001E-2</v>
      </c>
      <c r="Q12" s="288">
        <f t="shared" si="0"/>
        <v>-5.6500000000000002E-2</v>
      </c>
      <c r="S12" s="24" t="s">
        <v>3</v>
      </c>
      <c r="T12" s="219">
        <v>2750000</v>
      </c>
      <c r="V12" s="309">
        <v>8</v>
      </c>
      <c r="W12" s="313"/>
    </row>
    <row r="13" spans="1:24" ht="17.25" customHeight="1" x14ac:dyDescent="0.2">
      <c r="C13" s="7" t="s">
        <v>157</v>
      </c>
      <c r="D13" s="182">
        <f>Costs!F17</f>
        <v>0</v>
      </c>
      <c r="E13" s="12"/>
      <c r="F13" s="212">
        <f>T23</f>
        <v>0.04</v>
      </c>
      <c r="G13" s="8">
        <f>D33</f>
        <v>119526.4552</v>
      </c>
      <c r="J13" s="39" t="s">
        <v>65</v>
      </c>
      <c r="K13" s="178">
        <f t="shared" ref="K13:Q13" si="1">$G$29/K11</f>
        <v>0</v>
      </c>
      <c r="L13" s="178">
        <f t="shared" si="1"/>
        <v>0</v>
      </c>
      <c r="M13" s="178">
        <f t="shared" si="1"/>
        <v>0</v>
      </c>
      <c r="N13" s="44">
        <f t="shared" si="1"/>
        <v>0</v>
      </c>
      <c r="O13" s="179">
        <f t="shared" si="1"/>
        <v>0</v>
      </c>
      <c r="P13" s="179">
        <f t="shared" si="1"/>
        <v>0</v>
      </c>
      <c r="Q13" s="45">
        <f t="shared" si="1"/>
        <v>0</v>
      </c>
      <c r="S13" s="354" t="s">
        <v>18</v>
      </c>
      <c r="T13" s="355"/>
      <c r="V13" s="309">
        <v>9</v>
      </c>
      <c r="W13" s="313"/>
    </row>
    <row r="14" spans="1:24" ht="17.25" customHeight="1" thickBot="1" x14ac:dyDescent="0.25">
      <c r="C14" s="24" t="s">
        <v>139</v>
      </c>
      <c r="D14" s="19">
        <f>IF(O26&gt;1000,O26,O26*K26)</f>
        <v>0</v>
      </c>
      <c r="E14" s="12"/>
      <c r="F14" s="285" t="s">
        <v>34</v>
      </c>
      <c r="G14" s="286">
        <f>D35</f>
        <v>3107687.8352000001</v>
      </c>
      <c r="J14" s="284">
        <f>T27</f>
        <v>0.04</v>
      </c>
      <c r="K14" s="178">
        <f>K13*$J$14</f>
        <v>0</v>
      </c>
      <c r="L14" s="178">
        <f t="shared" ref="L14:Q14" si="2">L13*$J$14</f>
        <v>0</v>
      </c>
      <c r="M14" s="178">
        <f t="shared" si="2"/>
        <v>0</v>
      </c>
      <c r="N14" s="44">
        <f t="shared" si="2"/>
        <v>0</v>
      </c>
      <c r="O14" s="179">
        <f t="shared" si="2"/>
        <v>0</v>
      </c>
      <c r="P14" s="179">
        <f t="shared" si="2"/>
        <v>0</v>
      </c>
      <c r="Q14" s="45">
        <f t="shared" si="2"/>
        <v>0</v>
      </c>
      <c r="S14" s="39" t="s">
        <v>117</v>
      </c>
      <c r="T14" s="220">
        <v>0</v>
      </c>
      <c r="V14" s="309">
        <v>10</v>
      </c>
      <c r="W14" s="313"/>
    </row>
    <row r="15" spans="1:24" ht="17.25" customHeight="1" thickBot="1" x14ac:dyDescent="0.25">
      <c r="C15" s="29" t="s">
        <v>16</v>
      </c>
      <c r="D15" s="30">
        <f>SUM(D11:D14)</f>
        <v>2750000</v>
      </c>
      <c r="E15" s="12"/>
      <c r="J15" s="39" t="s">
        <v>67</v>
      </c>
      <c r="K15" s="178">
        <f>Proforma!$F$40</f>
        <v>2401303.5368083715</v>
      </c>
      <c r="L15" s="178">
        <f>Proforma!$F$40</f>
        <v>2401303.5368083715</v>
      </c>
      <c r="M15" s="178">
        <f>Proforma!$F$40</f>
        <v>2401303.5368083715</v>
      </c>
      <c r="N15" s="44">
        <f>Proforma!$F$40</f>
        <v>2401303.5368083715</v>
      </c>
      <c r="O15" s="179">
        <f>Proforma!$F$40</f>
        <v>2401303.5368083715</v>
      </c>
      <c r="P15" s="179">
        <f>Proforma!$F$40</f>
        <v>2401303.5368083715</v>
      </c>
      <c r="Q15" s="45">
        <f>Proforma!$F$40</f>
        <v>2401303.5368083715</v>
      </c>
      <c r="S15" s="7" t="s">
        <v>118</v>
      </c>
      <c r="T15" s="221">
        <v>0</v>
      </c>
      <c r="U15" s="308"/>
      <c r="V15" s="309">
        <v>11</v>
      </c>
      <c r="W15" s="313"/>
    </row>
    <row r="16" spans="1:24" ht="17.25" customHeight="1" x14ac:dyDescent="0.2">
      <c r="C16" s="333" t="s">
        <v>18</v>
      </c>
      <c r="D16" s="334"/>
      <c r="E16" s="12"/>
      <c r="F16" s="333" t="s">
        <v>2</v>
      </c>
      <c r="G16" s="334"/>
      <c r="J16" s="39" t="s">
        <v>68</v>
      </c>
      <c r="K16" s="178">
        <f>K13-K14-K15</f>
        <v>-2401303.5368083715</v>
      </c>
      <c r="L16" s="178">
        <f t="shared" ref="L16:Q16" si="3">L13-L14-L15</f>
        <v>-2401303.5368083715</v>
      </c>
      <c r="M16" s="178">
        <f t="shared" si="3"/>
        <v>-2401303.5368083715</v>
      </c>
      <c r="N16" s="44">
        <f t="shared" si="3"/>
        <v>-2401303.5368083715</v>
      </c>
      <c r="O16" s="179">
        <f t="shared" si="3"/>
        <v>-2401303.5368083715</v>
      </c>
      <c r="P16" s="179">
        <f t="shared" si="3"/>
        <v>-2401303.5368083715</v>
      </c>
      <c r="Q16" s="45">
        <f t="shared" si="3"/>
        <v>-2401303.5368083715</v>
      </c>
      <c r="S16" s="7" t="s">
        <v>156</v>
      </c>
      <c r="T16" s="217">
        <v>25000</v>
      </c>
      <c r="V16" s="309">
        <v>12</v>
      </c>
      <c r="W16" s="313"/>
    </row>
    <row r="17" spans="3:25" ht="17.25" customHeight="1" x14ac:dyDescent="0.2">
      <c r="C17" s="183">
        <f>T14</f>
        <v>0</v>
      </c>
      <c r="D17" s="184">
        <f>C17*D11</f>
        <v>0</v>
      </c>
      <c r="F17" s="9" t="s">
        <v>5</v>
      </c>
      <c r="G17" s="244">
        <f>G29</f>
        <v>0</v>
      </c>
      <c r="J17" s="39" t="s">
        <v>140</v>
      </c>
      <c r="K17" s="178">
        <f t="shared" ref="K17:Q17" si="4">$G$36</f>
        <v>621537.56704000011</v>
      </c>
      <c r="L17" s="178">
        <f t="shared" si="4"/>
        <v>621537.56704000011</v>
      </c>
      <c r="M17" s="178">
        <f t="shared" si="4"/>
        <v>621537.56704000011</v>
      </c>
      <c r="N17" s="44">
        <f t="shared" si="4"/>
        <v>621537.56704000011</v>
      </c>
      <c r="O17" s="179">
        <f t="shared" si="4"/>
        <v>621537.56704000011</v>
      </c>
      <c r="P17" s="179">
        <f t="shared" si="4"/>
        <v>621537.56704000011</v>
      </c>
      <c r="Q17" s="45">
        <f t="shared" si="4"/>
        <v>621537.56704000011</v>
      </c>
      <c r="S17" s="7" t="s">
        <v>25</v>
      </c>
      <c r="T17" s="217">
        <v>75000</v>
      </c>
      <c r="V17" s="309">
        <v>13</v>
      </c>
      <c r="W17" s="313"/>
      <c r="Y17" s="2"/>
    </row>
    <row r="18" spans="3:25" ht="17.25" customHeight="1" x14ac:dyDescent="0.2">
      <c r="C18" s="185">
        <f>T15</f>
        <v>0</v>
      </c>
      <c r="D18" s="184">
        <f>D38*C18</f>
        <v>0</v>
      </c>
      <c r="E18" s="12"/>
      <c r="F18" s="188"/>
      <c r="G18" s="19"/>
      <c r="J18" s="248"/>
      <c r="K18" s="249"/>
      <c r="L18" s="249"/>
      <c r="M18" s="249"/>
      <c r="N18" s="250"/>
      <c r="O18" s="251"/>
      <c r="P18" s="251"/>
      <c r="Q18" s="252"/>
      <c r="S18" s="7" t="s">
        <v>27</v>
      </c>
      <c r="T18" s="217">
        <v>25000</v>
      </c>
      <c r="V18" s="309">
        <v>14</v>
      </c>
      <c r="W18" s="313"/>
      <c r="Y18" s="2"/>
    </row>
    <row r="19" spans="3:25" ht="16" thickBot="1" x14ac:dyDescent="0.25">
      <c r="C19" s="7" t="s">
        <v>156</v>
      </c>
      <c r="D19" s="184">
        <f>T16</f>
        <v>25000</v>
      </c>
      <c r="E19" s="12"/>
      <c r="F19" s="7" t="s">
        <v>13</v>
      </c>
      <c r="G19" s="8">
        <f>G17</f>
        <v>0</v>
      </c>
      <c r="J19" s="95" t="s">
        <v>35</v>
      </c>
      <c r="K19" s="245">
        <f t="shared" ref="K19:Q19" si="5">K16-K17</f>
        <v>-3022841.1038483717</v>
      </c>
      <c r="L19" s="51">
        <f t="shared" si="5"/>
        <v>-3022841.1038483717</v>
      </c>
      <c r="M19" s="51">
        <f t="shared" si="5"/>
        <v>-3022841.1038483717</v>
      </c>
      <c r="N19" s="52">
        <f t="shared" si="5"/>
        <v>-3022841.1038483717</v>
      </c>
      <c r="O19" s="53">
        <f t="shared" si="5"/>
        <v>-3022841.1038483717</v>
      </c>
      <c r="P19" s="53">
        <f t="shared" si="5"/>
        <v>-3022841.1038483717</v>
      </c>
      <c r="Q19" s="54">
        <f t="shared" si="5"/>
        <v>-3022841.1038483717</v>
      </c>
      <c r="S19" s="7" t="s">
        <v>28</v>
      </c>
      <c r="T19" s="217">
        <v>2500</v>
      </c>
      <c r="V19" s="309">
        <v>15</v>
      </c>
      <c r="W19" s="313"/>
    </row>
    <row r="20" spans="3:25" ht="17.25" customHeight="1" thickBot="1" x14ac:dyDescent="0.25">
      <c r="C20" s="7" t="s">
        <v>25</v>
      </c>
      <c r="D20" s="184">
        <f>T17</f>
        <v>75000</v>
      </c>
      <c r="E20" s="2"/>
      <c r="F20" s="7" t="s">
        <v>14</v>
      </c>
      <c r="G20" s="8">
        <f>G40</f>
        <v>-201439.97582975839</v>
      </c>
      <c r="J20" s="257" t="s">
        <v>62</v>
      </c>
      <c r="K20" s="289">
        <f t="shared" ref="K20" si="6">SUM(K17:K19)/K17</f>
        <v>-3.863488973392708</v>
      </c>
      <c r="L20" s="289">
        <f t="shared" ref="L20" si="7">SUM(L17:L19)/L17</f>
        <v>-3.863488973392708</v>
      </c>
      <c r="M20" s="289">
        <f t="shared" ref="M20" si="8">SUM(M17:M19)/M17</f>
        <v>-3.863488973392708</v>
      </c>
      <c r="N20" s="290">
        <f t="shared" ref="N20" si="9">SUM(N17:N19)/N17</f>
        <v>-3.863488973392708</v>
      </c>
      <c r="O20" s="291">
        <f t="shared" ref="O20" si="10">SUM(O17:O19)/O17</f>
        <v>-3.863488973392708</v>
      </c>
      <c r="P20" s="291">
        <f t="shared" ref="P20" si="11">SUM(P17:P19)/P17</f>
        <v>-3.863488973392708</v>
      </c>
      <c r="Q20" s="292">
        <f t="shared" ref="Q20" si="12">SUM(Q17:Q19)/Q17</f>
        <v>-3.863488973392708</v>
      </c>
      <c r="S20" s="7" t="s">
        <v>30</v>
      </c>
      <c r="T20" s="217">
        <v>5000</v>
      </c>
      <c r="V20" s="309">
        <v>16</v>
      </c>
      <c r="W20" s="313"/>
    </row>
    <row r="21" spans="3:25" ht="17.25" customHeight="1" thickBot="1" x14ac:dyDescent="0.25">
      <c r="C21" s="7" t="s">
        <v>26</v>
      </c>
      <c r="D21" s="228">
        <v>80799.88</v>
      </c>
      <c r="F21" s="24"/>
      <c r="G21" s="19"/>
      <c r="S21" s="294" t="s">
        <v>100</v>
      </c>
      <c r="T21" s="331">
        <v>0</v>
      </c>
      <c r="V21" s="309">
        <v>17</v>
      </c>
      <c r="W21" s="313"/>
    </row>
    <row r="22" spans="3:25" ht="17.25" customHeight="1" thickBot="1" x14ac:dyDescent="0.25">
      <c r="C22" s="7" t="s">
        <v>123</v>
      </c>
      <c r="D22" s="228">
        <v>24861.5</v>
      </c>
      <c r="E22" s="2"/>
      <c r="F22" s="7" t="s">
        <v>15</v>
      </c>
      <c r="G22" s="8">
        <f>G19+G20</f>
        <v>-201439.97582975839</v>
      </c>
      <c r="J22" s="348" t="s">
        <v>19</v>
      </c>
      <c r="K22" s="349"/>
      <c r="L22" s="349"/>
      <c r="M22" s="349"/>
      <c r="N22" s="349"/>
      <c r="O22" s="349"/>
      <c r="P22" s="349"/>
      <c r="Q22" s="350"/>
      <c r="S22" s="295" t="s">
        <v>100</v>
      </c>
      <c r="T22" s="219">
        <v>0</v>
      </c>
      <c r="U22" s="2"/>
      <c r="V22" s="309">
        <v>18</v>
      </c>
      <c r="W22" s="313"/>
    </row>
    <row r="23" spans="3:25" ht="17.25" customHeight="1" x14ac:dyDescent="0.2">
      <c r="C23" s="7" t="s">
        <v>27</v>
      </c>
      <c r="D23" s="184">
        <f>T18</f>
        <v>25000</v>
      </c>
      <c r="F23" s="7"/>
      <c r="G23" s="10"/>
      <c r="J23" s="258" t="s">
        <v>128</v>
      </c>
      <c r="K23" s="259" t="s">
        <v>20</v>
      </c>
      <c r="L23" s="260" t="s">
        <v>131</v>
      </c>
      <c r="M23" s="260" t="s">
        <v>130</v>
      </c>
      <c r="N23" s="260" t="s">
        <v>21</v>
      </c>
      <c r="O23" s="260" t="s">
        <v>22</v>
      </c>
      <c r="P23" s="260" t="s">
        <v>23</v>
      </c>
      <c r="Q23" s="261" t="s">
        <v>24</v>
      </c>
      <c r="S23" s="48" t="s">
        <v>127</v>
      </c>
      <c r="T23" s="222">
        <v>0.04</v>
      </c>
      <c r="U23" s="12"/>
      <c r="V23" s="309">
        <v>19</v>
      </c>
      <c r="W23" s="313"/>
    </row>
    <row r="24" spans="3:25" x14ac:dyDescent="0.2">
      <c r="C24" s="7" t="s">
        <v>28</v>
      </c>
      <c r="D24" s="184">
        <f>T19</f>
        <v>2500</v>
      </c>
      <c r="F24" s="24" t="s">
        <v>17</v>
      </c>
      <c r="G24" s="323">
        <f>G19/G20*-1</f>
        <v>0</v>
      </c>
      <c r="J24" s="266" t="str">
        <f>T25</f>
        <v xml:space="preserve">5th 3rd </v>
      </c>
      <c r="K24" s="254">
        <f>S10</f>
        <v>2500</v>
      </c>
      <c r="L24" s="187">
        <f>IF(W5&lt;500,W5,P24/K24)</f>
        <v>0</v>
      </c>
      <c r="M24" s="293">
        <f>L24*K24</f>
        <v>0</v>
      </c>
      <c r="N24" s="187">
        <f>IF(T26&lt;500,T26,O24/K24)</f>
        <v>0</v>
      </c>
      <c r="O24" s="32">
        <f>(IF(T26&lt;500,N24*K24,T26))</f>
        <v>0</v>
      </c>
      <c r="P24" s="80">
        <f>(IF(W5&lt;500,L24*K24,W5))</f>
        <v>0</v>
      </c>
      <c r="Q24" s="8">
        <f>P24/12</f>
        <v>0</v>
      </c>
      <c r="S24" s="354" t="s">
        <v>159</v>
      </c>
      <c r="T24" s="355"/>
      <c r="V24" s="309">
        <v>20</v>
      </c>
      <c r="W24" s="313"/>
    </row>
    <row r="25" spans="3:25" ht="16.5" customHeight="1" thickBot="1" x14ac:dyDescent="0.25">
      <c r="C25" s="7" t="s">
        <v>29</v>
      </c>
      <c r="D25" s="184">
        <f>Costs!N17</f>
        <v>0</v>
      </c>
      <c r="F25" s="324" t="s">
        <v>170</v>
      </c>
      <c r="G25" s="325">
        <f>G22/G36</f>
        <v>-0.32409943744686698</v>
      </c>
      <c r="J25" s="48"/>
      <c r="K25" s="34"/>
      <c r="L25" s="35"/>
      <c r="M25" s="35"/>
      <c r="N25" s="35"/>
      <c r="O25" s="36"/>
      <c r="P25" s="37"/>
      <c r="Q25" s="19"/>
      <c r="S25" s="7" t="s">
        <v>119</v>
      </c>
      <c r="T25" s="224" t="s">
        <v>224</v>
      </c>
      <c r="U25" s="2"/>
      <c r="V25" s="309">
        <v>21</v>
      </c>
      <c r="W25" s="313"/>
    </row>
    <row r="26" spans="3:25" ht="17.25" customHeight="1" thickBot="1" x14ac:dyDescent="0.25">
      <c r="C26" s="7" t="s">
        <v>30</v>
      </c>
      <c r="D26" s="184">
        <f>T20</f>
        <v>5000</v>
      </c>
      <c r="E26" t="s">
        <v>97</v>
      </c>
      <c r="F26" s="326"/>
      <c r="G26" s="327"/>
      <c r="J26" s="137"/>
      <c r="K26" s="262">
        <f>SUM(K24:K25)</f>
        <v>2500</v>
      </c>
      <c r="L26" s="263"/>
      <c r="M26" s="263">
        <f>SUM(M24:M25)</f>
        <v>0</v>
      </c>
      <c r="N26" s="263"/>
      <c r="O26" s="264">
        <f>SUM(O24:O25)</f>
        <v>0</v>
      </c>
      <c r="P26" s="264">
        <f>SUM(P24:P25)</f>
        <v>0</v>
      </c>
      <c r="Q26" s="265">
        <f>SUM(Q24:Q25)</f>
        <v>0</v>
      </c>
      <c r="S26" s="7" t="s">
        <v>193</v>
      </c>
      <c r="T26" s="217">
        <v>0</v>
      </c>
      <c r="V26" s="309">
        <v>22</v>
      </c>
      <c r="W26" s="313"/>
    </row>
    <row r="27" spans="3:25" ht="17.25" customHeight="1" thickBot="1" x14ac:dyDescent="0.25">
      <c r="C27" s="7" t="str">
        <f>S21</f>
        <v>Insert Cost Category</v>
      </c>
      <c r="D27" s="184">
        <f>T21</f>
        <v>0</v>
      </c>
      <c r="F27" s="328" t="s">
        <v>169</v>
      </c>
      <c r="G27" s="329">
        <f>G29/D35</f>
        <v>0</v>
      </c>
      <c r="S27" s="7" t="s">
        <v>27</v>
      </c>
      <c r="T27" s="221">
        <v>0.04</v>
      </c>
      <c r="V27" s="309">
        <v>23</v>
      </c>
      <c r="W27" s="313"/>
    </row>
    <row r="28" spans="3:25" ht="17.25" customHeight="1" thickBot="1" x14ac:dyDescent="0.25">
      <c r="C28" s="7" t="str">
        <f>S22</f>
        <v>Insert Cost Category</v>
      </c>
      <c r="D28" s="184">
        <f>T22</f>
        <v>0</v>
      </c>
      <c r="F28" s="7" t="s">
        <v>36</v>
      </c>
      <c r="G28" s="322">
        <f>K26</f>
        <v>2500</v>
      </c>
      <c r="J28" s="348" t="s">
        <v>38</v>
      </c>
      <c r="K28" s="349"/>
      <c r="L28" s="349"/>
      <c r="M28" s="349"/>
      <c r="N28" s="349"/>
      <c r="O28" s="349"/>
      <c r="P28" s="349"/>
      <c r="Q28" s="350"/>
      <c r="S28" s="24" t="s">
        <v>120</v>
      </c>
      <c r="T28" s="225">
        <v>5.3499999999999999E-2</v>
      </c>
      <c r="V28" s="309">
        <v>24</v>
      </c>
      <c r="W28" s="313"/>
    </row>
    <row r="29" spans="3:25" ht="17.25" customHeight="1" thickBot="1" x14ac:dyDescent="0.25">
      <c r="C29" s="24"/>
      <c r="D29" s="186"/>
      <c r="F29" s="16" t="s">
        <v>37</v>
      </c>
      <c r="G29" s="18">
        <f>P26</f>
        <v>0</v>
      </c>
      <c r="J29" s="258" t="s">
        <v>128</v>
      </c>
      <c r="K29" s="259">
        <v>2027</v>
      </c>
      <c r="L29" s="260">
        <v>2028</v>
      </c>
      <c r="M29" s="260">
        <v>2029</v>
      </c>
      <c r="N29" s="260">
        <v>2030</v>
      </c>
      <c r="O29" s="260">
        <v>2031</v>
      </c>
      <c r="P29" s="260">
        <v>2032</v>
      </c>
      <c r="Q29" s="261">
        <v>2033</v>
      </c>
      <c r="S29" s="354" t="s">
        <v>1</v>
      </c>
      <c r="T29" s="355"/>
      <c r="V29" s="310">
        <v>25</v>
      </c>
      <c r="W29" s="314"/>
    </row>
    <row r="30" spans="3:25" ht="17.25" customHeight="1" thickBot="1" x14ac:dyDescent="0.25">
      <c r="C30" s="29" t="s">
        <v>31</v>
      </c>
      <c r="D30" s="30">
        <f>SUM(D17:D29)</f>
        <v>238161.38</v>
      </c>
      <c r="F30" s="169" t="s">
        <v>95</v>
      </c>
      <c r="G30" s="170">
        <f>G27</f>
        <v>0</v>
      </c>
      <c r="H30" s="14"/>
      <c r="J30" s="255" t="str">
        <f>+J24</f>
        <v xml:space="preserve">5th 3rd </v>
      </c>
      <c r="K30" s="14">
        <f>IF(W5&gt;500,(W5*(12-X5)/12),W5*K26*((12-X5)/12))</f>
        <v>0</v>
      </c>
      <c r="L30" s="14">
        <f>IF(W6&gt;500,W6,W6*K26)</f>
        <v>0</v>
      </c>
      <c r="M30" s="14">
        <f>IF(W7&gt;500,W7,W7*K26)</f>
        <v>0</v>
      </c>
      <c r="N30" s="14">
        <f>IF(W8&gt;500,W8,W8*K26)</f>
        <v>0</v>
      </c>
      <c r="O30" s="14">
        <f>IF(W9&gt;500,W9,W9*K26)</f>
        <v>0</v>
      </c>
      <c r="P30" s="14">
        <f>IF(W10&gt;500,W10,W10*K26)</f>
        <v>0</v>
      </c>
      <c r="Q30" s="8">
        <f>IF(W11&gt;500,W11,W11*K26)</f>
        <v>0</v>
      </c>
      <c r="S30" s="7" t="s">
        <v>152</v>
      </c>
      <c r="T30" s="226">
        <v>6.5000000000000002E-2</v>
      </c>
    </row>
    <row r="31" spans="3:25" ht="17.25" customHeight="1" thickBot="1" x14ac:dyDescent="0.25">
      <c r="C31" s="7"/>
      <c r="D31" s="10"/>
      <c r="H31" s="14"/>
      <c r="J31" s="255"/>
      <c r="K31" s="14"/>
      <c r="L31" s="14"/>
      <c r="M31" s="14"/>
      <c r="N31" s="14"/>
      <c r="O31" s="14"/>
      <c r="P31" s="14"/>
      <c r="Q31" s="8"/>
      <c r="S31" s="7" t="s">
        <v>122</v>
      </c>
      <c r="T31" s="223">
        <v>25</v>
      </c>
    </row>
    <row r="32" spans="3:25" ht="17.25" customHeight="1" thickBot="1" x14ac:dyDescent="0.25">
      <c r="C32" s="7" t="s">
        <v>32</v>
      </c>
      <c r="D32" s="8">
        <f>D30+D15</f>
        <v>2988161.38</v>
      </c>
      <c r="F32" s="333" t="s">
        <v>125</v>
      </c>
      <c r="G32" s="334"/>
      <c r="H32" s="113"/>
      <c r="J32" s="256" t="s">
        <v>39</v>
      </c>
      <c r="K32" s="57">
        <f t="shared" ref="K32:Q32" si="13">SUM(K30:K31)</f>
        <v>0</v>
      </c>
      <c r="L32" s="57">
        <f t="shared" si="13"/>
        <v>0</v>
      </c>
      <c r="M32" s="57">
        <f t="shared" si="13"/>
        <v>0</v>
      </c>
      <c r="N32" s="57">
        <f t="shared" si="13"/>
        <v>0</v>
      </c>
      <c r="O32" s="57">
        <f t="shared" si="13"/>
        <v>0</v>
      </c>
      <c r="P32" s="57">
        <f t="shared" si="13"/>
        <v>0</v>
      </c>
      <c r="Q32" s="58">
        <f t="shared" si="13"/>
        <v>0</v>
      </c>
      <c r="S32" s="7" t="s">
        <v>121</v>
      </c>
      <c r="T32" s="223">
        <v>0</v>
      </c>
      <c r="U32" s="352" t="s">
        <v>187</v>
      </c>
      <c r="V32" s="353"/>
    </row>
    <row r="33" spans="3:30" ht="17.25" customHeight="1" x14ac:dyDescent="0.2">
      <c r="C33" s="212">
        <f>T23</f>
        <v>0.04</v>
      </c>
      <c r="D33" s="8">
        <f>D32*C33</f>
        <v>119526.4552</v>
      </c>
      <c r="F33" s="7" t="s">
        <v>4</v>
      </c>
      <c r="G33" s="8">
        <f>D35</f>
        <v>3107687.8352000001</v>
      </c>
      <c r="H33" s="14"/>
      <c r="S33" s="39" t="s">
        <v>6</v>
      </c>
      <c r="T33" s="220">
        <v>0.8</v>
      </c>
      <c r="U33" s="330" t="s">
        <v>188</v>
      </c>
      <c r="V33" s="10"/>
    </row>
    <row r="34" spans="3:30" ht="17.25" customHeight="1" thickBot="1" x14ac:dyDescent="0.25">
      <c r="C34" s="24"/>
      <c r="D34" s="176"/>
      <c r="F34" s="7" t="s">
        <v>6</v>
      </c>
      <c r="G34" s="174">
        <f>Financing!F6</f>
        <v>0.8</v>
      </c>
      <c r="H34" s="102"/>
      <c r="S34" s="16" t="s">
        <v>124</v>
      </c>
      <c r="T34" s="227">
        <v>0.01</v>
      </c>
      <c r="U34" s="306" t="s">
        <v>189</v>
      </c>
      <c r="V34" s="10"/>
    </row>
    <row r="35" spans="3:30" ht="17.25" customHeight="1" thickBot="1" x14ac:dyDescent="0.25">
      <c r="C35" s="46" t="s">
        <v>34</v>
      </c>
      <c r="D35" s="47">
        <f>D32+D33</f>
        <v>3107687.8352000001</v>
      </c>
      <c r="E35" s="31"/>
      <c r="F35" s="7" t="s">
        <v>7</v>
      </c>
      <c r="G35" s="8">
        <f>G34*G33</f>
        <v>2486150.26816</v>
      </c>
      <c r="H35" s="2"/>
      <c r="S35" s="16" t="s">
        <v>195</v>
      </c>
      <c r="T35" s="315">
        <v>0</v>
      </c>
      <c r="U35" s="307" t="s">
        <v>190</v>
      </c>
      <c r="V35" s="215"/>
    </row>
    <row r="36" spans="3:30" ht="17.25" customHeight="1" thickBot="1" x14ac:dyDescent="0.25">
      <c r="D36" s="2"/>
      <c r="E36" s="31"/>
      <c r="F36" s="7" t="s">
        <v>8</v>
      </c>
      <c r="G36" s="17">
        <f>G33-G35</f>
        <v>621537.56704000011</v>
      </c>
    </row>
    <row r="37" spans="3:30" ht="17.25" customHeight="1" x14ac:dyDescent="0.2">
      <c r="C37" s="341" t="s">
        <v>98</v>
      </c>
      <c r="D37" s="342"/>
      <c r="F37" s="7" t="s">
        <v>9</v>
      </c>
      <c r="G37" s="10">
        <f>Financing!C7</f>
        <v>25</v>
      </c>
      <c r="H37" s="25"/>
    </row>
    <row r="38" spans="3:30" ht="17.25" customHeight="1" thickBot="1" x14ac:dyDescent="0.25">
      <c r="C38" s="16" t="s">
        <v>99</v>
      </c>
      <c r="D38" s="171">
        <f>IF(W5&gt;500,SUM(W6:W29)+(W5*(12-X5)/12),SUM(W6:W29)*K26+(K26*W5*(12-X5)/12))</f>
        <v>0</v>
      </c>
      <c r="F38" s="7" t="s">
        <v>10</v>
      </c>
      <c r="G38" s="175">
        <f>Financing!C6</f>
        <v>6.5000000000000002E-2</v>
      </c>
    </row>
    <row r="39" spans="3:30" ht="17.25" customHeight="1" x14ac:dyDescent="0.2">
      <c r="F39" s="7" t="s">
        <v>11</v>
      </c>
      <c r="G39" s="22">
        <f>PMT(G38/12,G37*12,G35,0)</f>
        <v>-16786.664652479867</v>
      </c>
      <c r="H39" s="168"/>
    </row>
    <row r="40" spans="3:30" ht="17.25" customHeight="1" thickBot="1" x14ac:dyDescent="0.25">
      <c r="F40" s="16" t="s">
        <v>12</v>
      </c>
      <c r="G40" s="23">
        <f>G39*12</f>
        <v>-201439.97582975839</v>
      </c>
      <c r="H40" s="168"/>
    </row>
    <row r="41" spans="3:30" ht="17.25" customHeight="1" x14ac:dyDescent="0.2">
      <c r="AC41" s="28"/>
      <c r="AD41" s="28"/>
    </row>
    <row r="42" spans="3:30" ht="17.25" customHeight="1" x14ac:dyDescent="0.2">
      <c r="AC42" s="28"/>
      <c r="AD42" s="28"/>
    </row>
    <row r="43" spans="3:30" ht="17.25" customHeight="1" x14ac:dyDescent="0.2"/>
    <row r="44" spans="3:30" ht="17.25" customHeight="1" x14ac:dyDescent="0.2"/>
    <row r="45" spans="3:30" ht="17.25" customHeight="1" x14ac:dyDescent="0.2"/>
    <row r="46" spans="3:30" ht="17.25" customHeight="1" x14ac:dyDescent="0.2"/>
    <row r="47" spans="3:30" ht="17.25" customHeight="1" x14ac:dyDescent="0.2"/>
    <row r="48" spans="3:30" ht="17.25" customHeight="1" x14ac:dyDescent="0.2"/>
    <row r="49" spans="19:20" ht="17.25" customHeight="1" x14ac:dyDescent="0.2"/>
    <row r="50" spans="19:20" ht="17.25" customHeight="1" x14ac:dyDescent="0.2"/>
    <row r="51" spans="19:20" ht="17.25" customHeight="1" x14ac:dyDescent="0.2"/>
    <row r="52" spans="19:20" ht="17.25" customHeight="1" x14ac:dyDescent="0.2"/>
    <row r="53" spans="19:20" ht="17.25" customHeight="1" x14ac:dyDescent="0.2"/>
    <row r="54" spans="19:20" ht="17.25" customHeight="1" x14ac:dyDescent="0.2"/>
    <row r="55" spans="19:20" ht="17.25" customHeight="1" x14ac:dyDescent="0.2">
      <c r="S55" s="14"/>
      <c r="T55" s="14"/>
    </row>
    <row r="56" spans="19:20" ht="15" customHeight="1" x14ac:dyDescent="0.2"/>
    <row r="57" spans="19:20" ht="15" customHeight="1" x14ac:dyDescent="0.2"/>
  </sheetData>
  <sheetProtection sheet="1" objects="1" scenarios="1" formatCells="0" sort="0" autoFilter="0" pivotTables="0"/>
  <mergeCells count="26">
    <mergeCell ref="V3:X3"/>
    <mergeCell ref="U32:V32"/>
    <mergeCell ref="S2:T2"/>
    <mergeCell ref="S6:T6"/>
    <mergeCell ref="S13:T13"/>
    <mergeCell ref="S7:T7"/>
    <mergeCell ref="S8:T8"/>
    <mergeCell ref="S9:T9"/>
    <mergeCell ref="S10:T10"/>
    <mergeCell ref="S24:T24"/>
    <mergeCell ref="S29:T29"/>
    <mergeCell ref="D1:E1"/>
    <mergeCell ref="C10:D10"/>
    <mergeCell ref="C2:Q4"/>
    <mergeCell ref="C37:D37"/>
    <mergeCell ref="C16:D16"/>
    <mergeCell ref="F32:G32"/>
    <mergeCell ref="C8:G8"/>
    <mergeCell ref="C5:Q5"/>
    <mergeCell ref="J28:Q28"/>
    <mergeCell ref="J22:Q22"/>
    <mergeCell ref="J10:Q10"/>
    <mergeCell ref="F16:G16"/>
    <mergeCell ref="C6:Q6"/>
    <mergeCell ref="C7:Q7"/>
    <mergeCell ref="F10:G10"/>
  </mergeCells>
  <pageMargins left="0.7" right="0.7" top="0.75" bottom="0.75" header="0.3" footer="0.3"/>
  <pageSetup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alInFinancing_Labels">
                <anchor moveWithCells="1" sizeWithCells="1">
                  <from>
                    <xdr:col>18</xdr:col>
                    <xdr:colOff>381000</xdr:colOff>
                    <xdr:row>2</xdr:row>
                    <xdr:rowOff>190500</xdr:rowOff>
                  </from>
                  <to>
                    <xdr:col>19</xdr:col>
                    <xdr:colOff>876300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21</xdr:col>
                    <xdr:colOff>279400</xdr:colOff>
                    <xdr:row>32</xdr:row>
                    <xdr:rowOff>38100</xdr:rowOff>
                  </from>
                  <to>
                    <xdr:col>21</xdr:col>
                    <xdr:colOff>635000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21</xdr:col>
                    <xdr:colOff>292100</xdr:colOff>
                    <xdr:row>32</xdr:row>
                    <xdr:rowOff>215900</xdr:rowOff>
                  </from>
                  <to>
                    <xdr:col>21</xdr:col>
                    <xdr:colOff>647700</xdr:colOff>
                    <xdr:row>34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21</xdr:col>
                    <xdr:colOff>279400</xdr:colOff>
                    <xdr:row>33</xdr:row>
                    <xdr:rowOff>203200</xdr:rowOff>
                  </from>
                  <to>
                    <xdr:col>21</xdr:col>
                    <xdr:colOff>647700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93679-D9D4-41B9-8A20-F5F2B97ADD06}">
  <sheetPr codeName="Sheet2">
    <tabColor theme="4" tint="0.79998168889431442"/>
  </sheetPr>
  <dimension ref="B2:O32"/>
  <sheetViews>
    <sheetView showGridLines="0" zoomScale="85" zoomScaleNormal="85" workbookViewId="0">
      <selection activeCell="E15" sqref="E15"/>
    </sheetView>
  </sheetViews>
  <sheetFormatPr baseColWidth="10" defaultColWidth="8.83203125" defaultRowHeight="15" x14ac:dyDescent="0.2"/>
  <cols>
    <col min="2" max="2" width="27.1640625" customWidth="1"/>
    <col min="4" max="4" width="9.33203125" customWidth="1"/>
    <col min="5" max="5" width="15.83203125" customWidth="1"/>
    <col min="6" max="6" width="15" bestFit="1" customWidth="1"/>
    <col min="7" max="7" width="11.1640625" bestFit="1" customWidth="1"/>
    <col min="10" max="10" width="16.33203125" bestFit="1" customWidth="1"/>
    <col min="14" max="14" width="12.83203125" bestFit="1" customWidth="1"/>
    <col min="15" max="15" width="11.1640625" bestFit="1" customWidth="1"/>
  </cols>
  <sheetData>
    <row r="2" spans="2:15" ht="16" thickBot="1" x14ac:dyDescent="0.25">
      <c r="B2" s="351" t="s">
        <v>0</v>
      </c>
      <c r="C2" s="351"/>
      <c r="D2" s="351"/>
      <c r="E2" s="351"/>
      <c r="F2" s="351"/>
      <c r="G2" s="351"/>
    </row>
    <row r="3" spans="2:15" ht="16" thickBot="1" x14ac:dyDescent="0.25">
      <c r="B3" s="348" t="s">
        <v>136</v>
      </c>
      <c r="C3" s="349"/>
      <c r="D3" s="349"/>
      <c r="E3" s="349"/>
      <c r="F3" s="349"/>
      <c r="G3" s="350"/>
      <c r="J3" s="348" t="s">
        <v>171</v>
      </c>
      <c r="K3" s="349"/>
      <c r="L3" s="349"/>
      <c r="M3" s="349"/>
      <c r="N3" s="349"/>
      <c r="O3" s="350"/>
    </row>
    <row r="4" spans="2:15" x14ac:dyDescent="0.2">
      <c r="B4" s="229" t="s">
        <v>133</v>
      </c>
      <c r="C4" s="230"/>
      <c r="D4" s="231"/>
      <c r="E4" s="232"/>
      <c r="F4" s="233" t="s">
        <v>4</v>
      </c>
      <c r="G4" s="234" t="s">
        <v>135</v>
      </c>
      <c r="J4" s="229" t="s">
        <v>133</v>
      </c>
      <c r="K4" s="230"/>
      <c r="L4" s="231"/>
      <c r="M4" s="232"/>
      <c r="N4" s="233" t="s">
        <v>4</v>
      </c>
      <c r="O4" s="234" t="s">
        <v>135</v>
      </c>
    </row>
    <row r="5" spans="2:15" x14ac:dyDescent="0.2">
      <c r="B5" s="269"/>
      <c r="C5" s="235"/>
      <c r="D5" s="236"/>
      <c r="E5" s="237"/>
      <c r="F5" s="270"/>
      <c r="G5" s="238"/>
      <c r="J5" s="268" t="s">
        <v>132</v>
      </c>
      <c r="K5" s="235"/>
      <c r="L5" s="236"/>
      <c r="M5" s="237"/>
      <c r="N5" s="236"/>
      <c r="O5" s="238">
        <f>N5/'Deal Summary'!$G$28</f>
        <v>0</v>
      </c>
    </row>
    <row r="6" spans="2:15" x14ac:dyDescent="0.2">
      <c r="B6" s="269" t="s">
        <v>160</v>
      </c>
      <c r="C6" s="235"/>
      <c r="D6" s="236"/>
      <c r="E6" s="237"/>
      <c r="F6" s="270"/>
      <c r="G6" s="238"/>
      <c r="J6" s="269" t="s">
        <v>145</v>
      </c>
      <c r="K6" s="235"/>
      <c r="L6" s="236"/>
      <c r="M6" s="237"/>
      <c r="N6" s="270"/>
      <c r="O6" s="238">
        <f>N6/'Deal Summary'!$G$28</f>
        <v>0</v>
      </c>
    </row>
    <row r="7" spans="2:15" x14ac:dyDescent="0.2">
      <c r="B7" s="269" t="s">
        <v>161</v>
      </c>
      <c r="C7" s="235"/>
      <c r="D7" s="236"/>
      <c r="E7" s="237"/>
      <c r="F7" s="270"/>
      <c r="G7" s="238"/>
      <c r="J7" s="269" t="s">
        <v>146</v>
      </c>
      <c r="K7" s="235"/>
      <c r="L7" s="236"/>
      <c r="M7" s="237"/>
      <c r="N7" s="270"/>
      <c r="O7" s="238">
        <f>N7/'Deal Summary'!$G$28</f>
        <v>0</v>
      </c>
    </row>
    <row r="8" spans="2:15" x14ac:dyDescent="0.2">
      <c r="B8" s="269" t="s">
        <v>162</v>
      </c>
      <c r="C8" s="235"/>
      <c r="D8" s="236"/>
      <c r="E8" s="237"/>
      <c r="F8" s="270"/>
      <c r="G8" s="238"/>
      <c r="J8" s="269" t="s">
        <v>147</v>
      </c>
      <c r="K8" s="235"/>
      <c r="L8" s="236"/>
      <c r="M8" s="237"/>
      <c r="N8" s="270"/>
      <c r="O8" s="238">
        <f>N8/'Deal Summary'!$G$28</f>
        <v>0</v>
      </c>
    </row>
    <row r="9" spans="2:15" x14ac:dyDescent="0.2">
      <c r="B9" s="269"/>
      <c r="C9" s="235"/>
      <c r="D9" s="236"/>
      <c r="E9" s="237"/>
      <c r="F9" s="270"/>
      <c r="G9" s="238"/>
      <c r="J9" s="268" t="s">
        <v>143</v>
      </c>
      <c r="K9" s="235"/>
      <c r="L9" s="236"/>
      <c r="M9" s="237"/>
      <c r="N9" s="236"/>
      <c r="O9" s="238">
        <f>N9/'Deal Summary'!$G$28</f>
        <v>0</v>
      </c>
    </row>
    <row r="10" spans="2:15" x14ac:dyDescent="0.2">
      <c r="B10" s="269" t="s">
        <v>163</v>
      </c>
      <c r="C10" s="235"/>
      <c r="D10" s="236"/>
      <c r="E10" s="237"/>
      <c r="F10" s="270"/>
      <c r="G10" s="238"/>
      <c r="J10" s="317" t="s">
        <v>148</v>
      </c>
      <c r="K10" s="235"/>
      <c r="L10" s="236"/>
      <c r="M10" s="237"/>
      <c r="N10" s="270"/>
      <c r="O10" s="238">
        <f>N10/'Deal Summary'!$G$28</f>
        <v>0</v>
      </c>
    </row>
    <row r="11" spans="2:15" x14ac:dyDescent="0.2">
      <c r="B11" s="269" t="s">
        <v>164</v>
      </c>
      <c r="C11" s="235"/>
      <c r="D11" s="236"/>
      <c r="E11" s="237"/>
      <c r="F11" s="270"/>
      <c r="G11" s="238"/>
      <c r="J11" s="269" t="s">
        <v>137</v>
      </c>
      <c r="K11" s="235"/>
      <c r="L11" s="236"/>
      <c r="M11" s="237"/>
      <c r="N11" s="270"/>
      <c r="O11" s="238">
        <f>N11/'Deal Summary'!$G$28</f>
        <v>0</v>
      </c>
    </row>
    <row r="12" spans="2:15" x14ac:dyDescent="0.2">
      <c r="B12" s="269" t="s">
        <v>165</v>
      </c>
      <c r="C12" s="235"/>
      <c r="D12" s="236"/>
      <c r="E12" s="237"/>
      <c r="F12" s="270"/>
      <c r="G12" s="238"/>
      <c r="J12" s="269" t="s">
        <v>137</v>
      </c>
      <c r="K12" s="235"/>
      <c r="L12" s="236"/>
      <c r="M12" s="237"/>
      <c r="N12" s="270"/>
      <c r="O12" s="238">
        <f>N12/'Deal Summary'!$G$28</f>
        <v>0</v>
      </c>
    </row>
    <row r="13" spans="2:15" x14ac:dyDescent="0.2">
      <c r="B13" s="269"/>
      <c r="C13" s="235"/>
      <c r="D13" s="236"/>
      <c r="E13" s="237"/>
      <c r="F13" s="270"/>
      <c r="G13" s="238"/>
      <c r="J13" s="268" t="s">
        <v>144</v>
      </c>
      <c r="K13" s="235"/>
      <c r="L13" s="236"/>
      <c r="M13" s="237"/>
      <c r="N13" s="236"/>
      <c r="O13" s="238">
        <f>N13/'Deal Summary'!$G$28</f>
        <v>0</v>
      </c>
    </row>
    <row r="14" spans="2:15" x14ac:dyDescent="0.2">
      <c r="B14" s="269" t="s">
        <v>166</v>
      </c>
      <c r="C14" s="235"/>
      <c r="D14" s="236"/>
      <c r="E14" s="237"/>
      <c r="F14" s="270"/>
      <c r="G14" s="238"/>
      <c r="J14" s="317" t="s">
        <v>149</v>
      </c>
      <c r="K14" s="235"/>
      <c r="L14" s="236"/>
      <c r="M14" s="237"/>
      <c r="N14" s="270"/>
      <c r="O14" s="238">
        <f>N14/'Deal Summary'!$G$28</f>
        <v>0</v>
      </c>
    </row>
    <row r="15" spans="2:15" x14ac:dyDescent="0.2">
      <c r="B15" s="269" t="s">
        <v>167</v>
      </c>
      <c r="C15" s="235"/>
      <c r="D15" s="236"/>
      <c r="E15" s="237"/>
      <c r="F15" s="270"/>
      <c r="G15" s="238"/>
      <c r="J15" s="269" t="s">
        <v>150</v>
      </c>
      <c r="K15" s="235"/>
      <c r="L15" s="236"/>
      <c r="M15" s="237"/>
      <c r="N15" s="270"/>
      <c r="O15" s="238">
        <f>N15/'Deal Summary'!$G$28</f>
        <v>0</v>
      </c>
    </row>
    <row r="16" spans="2:15" x14ac:dyDescent="0.2">
      <c r="B16" s="269" t="s">
        <v>168</v>
      </c>
      <c r="C16" s="235"/>
      <c r="D16" s="236"/>
      <c r="E16" s="237"/>
      <c r="F16" s="270"/>
      <c r="G16" s="238"/>
      <c r="J16" s="269" t="s">
        <v>137</v>
      </c>
      <c r="K16" s="235"/>
      <c r="L16" s="236"/>
      <c r="M16" s="237"/>
      <c r="N16" s="270"/>
      <c r="O16" s="238">
        <f>N16/'Deal Summary'!$G$28</f>
        <v>0</v>
      </c>
    </row>
    <row r="17" spans="2:15" ht="16" thickBot="1" x14ac:dyDescent="0.25">
      <c r="B17" s="240" t="s">
        <v>158</v>
      </c>
      <c r="C17" s="241"/>
      <c r="D17" s="242"/>
      <c r="E17" s="243"/>
      <c r="F17" s="239">
        <f>SUM(F5:F16)</f>
        <v>0</v>
      </c>
      <c r="G17" s="267">
        <f>F17/'Deal Summary'!$G$28</f>
        <v>0</v>
      </c>
      <c r="J17" s="240" t="s">
        <v>151</v>
      </c>
      <c r="K17" s="241"/>
      <c r="L17" s="242"/>
      <c r="M17" s="243"/>
      <c r="N17" s="239">
        <f>SUM(N5:N16)</f>
        <v>0</v>
      </c>
      <c r="O17" s="267">
        <f>N17/'Deal Summary'!$G$28</f>
        <v>0</v>
      </c>
    </row>
    <row r="18" spans="2:15" ht="16" thickBot="1" x14ac:dyDescent="0.25">
      <c r="B18" s="348" t="s">
        <v>134</v>
      </c>
      <c r="C18" s="349"/>
      <c r="D18" s="349"/>
      <c r="E18" s="349"/>
      <c r="F18" s="349"/>
      <c r="G18" s="350"/>
    </row>
    <row r="19" spans="2:15" x14ac:dyDescent="0.2">
      <c r="B19" s="229" t="s">
        <v>133</v>
      </c>
      <c r="C19" s="230"/>
      <c r="D19" s="231"/>
      <c r="E19" s="232"/>
      <c r="F19" s="233" t="s">
        <v>4</v>
      </c>
      <c r="G19" s="234" t="s">
        <v>135</v>
      </c>
    </row>
    <row r="20" spans="2:15" x14ac:dyDescent="0.2">
      <c r="B20" s="269" t="s">
        <v>215</v>
      </c>
      <c r="C20" s="235"/>
      <c r="D20" s="236"/>
      <c r="E20" s="237"/>
      <c r="F20" s="270"/>
      <c r="G20" s="238">
        <f>F20/'Deal Summary'!$G$28</f>
        <v>0</v>
      </c>
    </row>
    <row r="21" spans="2:15" x14ac:dyDescent="0.2">
      <c r="B21" s="269" t="s">
        <v>216</v>
      </c>
      <c r="C21" s="235"/>
      <c r="D21" s="236"/>
      <c r="E21" s="237"/>
      <c r="F21" s="270"/>
      <c r="G21" s="238">
        <f>F21/'Deal Summary'!$G$28</f>
        <v>0</v>
      </c>
    </row>
    <row r="22" spans="2:15" x14ac:dyDescent="0.2">
      <c r="B22" s="269" t="s">
        <v>217</v>
      </c>
      <c r="C22" s="235"/>
      <c r="D22" s="236"/>
      <c r="E22" s="237"/>
      <c r="F22" s="270"/>
      <c r="G22" s="238">
        <f>F22/'Deal Summary'!$G$28</f>
        <v>0</v>
      </c>
    </row>
    <row r="23" spans="2:15" x14ac:dyDescent="0.2">
      <c r="B23" s="269" t="s">
        <v>168</v>
      </c>
      <c r="C23" s="235"/>
      <c r="D23" s="236"/>
      <c r="E23" s="237"/>
      <c r="F23" s="270"/>
      <c r="G23" s="238">
        <f>F23/'Deal Summary'!$G$28</f>
        <v>0</v>
      </c>
    </row>
    <row r="24" spans="2:15" x14ac:dyDescent="0.2">
      <c r="B24" s="269" t="s">
        <v>218</v>
      </c>
      <c r="C24" s="235"/>
      <c r="D24" s="236"/>
      <c r="E24" s="237"/>
      <c r="F24" s="270"/>
      <c r="G24" s="238">
        <f>F24/'Deal Summary'!$G$28</f>
        <v>0</v>
      </c>
    </row>
    <row r="25" spans="2:15" x14ac:dyDescent="0.2">
      <c r="B25" s="269" t="s">
        <v>219</v>
      </c>
      <c r="C25" s="235"/>
      <c r="D25" s="236"/>
      <c r="E25" s="237"/>
      <c r="F25" s="270"/>
      <c r="G25" s="238">
        <f>F25/'Deal Summary'!$G$28</f>
        <v>0</v>
      </c>
    </row>
    <row r="26" spans="2:15" x14ac:dyDescent="0.2">
      <c r="B26" s="269" t="s">
        <v>220</v>
      </c>
      <c r="C26" s="235"/>
      <c r="D26" s="236"/>
      <c r="E26" s="237"/>
      <c r="F26" s="270"/>
      <c r="G26" s="238">
        <f>F26/'Deal Summary'!$G$28</f>
        <v>0</v>
      </c>
    </row>
    <row r="27" spans="2:15" x14ac:dyDescent="0.2">
      <c r="B27" s="269" t="s">
        <v>165</v>
      </c>
      <c r="C27" s="235"/>
      <c r="D27" s="236"/>
      <c r="E27" s="237"/>
      <c r="F27" s="270"/>
      <c r="G27" s="238">
        <f>F27/'Deal Summary'!$G$28</f>
        <v>0</v>
      </c>
    </row>
    <row r="28" spans="2:15" x14ac:dyDescent="0.2">
      <c r="B28" s="269" t="s">
        <v>221</v>
      </c>
      <c r="C28" s="235"/>
      <c r="D28" s="236"/>
      <c r="E28" s="237"/>
      <c r="F28" s="270"/>
      <c r="G28" s="238">
        <f>F28/'Deal Summary'!$G$28</f>
        <v>0</v>
      </c>
    </row>
    <row r="29" spans="2:15" x14ac:dyDescent="0.2">
      <c r="B29" s="269" t="s">
        <v>222</v>
      </c>
      <c r="C29" s="235"/>
      <c r="D29" s="236"/>
      <c r="E29" s="237"/>
      <c r="F29" s="270"/>
      <c r="G29" s="238">
        <f>F29/'Deal Summary'!$G$28</f>
        <v>0</v>
      </c>
    </row>
    <row r="30" spans="2:15" x14ac:dyDescent="0.2">
      <c r="B30" s="269" t="s">
        <v>223</v>
      </c>
      <c r="C30" s="235"/>
      <c r="D30" s="236"/>
      <c r="E30" s="237"/>
      <c r="F30" s="270"/>
      <c r="G30" s="238">
        <f>F30/'Deal Summary'!$G$28</f>
        <v>0</v>
      </c>
    </row>
    <row r="31" spans="2:15" x14ac:dyDescent="0.2">
      <c r="B31" s="269"/>
      <c r="C31" s="235"/>
      <c r="D31" s="236"/>
      <c r="E31" s="237"/>
      <c r="F31" s="270"/>
      <c r="G31" s="238">
        <f>F31/'Deal Summary'!$G$28</f>
        <v>0</v>
      </c>
    </row>
    <row r="32" spans="2:15" ht="16" thickBot="1" x14ac:dyDescent="0.25">
      <c r="B32" s="240" t="s">
        <v>142</v>
      </c>
      <c r="C32" s="241"/>
      <c r="D32" s="242"/>
      <c r="E32" s="243"/>
      <c r="F32" s="239">
        <f>SUM(F20:F31)</f>
        <v>0</v>
      </c>
      <c r="G32" s="267">
        <f>F32/'Deal Summary'!$G$28</f>
        <v>0</v>
      </c>
    </row>
  </sheetData>
  <sheetProtection sheet="1" objects="1" scenarios="1" formatCells="0" sort="0" autoFilter="0" pivotTables="0"/>
  <mergeCells count="4">
    <mergeCell ref="B3:G3"/>
    <mergeCell ref="B18:G18"/>
    <mergeCell ref="J3:O3"/>
    <mergeCell ref="B2:G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491CF-6C12-4C99-9D60-28A7743418C6}">
  <sheetPr codeName="Sheet3">
    <tabColor rgb="FFB4C4C1"/>
  </sheetPr>
  <dimension ref="A1:EI92"/>
  <sheetViews>
    <sheetView showGridLines="0" topLeftCell="A13" zoomScaleNormal="100" workbookViewId="0">
      <selection activeCell="C6" sqref="C6"/>
    </sheetView>
  </sheetViews>
  <sheetFormatPr baseColWidth="10" defaultColWidth="8.83203125" defaultRowHeight="15" outlineLevelRow="1" x14ac:dyDescent="0.2"/>
  <cols>
    <col min="2" max="2" width="2.83203125" customWidth="1"/>
    <col min="3" max="3" width="34.33203125" style="135" customWidth="1"/>
    <col min="4" max="4" width="8" customWidth="1"/>
    <col min="5" max="5" width="17.1640625" customWidth="1"/>
    <col min="6" max="6" width="16.5" bestFit="1" customWidth="1"/>
    <col min="7" max="7" width="16" bestFit="1" customWidth="1"/>
    <col min="8" max="10" width="16.5" bestFit="1" customWidth="1"/>
    <col min="11" max="11" width="16" bestFit="1" customWidth="1"/>
    <col min="12" max="12" width="16" hidden="1" customWidth="1"/>
    <col min="13" max="13" width="5" customWidth="1"/>
    <col min="14" max="14" width="39.33203125" customWidth="1"/>
    <col min="15" max="15" width="16" bestFit="1" customWidth="1"/>
    <col min="16" max="16" width="4.83203125" style="62" customWidth="1"/>
    <col min="17" max="17" width="21.1640625" customWidth="1"/>
    <col min="18" max="18" width="10.6640625" customWidth="1"/>
    <col min="19" max="19" width="13.5" bestFit="1" customWidth="1"/>
    <col min="20" max="20" width="34.5" bestFit="1" customWidth="1"/>
    <col min="21" max="21" width="14.5" customWidth="1"/>
    <col min="22" max="22" width="7.1640625" customWidth="1"/>
    <col min="23" max="23" width="34.5" bestFit="1" customWidth="1"/>
    <col min="24" max="24" width="14.5" customWidth="1"/>
    <col min="25" max="25" width="0.5" customWidth="1"/>
  </cols>
  <sheetData>
    <row r="1" spans="1:139" ht="16" thickBot="1" x14ac:dyDescent="0.25">
      <c r="C1" s="59"/>
      <c r="D1" s="59"/>
      <c r="F1" s="60"/>
      <c r="J1" s="61"/>
    </row>
    <row r="2" spans="1:139" ht="14.5" customHeight="1" x14ac:dyDescent="0.2">
      <c r="C2" s="360" t="s">
        <v>40</v>
      </c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2"/>
      <c r="P2" s="63"/>
    </row>
    <row r="3" spans="1:139" ht="14.5" customHeight="1" thickBot="1" x14ac:dyDescent="0.25">
      <c r="C3" s="363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5"/>
      <c r="P3" s="63"/>
    </row>
    <row r="4" spans="1:139" ht="16" thickBot="1" x14ac:dyDescent="0.25">
      <c r="C4" s="64"/>
      <c r="D4" s="65"/>
      <c r="E4" s="55" t="s">
        <v>106</v>
      </c>
      <c r="F4" s="55" t="s">
        <v>108</v>
      </c>
      <c r="G4" s="55" t="s">
        <v>109</v>
      </c>
      <c r="H4" s="55" t="s">
        <v>110</v>
      </c>
      <c r="I4" s="55" t="s">
        <v>111</v>
      </c>
      <c r="J4" s="55" t="s">
        <v>112</v>
      </c>
      <c r="K4" s="55" t="s">
        <v>113</v>
      </c>
      <c r="L4" s="66">
        <v>8</v>
      </c>
      <c r="M4" s="67"/>
      <c r="N4" s="366" t="s">
        <v>41</v>
      </c>
      <c r="O4" s="367"/>
      <c r="P4" s="68"/>
    </row>
    <row r="5" spans="1:139" x14ac:dyDescent="0.2">
      <c r="C5" s="39"/>
      <c r="E5" s="56"/>
      <c r="F5" s="56"/>
      <c r="G5" s="56"/>
      <c r="H5" s="271"/>
      <c r="I5" s="271"/>
      <c r="J5" s="271"/>
      <c r="N5" s="26"/>
      <c r="O5" s="69"/>
      <c r="P5" s="70"/>
    </row>
    <row r="6" spans="1:139" x14ac:dyDescent="0.2">
      <c r="C6" s="39"/>
      <c r="F6" s="13"/>
      <c r="G6" s="13"/>
      <c r="H6" s="13"/>
      <c r="I6" s="13"/>
      <c r="J6" s="13"/>
      <c r="K6" s="13"/>
      <c r="L6" s="13"/>
      <c r="N6" s="7"/>
      <c r="O6" s="71"/>
      <c r="P6" s="72"/>
    </row>
    <row r="7" spans="1:139" x14ac:dyDescent="0.2">
      <c r="C7" s="39"/>
      <c r="F7" s="13"/>
      <c r="G7" s="13"/>
      <c r="H7" s="13"/>
      <c r="I7" s="13"/>
      <c r="J7" s="13"/>
      <c r="K7" s="13"/>
      <c r="L7" s="13"/>
      <c r="N7" s="7"/>
      <c r="O7" s="71"/>
      <c r="P7" s="72"/>
    </row>
    <row r="8" spans="1:139" x14ac:dyDescent="0.2">
      <c r="C8" s="73" t="s">
        <v>42</v>
      </c>
      <c r="N8" s="7"/>
      <c r="O8" s="71"/>
      <c r="P8" s="72"/>
    </row>
    <row r="9" spans="1:139" x14ac:dyDescent="0.2">
      <c r="C9" s="39" t="s">
        <v>5</v>
      </c>
      <c r="E9" s="33">
        <f>+'Deal Summary'!K32</f>
        <v>0</v>
      </c>
      <c r="F9" s="33">
        <f>+'Deal Summary'!L32</f>
        <v>0</v>
      </c>
      <c r="G9" s="33">
        <f>+'Deal Summary'!M32</f>
        <v>0</v>
      </c>
      <c r="H9" s="33">
        <f>+'Deal Summary'!N32</f>
        <v>0</v>
      </c>
      <c r="I9" s="33">
        <f>+'Deal Summary'!O32</f>
        <v>0</v>
      </c>
      <c r="J9" s="33">
        <f>+'Deal Summary'!P32</f>
        <v>0</v>
      </c>
      <c r="K9" s="33">
        <f>+'Deal Summary'!Q32</f>
        <v>0</v>
      </c>
      <c r="L9" s="272">
        <f t="shared" ref="L9" si="0">K9*1.0125</f>
        <v>0</v>
      </c>
      <c r="N9" s="7"/>
      <c r="O9" s="74"/>
      <c r="P9" s="70"/>
    </row>
    <row r="10" spans="1:139" s="75" customFormat="1" x14ac:dyDescent="0.2">
      <c r="A10"/>
      <c r="B10"/>
      <c r="C10" s="48"/>
      <c r="E10" s="76">
        <f>E$9*$O$6</f>
        <v>0</v>
      </c>
      <c r="F10" s="76"/>
      <c r="G10" s="76"/>
      <c r="H10" s="76"/>
      <c r="I10" s="76"/>
      <c r="J10" s="76"/>
      <c r="K10" s="76"/>
      <c r="L10" s="77">
        <f>L9*0.02</f>
        <v>0</v>
      </c>
      <c r="M10"/>
      <c r="N10" s="7" t="s">
        <v>43</v>
      </c>
      <c r="O10" s="78">
        <f>'Deal Summary'!T28</f>
        <v>5.3499999999999999E-2</v>
      </c>
      <c r="P10" s="79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</row>
    <row r="11" spans="1:139" s="75" customFormat="1" x14ac:dyDescent="0.2">
      <c r="A11"/>
      <c r="B11"/>
      <c r="C11" s="73" t="s">
        <v>44</v>
      </c>
      <c r="D11"/>
      <c r="E11" s="33">
        <f>E9-E10</f>
        <v>0</v>
      </c>
      <c r="F11" s="272">
        <f>F9-F10</f>
        <v>0</v>
      </c>
      <c r="G11" s="33">
        <f t="shared" ref="G11:L11" si="1">G9-G10</f>
        <v>0</v>
      </c>
      <c r="H11" s="272">
        <f t="shared" si="1"/>
        <v>0</v>
      </c>
      <c r="I11" s="33">
        <f t="shared" si="1"/>
        <v>0</v>
      </c>
      <c r="J11" s="272">
        <f t="shared" si="1"/>
        <v>0</v>
      </c>
      <c r="K11" s="33">
        <f t="shared" si="1"/>
        <v>0</v>
      </c>
      <c r="L11" s="33">
        <f t="shared" si="1"/>
        <v>0</v>
      </c>
      <c r="M11"/>
      <c r="N11" s="7"/>
      <c r="O11" s="71"/>
      <c r="P11" s="72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</row>
    <row r="12" spans="1:139" x14ac:dyDescent="0.2">
      <c r="C12" s="39" t="s">
        <v>45</v>
      </c>
      <c r="E12" s="33">
        <v>0</v>
      </c>
      <c r="F12" s="272">
        <v>0</v>
      </c>
      <c r="G12" s="272">
        <v>0</v>
      </c>
      <c r="H12" s="272">
        <v>0</v>
      </c>
      <c r="I12" s="272">
        <v>0</v>
      </c>
      <c r="J12" s="14">
        <v>0</v>
      </c>
      <c r="K12" s="14">
        <v>0</v>
      </c>
      <c r="L12" s="272"/>
      <c r="N12" s="7"/>
      <c r="O12" s="81"/>
      <c r="P12"/>
    </row>
    <row r="13" spans="1:139" s="75" customFormat="1" x14ac:dyDescent="0.2">
      <c r="A13"/>
      <c r="B13"/>
      <c r="C13" s="84" t="s">
        <v>47</v>
      </c>
      <c r="D13" s="85"/>
      <c r="E13" s="86">
        <f>SUM(E11:E12)</f>
        <v>0</v>
      </c>
      <c r="F13" s="86">
        <f t="shared" ref="F13:K13" si="2">SUM(F11:F12)</f>
        <v>0</v>
      </c>
      <c r="G13" s="86">
        <f t="shared" si="2"/>
        <v>0</v>
      </c>
      <c r="H13" s="86">
        <f t="shared" si="2"/>
        <v>0</v>
      </c>
      <c r="I13" s="86">
        <f t="shared" si="2"/>
        <v>0</v>
      </c>
      <c r="J13" s="86">
        <f t="shared" si="2"/>
        <v>0</v>
      </c>
      <c r="K13" s="86">
        <f t="shared" si="2"/>
        <v>0</v>
      </c>
      <c r="L13" s="14"/>
      <c r="M13"/>
      <c r="N13" s="82" t="s">
        <v>46</v>
      </c>
      <c r="O13" s="83">
        <f>+'Deal Summary'!G36</f>
        <v>621537.56704000011</v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139" s="75" customFormat="1" x14ac:dyDescent="0.2">
      <c r="A14"/>
      <c r="B14"/>
      <c r="C14" s="73" t="s">
        <v>49</v>
      </c>
      <c r="D14" s="21"/>
      <c r="E14" s="88"/>
      <c r="F14" s="273"/>
      <c r="G14" s="273"/>
      <c r="H14" s="273"/>
      <c r="I14" s="273"/>
      <c r="J14" s="273"/>
      <c r="K14" s="273"/>
      <c r="L14" s="86">
        <f t="shared" ref="L14" si="3">L11+L12</f>
        <v>0</v>
      </c>
      <c r="M14"/>
      <c r="N14" s="82" t="s">
        <v>48</v>
      </c>
      <c r="O14" s="8">
        <f>O13-Q23</f>
        <v>621537.56704000011</v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</row>
    <row r="15" spans="1:139" s="89" customFormat="1" x14ac:dyDescent="0.2">
      <c r="A15" s="56"/>
      <c r="B15" s="56"/>
      <c r="C15" s="39"/>
      <c r="D15"/>
      <c r="E15" s="33"/>
      <c r="F15" s="33"/>
      <c r="G15" s="33"/>
      <c r="H15" s="33"/>
      <c r="I15" s="33"/>
      <c r="J15" s="33"/>
      <c r="K15" s="33"/>
      <c r="L15" s="272">
        <f>L9*0.04</f>
        <v>0</v>
      </c>
      <c r="M15" s="56"/>
      <c r="N15" s="82"/>
      <c r="O15" s="8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</row>
    <row r="16" spans="1:139" s="85" customFormat="1" x14ac:dyDescent="0.2">
      <c r="A16" s="56"/>
      <c r="B16" s="56"/>
      <c r="C16" s="84" t="s">
        <v>51</v>
      </c>
      <c r="E16" s="93">
        <f t="shared" ref="E16:K16" si="4">E$13-SUM(E$14:E$15)</f>
        <v>0</v>
      </c>
      <c r="F16" s="93">
        <f t="shared" si="4"/>
        <v>0</v>
      </c>
      <c r="G16" s="93">
        <f t="shared" si="4"/>
        <v>0</v>
      </c>
      <c r="H16" s="93">
        <f t="shared" si="4"/>
        <v>0</v>
      </c>
      <c r="I16" s="93">
        <f t="shared" si="4"/>
        <v>0</v>
      </c>
      <c r="J16" s="93">
        <f t="shared" si="4"/>
        <v>0</v>
      </c>
      <c r="K16" s="93">
        <f t="shared" si="4"/>
        <v>0</v>
      </c>
      <c r="L16" s="33">
        <v>761.6</v>
      </c>
      <c r="M16" s="56"/>
      <c r="N16" s="7"/>
      <c r="O16" s="90"/>
      <c r="P16" s="91"/>
      <c r="Q16"/>
      <c r="R16"/>
      <c r="S16"/>
      <c r="T16"/>
      <c r="U16"/>
      <c r="V16"/>
      <c r="W16"/>
      <c r="X16"/>
      <c r="Y16"/>
      <c r="Z16"/>
      <c r="AA1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  <c r="BL16" s="56"/>
      <c r="BM16" s="56"/>
      <c r="BN16" s="56"/>
      <c r="BO16" s="56"/>
      <c r="BP16" s="56"/>
      <c r="BQ16" s="56"/>
      <c r="BR16" s="56"/>
      <c r="BS16" s="56"/>
      <c r="BT16" s="56"/>
      <c r="BU16" s="56"/>
      <c r="BV16" s="56"/>
      <c r="BW16" s="56"/>
    </row>
    <row r="17" spans="1:75" s="56" customFormat="1" ht="16" thickBot="1" x14ac:dyDescent="0.25">
      <c r="C17" s="95" t="s">
        <v>52</v>
      </c>
      <c r="D17" s="96"/>
      <c r="E17" s="97">
        <f>(Financing!K10*Financing!C13)+(Financing!K11*Financing!C11)</f>
        <v>201439.97582975839</v>
      </c>
      <c r="F17" s="97">
        <f>(Financing!K12*Financing!C13)+(Financing!K13*Financing!C11)</f>
        <v>201439.97582975839</v>
      </c>
      <c r="G17" s="97">
        <f>(Financing!K14*Financing!C13)+(Financing!K15*Financing!C11)</f>
        <v>201439.97582975839</v>
      </c>
      <c r="H17" s="97">
        <f>+Financing!I76</f>
        <v>201439.97582975839</v>
      </c>
      <c r="I17" s="97">
        <f>+Financing!I88</f>
        <v>201439.97582975839</v>
      </c>
      <c r="J17" s="97">
        <f>+Financing!I100</f>
        <v>201439.97582975842</v>
      </c>
      <c r="K17" s="97">
        <f>+Financing!I112</f>
        <v>201439.97582975842</v>
      </c>
      <c r="L17" s="33"/>
      <c r="N17" s="7"/>
      <c r="O17" s="90"/>
      <c r="P17" s="91"/>
      <c r="Q17"/>
      <c r="R17"/>
      <c r="S17"/>
      <c r="T17"/>
      <c r="U17"/>
      <c r="V17"/>
      <c r="W17"/>
      <c r="X17"/>
      <c r="Y17"/>
      <c r="Z17"/>
      <c r="AA17"/>
    </row>
    <row r="18" spans="1:75" s="56" customFormat="1" ht="16" thickBot="1" x14ac:dyDescent="0.25">
      <c r="C18" s="98" t="s">
        <v>53</v>
      </c>
      <c r="D18" s="99"/>
      <c r="E18" s="57">
        <f t="shared" ref="E18:L23" si="5">E16-E17</f>
        <v>-201439.97582975839</v>
      </c>
      <c r="F18" s="100">
        <f>F16-F17</f>
        <v>-201439.97582975839</v>
      </c>
      <c r="G18" s="100">
        <f t="shared" si="5"/>
        <v>-201439.97582975839</v>
      </c>
      <c r="H18" s="100">
        <f t="shared" si="5"/>
        <v>-201439.97582975839</v>
      </c>
      <c r="I18" s="100">
        <f>I16-I17</f>
        <v>-201439.97582975839</v>
      </c>
      <c r="J18" s="57">
        <f>J16-J17</f>
        <v>-201439.97582975842</v>
      </c>
      <c r="K18" s="57">
        <f>K16-K17</f>
        <v>-201439.97582975842</v>
      </c>
      <c r="L18" s="33"/>
      <c r="N18" s="7"/>
      <c r="O18" s="90"/>
      <c r="P18" s="91"/>
      <c r="Q18"/>
      <c r="R18"/>
      <c r="S18"/>
      <c r="T18"/>
      <c r="U18"/>
      <c r="V18"/>
      <c r="W18"/>
      <c r="X18"/>
      <c r="Y18"/>
      <c r="Z18"/>
      <c r="AA18"/>
    </row>
    <row r="19" spans="1:75" s="56" customFormat="1" x14ac:dyDescent="0.2">
      <c r="C19" s="73" t="s">
        <v>17</v>
      </c>
      <c r="E19" s="101">
        <f t="shared" ref="E19:K19" si="6">E$16/E$17</f>
        <v>0</v>
      </c>
      <c r="F19" s="101">
        <f t="shared" si="6"/>
        <v>0</v>
      </c>
      <c r="G19" s="101">
        <f t="shared" si="6"/>
        <v>0</v>
      </c>
      <c r="H19" s="101">
        <f t="shared" si="6"/>
        <v>0</v>
      </c>
      <c r="I19" s="101">
        <f t="shared" si="6"/>
        <v>0</v>
      </c>
      <c r="J19" s="101">
        <f t="shared" si="6"/>
        <v>0</v>
      </c>
      <c r="K19" s="101">
        <f t="shared" si="6"/>
        <v>0</v>
      </c>
      <c r="L19" s="33"/>
      <c r="N19" s="7"/>
      <c r="O19" s="90"/>
      <c r="P19" s="91"/>
      <c r="Q19"/>
      <c r="R19"/>
      <c r="S19"/>
      <c r="T19"/>
      <c r="U19"/>
      <c r="V19"/>
      <c r="W19"/>
      <c r="X19"/>
      <c r="Y19"/>
      <c r="Z19"/>
      <c r="AA19"/>
    </row>
    <row r="20" spans="1:75" s="56" customFormat="1" x14ac:dyDescent="0.2">
      <c r="C20" s="73"/>
      <c r="D20" s="80"/>
      <c r="E20" s="102"/>
      <c r="F20" s="274"/>
      <c r="G20" s="274"/>
      <c r="H20" s="274"/>
      <c r="I20" s="274"/>
      <c r="J20" s="102"/>
      <c r="K20" s="102"/>
      <c r="L20" s="33"/>
      <c r="N20" s="7" t="s">
        <v>194</v>
      </c>
      <c r="O20" s="312">
        <f>'Tax Credits'!D22</f>
        <v>0</v>
      </c>
      <c r="P20" s="92"/>
      <c r="Q20"/>
      <c r="R20"/>
      <c r="S20"/>
      <c r="T20"/>
      <c r="U20"/>
      <c r="V20"/>
      <c r="W20"/>
      <c r="X20"/>
      <c r="Y20"/>
      <c r="Z20"/>
      <c r="AA20"/>
    </row>
    <row r="21" spans="1:75" s="56" customFormat="1" ht="16" thickBot="1" x14ac:dyDescent="0.25">
      <c r="C21" s="73" t="s">
        <v>54</v>
      </c>
      <c r="D21" s="80"/>
      <c r="E21" s="102"/>
      <c r="F21" s="274"/>
      <c r="G21" s="274"/>
      <c r="H21" s="274"/>
      <c r="I21" s="274"/>
      <c r="J21" s="102"/>
      <c r="K21" s="102"/>
      <c r="L21" s="93">
        <f t="shared" ref="L21" si="7">L14-L15-L16</f>
        <v>-761.6</v>
      </c>
      <c r="M21"/>
      <c r="N21" s="16"/>
      <c r="O21" s="94"/>
      <c r="P21" s="92"/>
      <c r="Q21"/>
      <c r="R21"/>
      <c r="S21"/>
      <c r="T21"/>
      <c r="U21"/>
      <c r="V21"/>
      <c r="W21"/>
      <c r="X21"/>
      <c r="Y21"/>
      <c r="Z21"/>
      <c r="AA21"/>
    </row>
    <row r="22" spans="1:75" s="56" customFormat="1" ht="15.75" customHeight="1" thickBot="1" x14ac:dyDescent="0.25">
      <c r="C22" s="103" t="s">
        <v>55</v>
      </c>
      <c r="D22"/>
      <c r="E22" s="104">
        <f t="shared" ref="E22:K22" si="8">E$18</f>
        <v>-201439.97582975839</v>
      </c>
      <c r="F22" s="104">
        <f t="shared" si="8"/>
        <v>-201439.97582975839</v>
      </c>
      <c r="G22" s="104">
        <f t="shared" si="8"/>
        <v>-201439.97582975839</v>
      </c>
      <c r="H22" s="104">
        <f t="shared" si="8"/>
        <v>-201439.97582975839</v>
      </c>
      <c r="I22" s="104">
        <f t="shared" si="8"/>
        <v>-201439.97582975839</v>
      </c>
      <c r="J22" s="104">
        <f t="shared" si="8"/>
        <v>-201439.97582975842</v>
      </c>
      <c r="K22" s="104">
        <f t="shared" si="8"/>
        <v>-201439.97582975842</v>
      </c>
      <c r="L22" s="97">
        <v>141132.60980239627</v>
      </c>
      <c r="M22"/>
      <c r="N22"/>
      <c r="O22" s="8"/>
      <c r="P22" s="87"/>
      <c r="Q22"/>
      <c r="R22"/>
      <c r="S22"/>
      <c r="T22"/>
      <c r="U22"/>
      <c r="V22"/>
      <c r="W22"/>
      <c r="X22"/>
      <c r="Y22"/>
      <c r="Z22"/>
      <c r="AA22"/>
    </row>
    <row r="23" spans="1:75" ht="17.25" customHeight="1" thickTop="1" thickBot="1" x14ac:dyDescent="0.25">
      <c r="C23" s="73" t="s">
        <v>56</v>
      </c>
      <c r="E23" s="102">
        <f t="shared" ref="E23:K23" si="9">E$22</f>
        <v>-201439.97582975839</v>
      </c>
      <c r="F23" s="102">
        <f t="shared" si="9"/>
        <v>-201439.97582975839</v>
      </c>
      <c r="G23" s="102">
        <f t="shared" si="9"/>
        <v>-201439.97582975839</v>
      </c>
      <c r="H23" s="102">
        <f t="shared" si="9"/>
        <v>-201439.97582975839</v>
      </c>
      <c r="I23" s="102">
        <f t="shared" si="9"/>
        <v>-201439.97582975839</v>
      </c>
      <c r="J23" s="102">
        <f t="shared" si="9"/>
        <v>-201439.97582975842</v>
      </c>
      <c r="K23" s="102">
        <f t="shared" si="9"/>
        <v>-201439.97582975842</v>
      </c>
      <c r="L23" s="57">
        <f t="shared" si="5"/>
        <v>-141894.20980239628</v>
      </c>
      <c r="O23" s="8"/>
      <c r="P23" s="87"/>
    </row>
    <row r="24" spans="1:75" ht="17.25" hidden="1" customHeight="1" outlineLevel="1" x14ac:dyDescent="0.2">
      <c r="C24" s="73"/>
      <c r="E24" s="102"/>
      <c r="F24" s="102"/>
      <c r="G24" s="102"/>
      <c r="H24" s="102"/>
      <c r="I24" s="102"/>
      <c r="J24" s="102"/>
      <c r="K24" s="102"/>
      <c r="L24" s="102"/>
      <c r="O24" s="8"/>
      <c r="P24" s="87"/>
    </row>
    <row r="25" spans="1:75" ht="17.25" hidden="1" customHeight="1" outlineLevel="1" x14ac:dyDescent="0.2">
      <c r="C25" s="107" t="s">
        <v>50</v>
      </c>
      <c r="E25" s="108">
        <f>IF((($O$14*$O$16)&gt;E23),E23,$O$14*$O$16)</f>
        <v>-201439.97582975839</v>
      </c>
      <c r="F25" s="108">
        <f>+$O$14*$O$16</f>
        <v>0</v>
      </c>
      <c r="G25" s="108">
        <f t="shared" ref="G25:K25" si="10">+$O$14*$O$16</f>
        <v>0</v>
      </c>
      <c r="H25" s="108">
        <f t="shared" si="10"/>
        <v>0</v>
      </c>
      <c r="I25" s="108">
        <f t="shared" si="10"/>
        <v>0</v>
      </c>
      <c r="J25" s="108">
        <f t="shared" si="10"/>
        <v>0</v>
      </c>
      <c r="K25" s="108">
        <f t="shared" si="10"/>
        <v>0</v>
      </c>
      <c r="L25" s="102"/>
      <c r="O25" s="8"/>
      <c r="P25" s="87"/>
    </row>
    <row r="26" spans="1:75" ht="17.25" hidden="1" customHeight="1" outlineLevel="1" x14ac:dyDescent="0.2">
      <c r="C26" s="39" t="s">
        <v>57</v>
      </c>
      <c r="E26" s="14">
        <f t="shared" ref="E26:K26" si="11">E$23-E$25</f>
        <v>0</v>
      </c>
      <c r="F26" s="14">
        <f t="shared" si="11"/>
        <v>-201439.97582975839</v>
      </c>
      <c r="G26" s="14">
        <f t="shared" si="11"/>
        <v>-201439.97582975839</v>
      </c>
      <c r="H26" s="14">
        <f t="shared" si="11"/>
        <v>-201439.97582975839</v>
      </c>
      <c r="I26" s="14">
        <f t="shared" si="11"/>
        <v>-201439.97582975839</v>
      </c>
      <c r="J26" s="14">
        <f t="shared" si="11"/>
        <v>-201439.97582975842</v>
      </c>
      <c r="K26" s="14">
        <f t="shared" si="11"/>
        <v>-201439.97582975842</v>
      </c>
      <c r="L26" s="102"/>
      <c r="O26" s="8"/>
      <c r="P26" s="87"/>
    </row>
    <row r="27" spans="1:75" hidden="1" outlineLevel="1" x14ac:dyDescent="0.2">
      <c r="C27" s="109"/>
      <c r="L27" s="272">
        <f>$O$12*Q14</f>
        <v>0</v>
      </c>
      <c r="O27" s="10"/>
    </row>
    <row r="28" spans="1:75" s="85" customFormat="1" hidden="1" outlineLevel="1" x14ac:dyDescent="0.2">
      <c r="A28" s="56"/>
      <c r="B28" s="56"/>
      <c r="C28" s="103" t="s">
        <v>58</v>
      </c>
      <c r="D28" s="110"/>
      <c r="E28" s="111">
        <f t="shared" ref="E28:K28" si="12">E$25+(E$26*$O$20)</f>
        <v>-201439.97582975839</v>
      </c>
      <c r="F28" s="111">
        <f t="shared" si="12"/>
        <v>0</v>
      </c>
      <c r="G28" s="111">
        <f t="shared" si="12"/>
        <v>0</v>
      </c>
      <c r="H28" s="111">
        <f t="shared" si="12"/>
        <v>0</v>
      </c>
      <c r="I28" s="111">
        <f t="shared" si="12"/>
        <v>0</v>
      </c>
      <c r="J28" s="111">
        <f t="shared" si="12"/>
        <v>0</v>
      </c>
      <c r="K28" s="111">
        <f t="shared" si="12"/>
        <v>0</v>
      </c>
      <c r="L28" s="14">
        <f>L23-L27</f>
        <v>-141894.20980239628</v>
      </c>
      <c r="M28" s="56"/>
      <c r="N28" s="56"/>
      <c r="O28" s="105"/>
      <c r="P28" s="106"/>
      <c r="Q28"/>
      <c r="R28"/>
      <c r="S28"/>
      <c r="T28"/>
      <c r="U28"/>
      <c r="V28"/>
      <c r="W28"/>
      <c r="X28"/>
      <c r="Y28"/>
      <c r="Z28"/>
      <c r="AA28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56"/>
      <c r="BK28" s="56"/>
      <c r="BL28" s="56"/>
      <c r="BM28" s="56"/>
      <c r="BN28" s="56"/>
      <c r="BO28" s="56"/>
      <c r="BP28" s="56"/>
      <c r="BQ28" s="56"/>
      <c r="BR28" s="56"/>
      <c r="BS28" s="56"/>
      <c r="BT28" s="56"/>
      <c r="BU28" s="56"/>
      <c r="BV28" s="56"/>
      <c r="BW28" s="56"/>
    </row>
    <row r="29" spans="1:75" s="56" customFormat="1" hidden="1" outlineLevel="1" x14ac:dyDescent="0.2">
      <c r="C29" s="103" t="s">
        <v>59</v>
      </c>
      <c r="D29" s="110"/>
      <c r="E29" s="111">
        <f t="shared" ref="E29:K29" si="13">E$26*$O$21</f>
        <v>0</v>
      </c>
      <c r="F29" s="111">
        <f t="shared" si="13"/>
        <v>0</v>
      </c>
      <c r="G29" s="111">
        <f t="shared" si="13"/>
        <v>0</v>
      </c>
      <c r="H29" s="111">
        <f t="shared" si="13"/>
        <v>0</v>
      </c>
      <c r="I29" s="111">
        <f t="shared" si="13"/>
        <v>0</v>
      </c>
      <c r="J29" s="111">
        <f t="shared" si="13"/>
        <v>0</v>
      </c>
      <c r="K29" s="111">
        <f t="shared" si="13"/>
        <v>0</v>
      </c>
      <c r="L29" s="14"/>
      <c r="O29" s="105"/>
      <c r="P29" s="106"/>
      <c r="Q29"/>
      <c r="R29"/>
      <c r="S29"/>
      <c r="T29"/>
      <c r="U29"/>
      <c r="V29"/>
      <c r="W29"/>
      <c r="X29"/>
      <c r="Y29"/>
      <c r="Z29"/>
      <c r="AA29"/>
    </row>
    <row r="30" spans="1:75" s="56" customFormat="1" hidden="1" outlineLevel="1" x14ac:dyDescent="0.2">
      <c r="C30" s="103"/>
      <c r="D30" s="113"/>
      <c r="E30" s="20"/>
      <c r="F30" s="20"/>
      <c r="G30" s="20"/>
      <c r="H30" s="20"/>
      <c r="I30" s="20"/>
      <c r="J30" s="20"/>
      <c r="K30" s="20"/>
      <c r="L30" s="14"/>
      <c r="N30"/>
      <c r="O30" s="105"/>
      <c r="P30" s="106"/>
      <c r="Q30"/>
      <c r="R30"/>
      <c r="S30"/>
      <c r="T30"/>
      <c r="U30"/>
      <c r="V30"/>
      <c r="W30"/>
      <c r="X30"/>
      <c r="Y30"/>
      <c r="Z30"/>
      <c r="AA30"/>
    </row>
    <row r="31" spans="1:75" hidden="1" outlineLevel="1" x14ac:dyDescent="0.2">
      <c r="C31" s="103" t="s">
        <v>60</v>
      </c>
      <c r="D31" s="113"/>
      <c r="E31" s="20">
        <f>E$28/$O$14</f>
        <v>-0.32409943744686698</v>
      </c>
      <c r="F31" s="20">
        <f t="shared" ref="F31:K31" si="14">F$28/$O$13</f>
        <v>0</v>
      </c>
      <c r="G31" s="20">
        <f t="shared" si="14"/>
        <v>0</v>
      </c>
      <c r="H31" s="20">
        <f t="shared" si="14"/>
        <v>0</v>
      </c>
      <c r="I31" s="20">
        <f t="shared" si="14"/>
        <v>0</v>
      </c>
      <c r="J31" s="20">
        <f t="shared" si="14"/>
        <v>0</v>
      </c>
      <c r="K31" s="20">
        <f t="shared" si="14"/>
        <v>0</v>
      </c>
      <c r="L31" s="14">
        <f t="shared" ref="L31" si="15">L$28-L$30</f>
        <v>-141894.20980239628</v>
      </c>
      <c r="O31" s="10"/>
    </row>
    <row r="32" spans="1:75" hidden="1" outlineLevel="1" x14ac:dyDescent="0.2">
      <c r="C32" s="103" t="s">
        <v>61</v>
      </c>
      <c r="E32" s="25" t="e">
        <f t="shared" ref="E32:K32" si="16">E$29/$O$15</f>
        <v>#DIV/0!</v>
      </c>
      <c r="F32" s="25" t="e">
        <f t="shared" si="16"/>
        <v>#DIV/0!</v>
      </c>
      <c r="G32" s="25" t="e">
        <f t="shared" si="16"/>
        <v>#DIV/0!</v>
      </c>
      <c r="H32" s="25" t="e">
        <f t="shared" si="16"/>
        <v>#DIV/0!</v>
      </c>
      <c r="I32" s="25" t="e">
        <f t="shared" si="16"/>
        <v>#DIV/0!</v>
      </c>
      <c r="J32" s="25" t="e">
        <f t="shared" si="16"/>
        <v>#DIV/0!</v>
      </c>
      <c r="K32" s="25" t="e">
        <f t="shared" si="16"/>
        <v>#DIV/0!</v>
      </c>
      <c r="M32" s="56"/>
      <c r="O32" s="10"/>
      <c r="Q32" s="21"/>
    </row>
    <row r="33" spans="1:75" ht="14.25" customHeight="1" collapsed="1" thickBot="1" x14ac:dyDescent="0.25">
      <c r="A33" s="13"/>
      <c r="B33" s="13"/>
      <c r="C33" s="103" t="s">
        <v>62</v>
      </c>
      <c r="E33" s="275">
        <f>(SUM(E22)+E43+E42)/$O$13</f>
        <v>-4.2580554676293598</v>
      </c>
      <c r="F33" s="275">
        <f>(SUM($E$22:F22)+F43+F42)/$O$13</f>
        <v>-4.5116878482864422</v>
      </c>
      <c r="G33" s="275">
        <f>(SUM($E$22:G22)+G43+G42)/$O$13</f>
        <v>-4.7606009196451433</v>
      </c>
      <c r="H33" s="275">
        <f>(SUM($E$22:H22)+H43+H42)/$O$13</f>
        <v>-5.0044786208215815</v>
      </c>
      <c r="I33" s="275">
        <f>(SUM($E$22:I22)+I43+I42)/$O$13</f>
        <v>-5.0620741049632612</v>
      </c>
      <c r="J33" s="275">
        <f>(SUM($E$22:J22)+J43+J42)/$O$13</f>
        <v>-5.3105337620855178</v>
      </c>
      <c r="K33" s="275">
        <f>(SUM($E$22:K22)+K43+K42)/$O$13</f>
        <v>-5.5543281230674415</v>
      </c>
      <c r="L33" s="112">
        <f>L21/L22</f>
        <v>-5.3963432056300638E-3</v>
      </c>
      <c r="O33" s="10"/>
      <c r="Q33" s="12"/>
      <c r="S33" s="2"/>
    </row>
    <row r="34" spans="1:75" s="99" customFormat="1" ht="16" thickBot="1" x14ac:dyDescent="0.25">
      <c r="A34" s="13"/>
      <c r="B34" s="13"/>
      <c r="C34" s="114" t="s">
        <v>63</v>
      </c>
      <c r="D34" s="115"/>
      <c r="E34" s="115"/>
      <c r="F34" s="116" t="e">
        <f>+'IRR '!$G$10</f>
        <v>#NUM!</v>
      </c>
      <c r="G34" s="116" t="e">
        <f>+'IRR '!$H$19</f>
        <v>#NUM!</v>
      </c>
      <c r="H34" s="116" t="e">
        <f>+'IRR '!$I$28</f>
        <v>#NUM!</v>
      </c>
      <c r="I34" s="115"/>
      <c r="J34" s="115"/>
      <c r="K34" s="115"/>
      <c r="L34" s="20">
        <f>L23/$O$13</f>
        <v>-0.22829546808916287</v>
      </c>
      <c r="M34"/>
      <c r="N34" s="56"/>
      <c r="O34" s="105"/>
      <c r="P34" s="106"/>
      <c r="Q34"/>
      <c r="R34"/>
      <c r="S34"/>
      <c r="T34"/>
      <c r="U34"/>
      <c r="V34"/>
      <c r="W34"/>
      <c r="X34"/>
      <c r="Y34"/>
      <c r="Z34"/>
      <c r="AA34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</row>
    <row r="35" spans="1:75" x14ac:dyDescent="0.2">
      <c r="C35" s="39"/>
      <c r="O35" s="10"/>
    </row>
    <row r="36" spans="1:75" ht="16" thickBot="1" x14ac:dyDescent="0.25">
      <c r="C36" s="283" t="s">
        <v>64</v>
      </c>
      <c r="D36" s="282"/>
      <c r="E36" s="282" t="s">
        <v>106</v>
      </c>
      <c r="F36" s="282" t="s">
        <v>108</v>
      </c>
      <c r="G36" s="282" t="s">
        <v>109</v>
      </c>
      <c r="H36" s="282" t="s">
        <v>110</v>
      </c>
      <c r="I36" s="282" t="s">
        <v>111</v>
      </c>
      <c r="J36" s="282" t="s">
        <v>112</v>
      </c>
      <c r="K36" s="282" t="s">
        <v>113</v>
      </c>
      <c r="L36" s="190" t="e">
        <f>(L$31)/$O$15</f>
        <v>#DIV/0!</v>
      </c>
      <c r="M36" s="281"/>
      <c r="N36" s="281"/>
      <c r="O36" s="10"/>
    </row>
    <row r="37" spans="1:75" hidden="1" x14ac:dyDescent="0.2">
      <c r="C37" s="278"/>
      <c r="D37" s="279"/>
      <c r="E37" s="279">
        <v>1</v>
      </c>
      <c r="F37" s="279">
        <v>2</v>
      </c>
      <c r="G37" s="279">
        <v>3</v>
      </c>
      <c r="H37" s="279">
        <v>4</v>
      </c>
      <c r="I37" s="279">
        <v>5</v>
      </c>
      <c r="J37" s="279">
        <v>6</v>
      </c>
      <c r="K37" s="280">
        <v>7</v>
      </c>
      <c r="L37" s="276"/>
      <c r="M37" s="56"/>
      <c r="O37" s="10"/>
    </row>
    <row r="38" spans="1:75" ht="16" thickTop="1" x14ac:dyDescent="0.2">
      <c r="C38" s="27" t="s">
        <v>65</v>
      </c>
      <c r="D38" s="118"/>
      <c r="E38" s="14">
        <f t="shared" ref="E38:K38" si="17">E$16/$O$10</f>
        <v>0</v>
      </c>
      <c r="F38" s="14">
        <f t="shared" si="17"/>
        <v>0</v>
      </c>
      <c r="G38" s="14">
        <f t="shared" si="17"/>
        <v>0</v>
      </c>
      <c r="H38" s="14">
        <f t="shared" si="17"/>
        <v>0</v>
      </c>
      <c r="I38" s="14">
        <f t="shared" si="17"/>
        <v>0</v>
      </c>
      <c r="J38" s="14">
        <f t="shared" si="17"/>
        <v>0</v>
      </c>
      <c r="K38" s="14">
        <f t="shared" si="17"/>
        <v>0</v>
      </c>
      <c r="L38" s="277"/>
      <c r="O38" s="10"/>
    </row>
    <row r="39" spans="1:75" x14ac:dyDescent="0.2">
      <c r="C39" s="27" t="s">
        <v>66</v>
      </c>
      <c r="D39" s="118"/>
      <c r="E39" s="14">
        <f t="shared" ref="E39:K39" si="18">E$38*0.04</f>
        <v>0</v>
      </c>
      <c r="F39" s="14">
        <f t="shared" si="18"/>
        <v>0</v>
      </c>
      <c r="G39" s="14">
        <f t="shared" si="18"/>
        <v>0</v>
      </c>
      <c r="H39" s="14">
        <f t="shared" si="18"/>
        <v>0</v>
      </c>
      <c r="I39" s="14">
        <f t="shared" si="18"/>
        <v>0</v>
      </c>
      <c r="J39" s="14">
        <f t="shared" si="18"/>
        <v>0</v>
      </c>
      <c r="K39" s="14">
        <f t="shared" si="18"/>
        <v>0</v>
      </c>
      <c r="L39" s="115"/>
      <c r="O39" s="10"/>
      <c r="R39" s="50"/>
    </row>
    <row r="40" spans="1:75" s="75" customFormat="1" x14ac:dyDescent="0.2">
      <c r="A40"/>
      <c r="B40"/>
      <c r="C40" s="27" t="s">
        <v>67</v>
      </c>
      <c r="D40" s="118"/>
      <c r="E40" s="14">
        <f>+Financing!H28</f>
        <v>2445101.4598419638</v>
      </c>
      <c r="F40" s="14">
        <f>+Financing!H40</f>
        <v>2401303.5368083715</v>
      </c>
      <c r="G40" s="14">
        <f>+Financing!H52</f>
        <v>2354572.3857553545</v>
      </c>
      <c r="H40" s="14">
        <f>+Financing!H64</f>
        <v>2304711.5629701079</v>
      </c>
      <c r="I40" s="14">
        <f>+'Financing (3 Refi)'!I72</f>
        <v>2139069.3442262597</v>
      </c>
      <c r="J40" s="14">
        <f>+'Financing (3 Refi)'!I84</f>
        <v>2092056.379191861</v>
      </c>
      <c r="K40" s="14">
        <f>+'Financing (3 Refi)'!I96</f>
        <v>2042143.7573448787</v>
      </c>
      <c r="L40"/>
      <c r="M40"/>
      <c r="N40"/>
      <c r="O40" s="10"/>
      <c r="P40" s="62"/>
      <c r="Q40"/>
      <c r="R40" s="2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1:75" x14ac:dyDescent="0.2">
      <c r="C41" s="82" t="s">
        <v>68</v>
      </c>
      <c r="D41" s="56"/>
      <c r="E41" s="102">
        <f t="shared" ref="E41:K41" si="19">E$38-E$39-E$40</f>
        <v>-2445101.4598419638</v>
      </c>
      <c r="F41" s="102">
        <f t="shared" si="19"/>
        <v>-2401303.5368083715</v>
      </c>
      <c r="G41" s="102">
        <f t="shared" si="19"/>
        <v>-2354572.3857553545</v>
      </c>
      <c r="H41" s="102">
        <f t="shared" si="19"/>
        <v>-2304711.5629701079</v>
      </c>
      <c r="I41" s="102">
        <f t="shared" si="19"/>
        <v>-2139069.3442262597</v>
      </c>
      <c r="J41" s="102">
        <f t="shared" si="19"/>
        <v>-2092056.379191861</v>
      </c>
      <c r="K41" s="102">
        <f t="shared" si="19"/>
        <v>-2042143.7573448787</v>
      </c>
      <c r="L41" s="216"/>
      <c r="N41" s="113"/>
      <c r="O41" s="10"/>
      <c r="R41" s="2"/>
    </row>
    <row r="42" spans="1:75" x14ac:dyDescent="0.2">
      <c r="C42" s="11" t="s">
        <v>69</v>
      </c>
      <c r="D42" s="118"/>
      <c r="E42" s="14">
        <f t="shared" ref="E42:H42" si="20">$O$13</f>
        <v>621537.56704000011</v>
      </c>
      <c r="F42" s="14">
        <f t="shared" si="20"/>
        <v>621537.56704000011</v>
      </c>
      <c r="G42" s="14">
        <f t="shared" si="20"/>
        <v>621537.56704000011</v>
      </c>
      <c r="H42" s="14">
        <f t="shared" si="20"/>
        <v>621537.56704000011</v>
      </c>
      <c r="I42" s="14">
        <f>$O$13</f>
        <v>621537.56704000011</v>
      </c>
      <c r="J42" s="14">
        <f t="shared" ref="J42:K42" si="21">$O$13</f>
        <v>621537.56704000011</v>
      </c>
      <c r="K42" s="14">
        <f t="shared" si="21"/>
        <v>621537.56704000011</v>
      </c>
      <c r="L42" s="117">
        <v>8</v>
      </c>
      <c r="N42" s="113"/>
      <c r="O42" s="10"/>
      <c r="R42" s="2"/>
    </row>
    <row r="43" spans="1:75" ht="36.75" customHeight="1" thickBot="1" x14ac:dyDescent="0.25">
      <c r="C43" s="29" t="s">
        <v>70</v>
      </c>
      <c r="D43" s="123"/>
      <c r="E43" s="124">
        <f t="shared" ref="E43:F43" si="22">E$41-E$42</f>
        <v>-3066639.0268819639</v>
      </c>
      <c r="F43" s="124">
        <f t="shared" si="22"/>
        <v>-3022841.1038483717</v>
      </c>
      <c r="G43" s="124">
        <f>G$41-G$42</f>
        <v>-2976109.9527953546</v>
      </c>
      <c r="H43" s="124">
        <f>H$41-H$42</f>
        <v>-2926249.130010108</v>
      </c>
      <c r="I43" s="124">
        <f>I$41-I$42</f>
        <v>-2760606.9112662598</v>
      </c>
      <c r="J43" s="124">
        <f>J$41-J$42</f>
        <v>-2713593.9462318611</v>
      </c>
      <c r="K43" s="124">
        <f>K$41-K$42</f>
        <v>-2663681.3243848789</v>
      </c>
      <c r="L43" s="125">
        <f>L21/O10</f>
        <v>-14235.514018691589</v>
      </c>
      <c r="M43" s="253"/>
      <c r="N43" s="214"/>
      <c r="O43" s="215"/>
      <c r="R43" s="2"/>
    </row>
    <row r="44" spans="1:75" ht="26.25" customHeight="1" x14ac:dyDescent="0.2">
      <c r="C44" s="118"/>
      <c r="D44" s="118"/>
      <c r="E44" s="14"/>
      <c r="F44" s="14"/>
      <c r="G44" s="14"/>
      <c r="H44" s="14"/>
      <c r="L44" s="119">
        <f t="shared" ref="L44" si="23">L43*0.05</f>
        <v>-711.7757009345795</v>
      </c>
      <c r="M44" s="126"/>
      <c r="O44" s="127"/>
    </row>
    <row r="45" spans="1:75" s="120" customFormat="1" ht="15" customHeight="1" x14ac:dyDescent="0.35">
      <c r="A45"/>
      <c r="B45"/>
      <c r="C45" s="118"/>
      <c r="D45" s="118"/>
      <c r="E45" s="128"/>
      <c r="F45" s="129"/>
      <c r="G45" s="129"/>
      <c r="H45" s="129"/>
      <c r="I45" s="129"/>
      <c r="J45" s="129"/>
      <c r="K45" s="129"/>
      <c r="L45" s="119">
        <v>1381290.6472644624</v>
      </c>
      <c r="M45" s="130"/>
      <c r="N45" s="130"/>
      <c r="O45" s="130"/>
      <c r="P45" s="62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1:75" ht="15.75" customHeight="1" x14ac:dyDescent="0.35">
      <c r="C46"/>
      <c r="E46" s="132"/>
      <c r="F46" s="132"/>
      <c r="G46" s="132"/>
      <c r="H46" s="132"/>
      <c r="I46" s="132"/>
      <c r="J46" s="132"/>
      <c r="K46" s="132"/>
      <c r="L46" s="121">
        <f t="shared" ref="L46" si="24">L43-L44-L45</f>
        <v>-1394814.3855822193</v>
      </c>
      <c r="M46" s="130"/>
      <c r="N46" s="130"/>
      <c r="O46" s="130"/>
    </row>
    <row r="47" spans="1:75" ht="15" customHeight="1" x14ac:dyDescent="0.35">
      <c r="C47"/>
      <c r="E47" s="132"/>
      <c r="F47" s="132"/>
      <c r="G47" s="132"/>
      <c r="I47" s="14"/>
      <c r="L47" s="119">
        <f>O13</f>
        <v>621537.56704000011</v>
      </c>
      <c r="M47" s="130"/>
      <c r="N47" s="130"/>
      <c r="O47" s="130"/>
      <c r="P47" s="122"/>
    </row>
    <row r="48" spans="1:75" ht="15" customHeight="1" thickBot="1" x14ac:dyDescent="0.4">
      <c r="C48"/>
      <c r="E48" s="14"/>
      <c r="F48" s="14"/>
      <c r="G48" s="14"/>
      <c r="L48" s="125">
        <f t="shared" ref="L48" si="25">L46-L47</f>
        <v>-2016351.9526222195</v>
      </c>
      <c r="M48" s="130"/>
      <c r="N48" s="130"/>
      <c r="O48" s="130"/>
      <c r="P48" s="122"/>
    </row>
    <row r="49" spans="3:16" ht="15" customHeight="1" x14ac:dyDescent="0.2">
      <c r="C49"/>
      <c r="E49" s="14"/>
      <c r="F49" s="14"/>
      <c r="G49" s="14"/>
      <c r="H49" s="14"/>
      <c r="M49" s="56"/>
      <c r="N49" s="14"/>
      <c r="O49" s="14"/>
      <c r="P49" s="126"/>
    </row>
    <row r="50" spans="3:16" ht="19" customHeight="1" x14ac:dyDescent="0.35">
      <c r="C50"/>
      <c r="E50" s="14"/>
      <c r="F50" s="14"/>
      <c r="G50" s="14"/>
      <c r="P50" s="131"/>
    </row>
    <row r="51" spans="3:16" ht="19" customHeight="1" x14ac:dyDescent="0.35">
      <c r="C51"/>
      <c r="P51" s="131"/>
    </row>
    <row r="52" spans="3:16" ht="19" customHeight="1" x14ac:dyDescent="0.35">
      <c r="C52"/>
      <c r="H52" s="133"/>
      <c r="P52" s="131"/>
    </row>
    <row r="53" spans="3:16" ht="19" customHeight="1" x14ac:dyDescent="0.35">
      <c r="C53"/>
      <c r="H53" s="134"/>
      <c r="P53" s="131"/>
    </row>
    <row r="54" spans="3:16" ht="15.75" customHeight="1" x14ac:dyDescent="0.2">
      <c r="C54"/>
      <c r="P54" s="87"/>
    </row>
    <row r="55" spans="3:16" x14ac:dyDescent="0.2">
      <c r="C55"/>
      <c r="D55" s="13"/>
    </row>
    <row r="56" spans="3:16" x14ac:dyDescent="0.2">
      <c r="C56"/>
    </row>
    <row r="57" spans="3:16" x14ac:dyDescent="0.2">
      <c r="C57"/>
    </row>
    <row r="58" spans="3:16" x14ac:dyDescent="0.2">
      <c r="C58"/>
      <c r="M58" s="2"/>
    </row>
    <row r="59" spans="3:16" x14ac:dyDescent="0.2">
      <c r="C59"/>
    </row>
    <row r="60" spans="3:16" x14ac:dyDescent="0.2">
      <c r="C60"/>
    </row>
    <row r="61" spans="3:16" x14ac:dyDescent="0.2">
      <c r="C61"/>
    </row>
    <row r="62" spans="3:16" x14ac:dyDescent="0.2">
      <c r="C62"/>
    </row>
    <row r="63" spans="3:16" x14ac:dyDescent="0.2">
      <c r="C63"/>
    </row>
    <row r="64" spans="3:16" x14ac:dyDescent="0.2">
      <c r="C64"/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12" x14ac:dyDescent="0.2">
      <c r="C81"/>
    </row>
    <row r="82" spans="3:12" x14ac:dyDescent="0.2">
      <c r="C82"/>
    </row>
    <row r="83" spans="3:12" x14ac:dyDescent="0.2">
      <c r="C83"/>
    </row>
    <row r="84" spans="3:12" x14ac:dyDescent="0.2">
      <c r="C84"/>
    </row>
    <row r="85" spans="3:12" x14ac:dyDescent="0.2">
      <c r="C85"/>
      <c r="D85" s="14"/>
      <c r="E85" s="14"/>
      <c r="F85" s="14"/>
      <c r="G85" s="14"/>
      <c r="H85" s="14"/>
      <c r="I85" s="14"/>
      <c r="J85" s="14"/>
      <c r="K85" s="14"/>
    </row>
    <row r="86" spans="3:12" x14ac:dyDescent="0.2">
      <c r="C86"/>
      <c r="D86" s="14"/>
      <c r="E86" s="20"/>
      <c r="F86" s="14"/>
      <c r="G86" s="14"/>
      <c r="H86" s="14"/>
      <c r="I86" s="14"/>
      <c r="J86" s="14"/>
      <c r="K86" s="14"/>
    </row>
    <row r="87" spans="3:12" x14ac:dyDescent="0.2">
      <c r="C87"/>
      <c r="D87" s="14"/>
      <c r="E87" s="14"/>
      <c r="H87" s="14"/>
      <c r="I87" s="14"/>
      <c r="J87" s="14"/>
      <c r="K87" s="14"/>
    </row>
    <row r="90" spans="3:12" x14ac:dyDescent="0.2">
      <c r="L90" s="14"/>
    </row>
    <row r="91" spans="3:12" x14ac:dyDescent="0.2">
      <c r="L91" s="14"/>
    </row>
    <row r="92" spans="3:12" x14ac:dyDescent="0.2">
      <c r="L92" s="14"/>
    </row>
  </sheetData>
  <sheetProtection sheet="1" objects="1" scenarios="1" formatCells="0" sort="0" autoFilter="0" pivotTables="0"/>
  <mergeCells count="2">
    <mergeCell ref="C2:O3"/>
    <mergeCell ref="N4:O4"/>
  </mergeCells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2C72-788F-4FF9-9760-F52C81F15E53}">
  <sheetPr codeName="Sheet4">
    <tabColor rgb="FFB4C4C1"/>
  </sheetPr>
  <dimension ref="C1:I31"/>
  <sheetViews>
    <sheetView showGridLines="0" zoomScaleNormal="100" workbookViewId="0">
      <selection activeCell="L18" sqref="L17:L18"/>
    </sheetView>
  </sheetViews>
  <sheetFormatPr baseColWidth="10" defaultColWidth="8.83203125" defaultRowHeight="15" x14ac:dyDescent="0.2"/>
  <cols>
    <col min="3" max="3" width="24.6640625" bestFit="1" customWidth="1"/>
    <col min="4" max="4" width="14.83203125" bestFit="1" customWidth="1"/>
    <col min="5" max="5" width="14.83203125" customWidth="1"/>
    <col min="6" max="8" width="13.6640625" bestFit="1" customWidth="1"/>
    <col min="9" max="9" width="14.6640625" bestFit="1" customWidth="1"/>
    <col min="10" max="10" width="14.33203125" bestFit="1" customWidth="1"/>
    <col min="11" max="11" width="15.33203125" bestFit="1" customWidth="1"/>
  </cols>
  <sheetData>
    <row r="1" spans="3:8" x14ac:dyDescent="0.2">
      <c r="C1" s="59"/>
      <c r="D1" s="59"/>
      <c r="E1" s="59"/>
    </row>
    <row r="2" spans="3:8" ht="16" thickBot="1" x14ac:dyDescent="0.25"/>
    <row r="3" spans="3:8" x14ac:dyDescent="0.2">
      <c r="C3" s="333" t="s">
        <v>103</v>
      </c>
      <c r="D3" s="368"/>
      <c r="E3" s="368"/>
      <c r="F3" s="334"/>
    </row>
    <row r="4" spans="3:8" ht="16" thickBot="1" x14ac:dyDescent="0.25">
      <c r="C4" s="180"/>
      <c r="D4" s="190" t="s">
        <v>107</v>
      </c>
      <c r="E4" s="190" t="s">
        <v>101</v>
      </c>
      <c r="F4" s="181" t="s">
        <v>102</v>
      </c>
    </row>
    <row r="5" spans="3:8" x14ac:dyDescent="0.2">
      <c r="C5" s="191"/>
      <c r="D5" s="192">
        <f>+'Deal Summary'!$T$11</f>
        <v>46023</v>
      </c>
      <c r="E5" s="192">
        <v>46387</v>
      </c>
      <c r="F5" s="193">
        <f>+F14</f>
        <v>47118</v>
      </c>
      <c r="G5" s="210" t="s">
        <v>71</v>
      </c>
    </row>
    <row r="6" spans="3:8" x14ac:dyDescent="0.2">
      <c r="C6" s="39" t="s">
        <v>72</v>
      </c>
      <c r="D6" s="14">
        <f>-'Deal Summary'!G36</f>
        <v>-621537.56704000011</v>
      </c>
      <c r="E6" s="14"/>
      <c r="F6" s="8"/>
      <c r="G6" s="10"/>
    </row>
    <row r="7" spans="3:8" x14ac:dyDescent="0.2">
      <c r="C7" s="39" t="s">
        <v>73</v>
      </c>
      <c r="D7" s="14"/>
      <c r="E7" s="14"/>
      <c r="F7" s="8">
        <f>-D6</f>
        <v>621537.56704000011</v>
      </c>
      <c r="G7" s="10"/>
    </row>
    <row r="8" spans="3:8" x14ac:dyDescent="0.2">
      <c r="C8" s="39" t="s">
        <v>74</v>
      </c>
      <c r="D8" s="14"/>
      <c r="E8" s="14">
        <f>+E17</f>
        <v>-201439.97582975839</v>
      </c>
      <c r="F8" s="8">
        <f t="shared" ref="F8" si="0">+F17</f>
        <v>-201439.97582975839</v>
      </c>
      <c r="G8" s="10"/>
    </row>
    <row r="9" spans="3:8" x14ac:dyDescent="0.2">
      <c r="C9" s="48" t="s">
        <v>75</v>
      </c>
      <c r="D9" s="136"/>
      <c r="E9" s="136"/>
      <c r="F9" s="19">
        <f>+Proforma!$F$43</f>
        <v>-3022841.1038483717</v>
      </c>
      <c r="G9" s="176"/>
    </row>
    <row r="10" spans="3:8" ht="16" thickBot="1" x14ac:dyDescent="0.25">
      <c r="C10" s="137" t="s">
        <v>76</v>
      </c>
      <c r="D10" s="138">
        <f t="shared" ref="D10:E10" si="1">SUM(D6:D9)</f>
        <v>-621537.56704000011</v>
      </c>
      <c r="E10" s="138">
        <f t="shared" si="1"/>
        <v>-201439.97582975839</v>
      </c>
      <c r="F10" s="177">
        <f>SUM(F7:F9)</f>
        <v>-2602743.5126381298</v>
      </c>
      <c r="G10" s="211" t="e">
        <f>XIRR(D10:F10,D5:F5,0)</f>
        <v>#NUM!</v>
      </c>
    </row>
    <row r="11" spans="3:8" ht="16" thickBot="1" x14ac:dyDescent="0.25"/>
    <row r="12" spans="3:8" x14ac:dyDescent="0.2">
      <c r="C12" s="333" t="s">
        <v>104</v>
      </c>
      <c r="D12" s="368"/>
      <c r="E12" s="368"/>
      <c r="F12" s="368"/>
      <c r="G12" s="334"/>
    </row>
    <row r="13" spans="3:8" ht="16" thickBot="1" x14ac:dyDescent="0.25">
      <c r="C13" s="180"/>
      <c r="D13" s="190" t="s">
        <v>107</v>
      </c>
      <c r="E13" s="190" t="s">
        <v>101</v>
      </c>
      <c r="F13" s="190" t="s">
        <v>102</v>
      </c>
      <c r="G13" s="181" t="s">
        <v>105</v>
      </c>
    </row>
    <row r="14" spans="3:8" x14ac:dyDescent="0.2">
      <c r="C14" s="191"/>
      <c r="D14" s="192">
        <f>+'Deal Summary'!$T$11</f>
        <v>46023</v>
      </c>
      <c r="E14" s="192">
        <v>46387</v>
      </c>
      <c r="F14" s="192">
        <f t="shared" ref="F14:G14" si="2">+F23</f>
        <v>47118</v>
      </c>
      <c r="G14" s="193">
        <f t="shared" si="2"/>
        <v>47483</v>
      </c>
      <c r="H14" s="210" t="s">
        <v>71</v>
      </c>
    </row>
    <row r="15" spans="3:8" x14ac:dyDescent="0.2">
      <c r="C15" s="38" t="s">
        <v>72</v>
      </c>
      <c r="D15" s="14">
        <f>D6</f>
        <v>-621537.56704000011</v>
      </c>
      <c r="E15" s="14"/>
      <c r="F15" s="14"/>
      <c r="G15" s="8"/>
      <c r="H15" s="10"/>
    </row>
    <row r="16" spans="3:8" x14ac:dyDescent="0.2">
      <c r="C16" s="39" t="s">
        <v>73</v>
      </c>
      <c r="D16" s="14"/>
      <c r="E16" s="14"/>
      <c r="F16" s="14"/>
      <c r="G16" s="8">
        <f>-D15</f>
        <v>621537.56704000011</v>
      </c>
      <c r="H16" s="10"/>
    </row>
    <row r="17" spans="3:9" x14ac:dyDescent="0.2">
      <c r="C17" s="39" t="s">
        <v>74</v>
      </c>
      <c r="D17" s="14"/>
      <c r="E17" s="14">
        <f>+E26</f>
        <v>-201439.97582975839</v>
      </c>
      <c r="F17" s="14">
        <f t="shared" ref="F17:G17" si="3">+F26</f>
        <v>-201439.97582975839</v>
      </c>
      <c r="G17" s="8">
        <f t="shared" si="3"/>
        <v>-201439.97582975839</v>
      </c>
      <c r="H17" s="10"/>
    </row>
    <row r="18" spans="3:9" x14ac:dyDescent="0.2">
      <c r="C18" s="48" t="s">
        <v>75</v>
      </c>
      <c r="D18" s="136"/>
      <c r="E18" s="136"/>
      <c r="F18" s="136"/>
      <c r="G18" s="19">
        <f>+Proforma!$G$43</f>
        <v>-2976109.9527953546</v>
      </c>
      <c r="H18" s="176"/>
    </row>
    <row r="19" spans="3:9" ht="16" thickBot="1" x14ac:dyDescent="0.25">
      <c r="C19" s="137" t="s">
        <v>76</v>
      </c>
      <c r="D19" s="138">
        <f t="shared" ref="D19:F19" si="4">SUM(D15:D18)</f>
        <v>-621537.56704000011</v>
      </c>
      <c r="E19" s="138">
        <f t="shared" si="4"/>
        <v>-201439.97582975839</v>
      </c>
      <c r="F19" s="138">
        <f t="shared" si="4"/>
        <v>-201439.97582975839</v>
      </c>
      <c r="G19" s="139">
        <f>SUM(G15:G18)</f>
        <v>-2556012.3615851128</v>
      </c>
      <c r="H19" s="211" t="e">
        <f>XIRR(D19:G19,D14:G14,0)</f>
        <v>#NUM!</v>
      </c>
    </row>
    <row r="20" spans="3:9" ht="16" thickBot="1" x14ac:dyDescent="0.25"/>
    <row r="21" spans="3:9" x14ac:dyDescent="0.2">
      <c r="C21" s="333" t="s">
        <v>114</v>
      </c>
      <c r="D21" s="368"/>
      <c r="E21" s="368"/>
      <c r="F21" s="368"/>
      <c r="G21" s="368"/>
      <c r="H21" s="334"/>
    </row>
    <row r="22" spans="3:9" ht="16" thickBot="1" x14ac:dyDescent="0.25">
      <c r="C22" s="180"/>
      <c r="D22" s="190" t="s">
        <v>107</v>
      </c>
      <c r="E22" s="190" t="s">
        <v>101</v>
      </c>
      <c r="F22" s="190" t="s">
        <v>102</v>
      </c>
      <c r="G22" s="190" t="s">
        <v>105</v>
      </c>
      <c r="H22" s="194" t="s">
        <v>115</v>
      </c>
    </row>
    <row r="23" spans="3:9" x14ac:dyDescent="0.2">
      <c r="C23" s="191"/>
      <c r="D23" s="192">
        <f>+'Deal Summary'!$T$11</f>
        <v>46023</v>
      </c>
      <c r="E23" s="192">
        <v>46387</v>
      </c>
      <c r="F23" s="192">
        <v>47118</v>
      </c>
      <c r="G23" s="192">
        <v>47483</v>
      </c>
      <c r="H23" s="193">
        <v>47848</v>
      </c>
      <c r="I23" s="210" t="s">
        <v>71</v>
      </c>
    </row>
    <row r="24" spans="3:9" x14ac:dyDescent="0.2">
      <c r="C24" s="38" t="s">
        <v>72</v>
      </c>
      <c r="D24" s="14">
        <f>D15</f>
        <v>-621537.56704000011</v>
      </c>
      <c r="E24" s="14"/>
      <c r="F24" s="14"/>
      <c r="G24" s="14"/>
      <c r="H24" s="8"/>
      <c r="I24" s="10"/>
    </row>
    <row r="25" spans="3:9" x14ac:dyDescent="0.2">
      <c r="C25" s="39" t="s">
        <v>73</v>
      </c>
      <c r="D25" s="14"/>
      <c r="E25" s="14"/>
      <c r="F25" s="14"/>
      <c r="G25" s="14"/>
      <c r="H25" s="8">
        <f>-D24</f>
        <v>621537.56704000011</v>
      </c>
      <c r="I25" s="10"/>
    </row>
    <row r="26" spans="3:9" x14ac:dyDescent="0.2">
      <c r="C26" s="39" t="s">
        <v>74</v>
      </c>
      <c r="D26" s="33"/>
      <c r="E26" s="33">
        <f>+Proforma!E18</f>
        <v>-201439.97582975839</v>
      </c>
      <c r="F26" s="33">
        <f>+Proforma!G18</f>
        <v>-201439.97582975839</v>
      </c>
      <c r="G26" s="33">
        <f>+Proforma!H18</f>
        <v>-201439.97582975839</v>
      </c>
      <c r="H26" s="15">
        <f>+Proforma!I18</f>
        <v>-201439.97582975839</v>
      </c>
      <c r="I26" s="10"/>
    </row>
    <row r="27" spans="3:9" x14ac:dyDescent="0.2">
      <c r="C27" s="48" t="s">
        <v>75</v>
      </c>
      <c r="D27" s="136"/>
      <c r="E27" s="136"/>
      <c r="F27" s="136"/>
      <c r="G27" s="136"/>
      <c r="H27" s="19">
        <f>+Proforma!$F$43</f>
        <v>-3022841.1038483717</v>
      </c>
      <c r="I27" s="176"/>
    </row>
    <row r="28" spans="3:9" ht="16" thickBot="1" x14ac:dyDescent="0.25">
      <c r="C28" s="137" t="s">
        <v>76</v>
      </c>
      <c r="D28" s="138">
        <f t="shared" ref="D28:H28" si="5">SUM(D24:D27)</f>
        <v>-621537.56704000011</v>
      </c>
      <c r="E28" s="138">
        <f t="shared" si="5"/>
        <v>-201439.97582975839</v>
      </c>
      <c r="F28" s="138">
        <f t="shared" si="5"/>
        <v>-201439.97582975839</v>
      </c>
      <c r="G28" s="138">
        <f t="shared" si="5"/>
        <v>-201439.97582975839</v>
      </c>
      <c r="H28" s="139">
        <f t="shared" si="5"/>
        <v>-2602743.5126381298</v>
      </c>
      <c r="I28" s="211" t="e">
        <f>XIRR(D28:H28,D23:H23,0)</f>
        <v>#NUM!</v>
      </c>
    </row>
    <row r="31" spans="3:9" x14ac:dyDescent="0.2">
      <c r="D31" t="s">
        <v>97</v>
      </c>
    </row>
  </sheetData>
  <sheetProtection sheet="1" objects="1" scenarios="1" formatCells="0" sort="0" autoFilter="0" pivotTables="0"/>
  <mergeCells count="3">
    <mergeCell ref="C3:F3"/>
    <mergeCell ref="C12:G12"/>
    <mergeCell ref="C21:H21"/>
  </mergeCells>
  <phoneticPr fontId="2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BD612-14B4-49DB-8A94-EEDF3F94C5FF}">
  <sheetPr codeName="Sheet5">
    <tabColor rgb="FFB4C4C1"/>
  </sheetPr>
  <dimension ref="B1:R376"/>
  <sheetViews>
    <sheetView showGridLines="0" zoomScale="108" zoomScaleNormal="80" workbookViewId="0">
      <selection activeCell="G12" sqref="G12"/>
    </sheetView>
  </sheetViews>
  <sheetFormatPr baseColWidth="10" defaultColWidth="8.83203125" defaultRowHeight="15" x14ac:dyDescent="0.2"/>
  <cols>
    <col min="1" max="1" width="2.6640625" customWidth="1"/>
    <col min="2" max="2" width="30.1640625" bestFit="1" customWidth="1"/>
    <col min="3" max="4" width="19.1640625" bestFit="1" customWidth="1"/>
    <col min="5" max="6" width="17.5" bestFit="1" customWidth="1"/>
    <col min="7" max="7" width="17.1640625" bestFit="1" customWidth="1"/>
    <col min="8" max="8" width="21.6640625" customWidth="1"/>
    <col min="9" max="9" width="14.33203125" bestFit="1" customWidth="1"/>
    <col min="10" max="10" width="23.5" bestFit="1" customWidth="1"/>
    <col min="11" max="11" width="12" bestFit="1" customWidth="1"/>
    <col min="12" max="12" width="12.33203125" bestFit="1" customWidth="1"/>
    <col min="13" max="13" width="10.1640625" bestFit="1" customWidth="1"/>
    <col min="14" max="14" width="14.33203125" bestFit="1" customWidth="1"/>
    <col min="16" max="16" width="10.1640625" bestFit="1" customWidth="1"/>
    <col min="18" max="18" width="11.5" bestFit="1" customWidth="1"/>
  </cols>
  <sheetData>
    <row r="1" spans="2:11" x14ac:dyDescent="0.2">
      <c r="B1" s="56"/>
    </row>
    <row r="2" spans="2:11" x14ac:dyDescent="0.2">
      <c r="B2" s="56"/>
    </row>
    <row r="3" spans="2:11" ht="16" thickBot="1" x14ac:dyDescent="0.25"/>
    <row r="4" spans="2:11" x14ac:dyDescent="0.2">
      <c r="B4" s="333" t="s">
        <v>77</v>
      </c>
      <c r="C4" s="334"/>
      <c r="E4" s="333" t="s">
        <v>1</v>
      </c>
      <c r="F4" s="334"/>
      <c r="H4" s="202" t="s">
        <v>26</v>
      </c>
    </row>
    <row r="5" spans="2:11" ht="16" thickBot="1" x14ac:dyDescent="0.25">
      <c r="B5" s="200" t="s">
        <v>78</v>
      </c>
      <c r="C5" s="144">
        <f>+'Deal Summary'!G35</f>
        <v>2486150.26816</v>
      </c>
      <c r="E5" s="200" t="s">
        <v>79</v>
      </c>
      <c r="F5" s="144">
        <f>+'Deal Summary'!D35</f>
        <v>3107687.8352000001</v>
      </c>
      <c r="H5" s="296">
        <f>K9*C13</f>
        <v>0</v>
      </c>
    </row>
    <row r="6" spans="2:11" ht="16" thickBot="1" x14ac:dyDescent="0.25">
      <c r="B6" s="200" t="s">
        <v>10</v>
      </c>
      <c r="C6" s="195">
        <f>'Deal Summary'!T30</f>
        <v>6.5000000000000002E-2</v>
      </c>
      <c r="E6" s="200" t="s">
        <v>6</v>
      </c>
      <c r="F6" s="195">
        <f>'Deal Summary'!T33</f>
        <v>0.8</v>
      </c>
    </row>
    <row r="7" spans="2:11" ht="16" thickBot="1" x14ac:dyDescent="0.25">
      <c r="B7" s="200" t="s">
        <v>80</v>
      </c>
      <c r="C7" s="196">
        <f>'Deal Summary'!T31</f>
        <v>25</v>
      </c>
      <c r="E7" s="200" t="s">
        <v>81</v>
      </c>
      <c r="F7" s="144">
        <f>F5*(100%-F6)</f>
        <v>621537.56703999988</v>
      </c>
      <c r="H7" s="202" t="s">
        <v>123</v>
      </c>
      <c r="I7" s="14"/>
    </row>
    <row r="8" spans="2:11" ht="16" thickBot="1" x14ac:dyDescent="0.25">
      <c r="B8" s="200" t="s">
        <v>82</v>
      </c>
      <c r="C8" s="197">
        <f>'Deal Summary'!T32</f>
        <v>0</v>
      </c>
      <c r="E8" s="201" t="s">
        <v>83</v>
      </c>
      <c r="F8" s="149">
        <f>F5-F7</f>
        <v>2486150.2681600004</v>
      </c>
      <c r="H8" s="296">
        <f>C5*'Deal Summary'!T34</f>
        <v>24861.502681599999</v>
      </c>
      <c r="J8" s="26" t="s">
        <v>196</v>
      </c>
      <c r="K8" s="316">
        <f>MIN('Deal Summary'!T32,'Deal Summary'!T35)</f>
        <v>0</v>
      </c>
    </row>
    <row r="9" spans="2:11" x14ac:dyDescent="0.2">
      <c r="B9" s="200" t="s">
        <v>84</v>
      </c>
      <c r="C9" s="150">
        <f>(C7*12)</f>
        <v>300</v>
      </c>
      <c r="J9" s="24" t="s">
        <v>197</v>
      </c>
      <c r="K9" s="176">
        <f>'Deal Summary'!T32-Financing!K8</f>
        <v>0</v>
      </c>
    </row>
    <row r="10" spans="2:11" x14ac:dyDescent="0.2">
      <c r="B10" s="200" t="s">
        <v>85</v>
      </c>
      <c r="C10" s="150">
        <f>C8+C9</f>
        <v>300</v>
      </c>
      <c r="J10" s="7" t="s">
        <v>198</v>
      </c>
      <c r="K10" s="10">
        <f>MIN(12,K9)</f>
        <v>0</v>
      </c>
    </row>
    <row r="11" spans="2:11" x14ac:dyDescent="0.2">
      <c r="B11" s="200" t="s">
        <v>86</v>
      </c>
      <c r="C11" s="144">
        <f>PMT(C6/12,$C$7*12,$C$5,0,0)*-1</f>
        <v>16786.664652479867</v>
      </c>
      <c r="J11" s="24" t="s">
        <v>199</v>
      </c>
      <c r="K11" s="176">
        <f>MAX(12-K10,0)</f>
        <v>12</v>
      </c>
    </row>
    <row r="12" spans="2:11" ht="16" thickBot="1" x14ac:dyDescent="0.25">
      <c r="B12" s="201" t="s">
        <v>87</v>
      </c>
      <c r="C12" s="149">
        <f>C11*12</f>
        <v>201439.97582975839</v>
      </c>
      <c r="J12" s="7" t="s">
        <v>200</v>
      </c>
      <c r="K12" s="10">
        <f>MAX(MIN(K9- 12, 12), 0)</f>
        <v>0</v>
      </c>
    </row>
    <row r="13" spans="2:11" ht="16" thickBot="1" x14ac:dyDescent="0.25">
      <c r="B13" s="201" t="s">
        <v>204</v>
      </c>
      <c r="C13" s="171">
        <f>(C6*C5)/12</f>
        <v>13466.647285866668</v>
      </c>
      <c r="J13" s="24" t="s">
        <v>201</v>
      </c>
      <c r="K13" s="176">
        <f>MAX(12-K12,0)</f>
        <v>12</v>
      </c>
    </row>
    <row r="14" spans="2:11" ht="16" thickBot="1" x14ac:dyDescent="0.25">
      <c r="B14" s="110"/>
      <c r="D14" s="369" t="s">
        <v>88</v>
      </c>
      <c r="E14" s="369"/>
      <c r="F14" s="369"/>
      <c r="J14" s="7" t="s">
        <v>202</v>
      </c>
      <c r="K14" s="10">
        <f>MAX(MIN(K9 - 24, 12), 0)</f>
        <v>0</v>
      </c>
    </row>
    <row r="15" spans="2:11" ht="16" thickBot="1" x14ac:dyDescent="0.25">
      <c r="B15" s="5" t="s">
        <v>89</v>
      </c>
      <c r="C15" s="199" t="s">
        <v>90</v>
      </c>
      <c r="D15" s="199" t="s">
        <v>91</v>
      </c>
      <c r="E15" s="199" t="s">
        <v>92</v>
      </c>
      <c r="F15" s="199" t="s">
        <v>93</v>
      </c>
      <c r="G15" s="199" t="s">
        <v>7</v>
      </c>
      <c r="H15" s="198" t="s">
        <v>94</v>
      </c>
      <c r="J15" s="16" t="s">
        <v>203</v>
      </c>
      <c r="K15" s="215">
        <f>MAX(12-K14,0)</f>
        <v>12</v>
      </c>
    </row>
    <row r="16" spans="2:11" x14ac:dyDescent="0.2">
      <c r="B16" s="43">
        <v>0</v>
      </c>
      <c r="C16" s="62">
        <v>0</v>
      </c>
      <c r="D16" s="158"/>
      <c r="E16" s="158"/>
      <c r="F16" s="158"/>
      <c r="G16" s="158"/>
      <c r="H16" s="159">
        <f>C5</f>
        <v>2486150.26816</v>
      </c>
      <c r="I16" s="2"/>
    </row>
    <row r="17" spans="2:18" x14ac:dyDescent="0.2">
      <c r="B17" s="43"/>
      <c r="C17" s="62">
        <v>1</v>
      </c>
      <c r="D17" s="158">
        <f>H16</f>
        <v>2486150.26816</v>
      </c>
      <c r="E17" s="158">
        <f>IF(C17&gt;$C$10,0,IF(C17&lt;=$C$8,F17,-PMT($C$6/12,$C$9,$D$17,0,0)))</f>
        <v>16786.664652479867</v>
      </c>
      <c r="F17" s="158">
        <f>IF(C17&gt;$C$10,0,($C$6/12)*D17)</f>
        <v>13466.647285866668</v>
      </c>
      <c r="G17" s="158">
        <f t="shared" ref="G17:G80" si="0">E17-F17</f>
        <v>3320.0173666131996</v>
      </c>
      <c r="H17" s="159">
        <f t="shared" ref="H17:H80" si="1">D17-G17</f>
        <v>2482830.2507933867</v>
      </c>
      <c r="I17" s="21"/>
      <c r="J17" s="2"/>
      <c r="K17" s="160"/>
      <c r="L17" s="21"/>
      <c r="M17" s="160"/>
      <c r="N17" s="2"/>
      <c r="P17" s="160"/>
    </row>
    <row r="18" spans="2:18" x14ac:dyDescent="0.2">
      <c r="B18" s="43"/>
      <c r="C18" s="62">
        <v>2</v>
      </c>
      <c r="D18" s="158">
        <f>H17</f>
        <v>2482830.2507933867</v>
      </c>
      <c r="E18" s="158">
        <f>IF(C18&gt;$C$10,0,IF(C18&lt;=$C$8,F18,-PMT($C$6/12,$C$9,$C$5,0,0)))</f>
        <v>16786.664652479867</v>
      </c>
      <c r="F18" s="158">
        <f t="shared" ref="F18:F81" si="2">IF(C18&gt;$C$10,0,($C$6/12)*H17)</f>
        <v>13448.663858464179</v>
      </c>
      <c r="G18" s="158">
        <f t="shared" si="0"/>
        <v>3338.0007940156884</v>
      </c>
      <c r="H18" s="159">
        <f t="shared" si="1"/>
        <v>2479492.2499993709</v>
      </c>
      <c r="I18" s="21"/>
      <c r="J18" s="2"/>
      <c r="K18" s="160"/>
      <c r="L18" s="21"/>
      <c r="M18" s="160"/>
      <c r="N18" s="2"/>
      <c r="P18" s="160"/>
    </row>
    <row r="19" spans="2:18" x14ac:dyDescent="0.2">
      <c r="B19" s="43"/>
      <c r="C19" s="62">
        <v>3</v>
      </c>
      <c r="D19" s="158">
        <f>H18</f>
        <v>2479492.2499993709</v>
      </c>
      <c r="E19" s="158">
        <f>IF(C19&gt;$C$10,0,IF(C19&lt;=$C$8,F19,-PMT($C$6/12,$C$9,$C$5,0,0)))</f>
        <v>16786.664652479867</v>
      </c>
      <c r="F19" s="158">
        <f t="shared" si="2"/>
        <v>13430.583020829927</v>
      </c>
      <c r="G19" s="158">
        <f t="shared" si="0"/>
        <v>3356.0816316499404</v>
      </c>
      <c r="H19" s="159">
        <f t="shared" si="1"/>
        <v>2476136.1683677211</v>
      </c>
      <c r="J19" s="2"/>
      <c r="K19" s="160"/>
      <c r="L19" s="21"/>
      <c r="M19" s="160"/>
      <c r="N19" s="2"/>
      <c r="P19" s="160"/>
    </row>
    <row r="20" spans="2:18" x14ac:dyDescent="0.2">
      <c r="B20" s="43"/>
      <c r="C20" s="62">
        <v>4</v>
      </c>
      <c r="D20" s="158">
        <f>H19</f>
        <v>2476136.1683677211</v>
      </c>
      <c r="E20" s="158">
        <f>IF(C20&gt;$C$10,0,IF(C20&lt;=$C$8,F20,-PMT($C$6/12,$C$9,$D$17,0,0)))</f>
        <v>16786.664652479867</v>
      </c>
      <c r="F20" s="158">
        <f t="shared" si="2"/>
        <v>13412.404245325157</v>
      </c>
      <c r="G20" s="158">
        <f t="shared" si="0"/>
        <v>3374.2604071547103</v>
      </c>
      <c r="H20" s="159">
        <f t="shared" si="1"/>
        <v>2472761.9079605662</v>
      </c>
      <c r="J20" s="2"/>
      <c r="K20" s="160"/>
      <c r="L20" s="21"/>
      <c r="M20" s="160"/>
      <c r="N20" s="2"/>
      <c r="P20" s="160"/>
      <c r="R20" s="21"/>
    </row>
    <row r="21" spans="2:18" x14ac:dyDescent="0.2">
      <c r="B21" s="43"/>
      <c r="C21" s="62">
        <v>5</v>
      </c>
      <c r="D21" s="158">
        <f>H20</f>
        <v>2472761.9079605662</v>
      </c>
      <c r="E21" s="158">
        <f t="shared" ref="E21:E84" si="3">IF(C21&gt;$C$10,0,IF(C21&lt;=$C$8,F21,-PMT($C$6/12,$C$9,$C$5,0,0)))</f>
        <v>16786.664652479867</v>
      </c>
      <c r="F21" s="158">
        <f t="shared" si="2"/>
        <v>13394.127001453067</v>
      </c>
      <c r="G21" s="158">
        <f t="shared" si="0"/>
        <v>3392.5376510267997</v>
      </c>
      <c r="H21" s="159">
        <f t="shared" si="1"/>
        <v>2469369.3703095396</v>
      </c>
      <c r="J21" s="2"/>
      <c r="K21" s="160"/>
      <c r="L21" s="21"/>
      <c r="M21" s="160"/>
      <c r="N21" s="2"/>
      <c r="P21" s="160"/>
    </row>
    <row r="22" spans="2:18" x14ac:dyDescent="0.2">
      <c r="B22" s="43"/>
      <c r="C22" s="62">
        <v>6</v>
      </c>
      <c r="D22" s="158">
        <f t="shared" ref="D22:D85" si="4">IF(C22&gt;$C$10,0,H21)</f>
        <v>2469369.3703095396</v>
      </c>
      <c r="E22" s="158">
        <f t="shared" si="3"/>
        <v>16786.664652479867</v>
      </c>
      <c r="F22" s="158">
        <f t="shared" si="2"/>
        <v>13375.750755843341</v>
      </c>
      <c r="G22" s="158">
        <f t="shared" si="0"/>
        <v>3410.9138966365263</v>
      </c>
      <c r="H22" s="159">
        <f t="shared" si="1"/>
        <v>2465958.456412903</v>
      </c>
      <c r="J22" s="2"/>
      <c r="K22" s="160"/>
      <c r="L22" s="21"/>
      <c r="M22" s="160"/>
      <c r="N22" s="2"/>
      <c r="P22" s="160"/>
    </row>
    <row r="23" spans="2:18" x14ac:dyDescent="0.2">
      <c r="B23" s="43"/>
      <c r="C23" s="62">
        <v>7</v>
      </c>
      <c r="D23" s="158">
        <f t="shared" si="4"/>
        <v>2465958.456412903</v>
      </c>
      <c r="E23" s="158">
        <f t="shared" si="3"/>
        <v>16786.664652479867</v>
      </c>
      <c r="F23" s="158">
        <f t="shared" si="2"/>
        <v>13357.274972236559</v>
      </c>
      <c r="G23" s="158">
        <f t="shared" si="0"/>
        <v>3429.3896802433082</v>
      </c>
      <c r="H23" s="159">
        <f t="shared" si="1"/>
        <v>2462529.0667326599</v>
      </c>
      <c r="J23" s="2"/>
      <c r="K23" s="160"/>
      <c r="L23" s="21"/>
      <c r="M23" s="160"/>
      <c r="N23" s="2"/>
      <c r="P23" s="160"/>
    </row>
    <row r="24" spans="2:18" x14ac:dyDescent="0.2">
      <c r="B24" s="43"/>
      <c r="C24" s="62">
        <v>8</v>
      </c>
      <c r="D24" s="158">
        <f t="shared" si="4"/>
        <v>2462529.0667326599</v>
      </c>
      <c r="E24" s="158">
        <f t="shared" si="3"/>
        <v>16786.664652479867</v>
      </c>
      <c r="F24" s="158">
        <f t="shared" si="2"/>
        <v>13338.699111468575</v>
      </c>
      <c r="G24" s="158">
        <f t="shared" si="0"/>
        <v>3447.9655410112919</v>
      </c>
      <c r="H24" s="159">
        <f t="shared" si="1"/>
        <v>2459081.1011916487</v>
      </c>
      <c r="J24" s="2"/>
      <c r="K24" s="160"/>
      <c r="L24" s="21"/>
      <c r="M24" s="160"/>
      <c r="N24" s="2"/>
      <c r="P24" s="160"/>
    </row>
    <row r="25" spans="2:18" x14ac:dyDescent="0.2">
      <c r="B25" s="43"/>
      <c r="C25" s="62">
        <v>9</v>
      </c>
      <c r="D25" s="158">
        <f t="shared" si="4"/>
        <v>2459081.1011916487</v>
      </c>
      <c r="E25" s="158">
        <f t="shared" si="3"/>
        <v>16786.664652479867</v>
      </c>
      <c r="F25" s="158">
        <f t="shared" si="2"/>
        <v>13320.022631454765</v>
      </c>
      <c r="G25" s="158">
        <f t="shared" si="0"/>
        <v>3466.6420210251017</v>
      </c>
      <c r="H25" s="159">
        <f t="shared" si="1"/>
        <v>2455614.4591706237</v>
      </c>
      <c r="J25" s="2"/>
      <c r="K25" s="160"/>
      <c r="L25" s="21"/>
      <c r="M25" s="160"/>
      <c r="N25" s="2"/>
      <c r="P25" s="160"/>
    </row>
    <row r="26" spans="2:18" x14ac:dyDescent="0.2">
      <c r="B26" s="43"/>
      <c r="C26" s="62">
        <v>10</v>
      </c>
      <c r="D26" s="158">
        <f t="shared" si="4"/>
        <v>2455614.4591706237</v>
      </c>
      <c r="E26" s="158">
        <f t="shared" si="3"/>
        <v>16786.664652479867</v>
      </c>
      <c r="F26" s="158">
        <f t="shared" si="2"/>
        <v>13301.244987174212</v>
      </c>
      <c r="G26" s="158">
        <f t="shared" si="0"/>
        <v>3485.4196653056551</v>
      </c>
      <c r="H26" s="159">
        <f t="shared" si="1"/>
        <v>2452129.0395053178</v>
      </c>
      <c r="J26" s="2"/>
      <c r="K26" s="160"/>
      <c r="L26" s="21"/>
      <c r="M26" s="160"/>
      <c r="N26" s="2"/>
      <c r="P26" s="160"/>
    </row>
    <row r="27" spans="2:18" x14ac:dyDescent="0.2">
      <c r="B27" s="43"/>
      <c r="C27" s="62">
        <v>11</v>
      </c>
      <c r="D27" s="158">
        <f t="shared" si="4"/>
        <v>2452129.0395053178</v>
      </c>
      <c r="E27" s="158">
        <f t="shared" si="3"/>
        <v>16786.664652479867</v>
      </c>
      <c r="F27" s="158">
        <f t="shared" si="2"/>
        <v>13282.365630653805</v>
      </c>
      <c r="G27" s="158">
        <f t="shared" si="0"/>
        <v>3504.299021826062</v>
      </c>
      <c r="H27" s="159">
        <f t="shared" si="1"/>
        <v>2448624.7404834917</v>
      </c>
      <c r="J27" s="2"/>
      <c r="K27" s="160"/>
      <c r="L27" s="21"/>
      <c r="M27" s="160"/>
      <c r="N27" s="2"/>
      <c r="P27" s="160"/>
    </row>
    <row r="28" spans="2:18" x14ac:dyDescent="0.2">
      <c r="B28" s="49">
        <v>1</v>
      </c>
      <c r="C28" s="161">
        <v>12</v>
      </c>
      <c r="D28" s="172">
        <f t="shared" si="4"/>
        <v>2448624.7404834917</v>
      </c>
      <c r="E28" s="172">
        <f t="shared" si="3"/>
        <v>16786.664652479867</v>
      </c>
      <c r="F28" s="172">
        <f t="shared" si="2"/>
        <v>13263.384010952246</v>
      </c>
      <c r="G28" s="172">
        <f t="shared" si="0"/>
        <v>3523.2806415276209</v>
      </c>
      <c r="H28" s="173">
        <f t="shared" si="1"/>
        <v>2445101.4598419638</v>
      </c>
      <c r="I28" s="162">
        <f>+SUM(G17:G28)+SUM(F17:F28)</f>
        <v>201439.97582975842</v>
      </c>
      <c r="J28" s="2"/>
      <c r="K28" s="160"/>
      <c r="L28" s="21"/>
      <c r="M28" s="160"/>
      <c r="N28" s="2"/>
      <c r="P28" s="160"/>
    </row>
    <row r="29" spans="2:18" x14ac:dyDescent="0.2">
      <c r="B29" s="43"/>
      <c r="C29" s="62">
        <v>13</v>
      </c>
      <c r="D29" s="158">
        <f t="shared" si="4"/>
        <v>2445101.4598419638</v>
      </c>
      <c r="E29" s="158">
        <f t="shared" si="3"/>
        <v>16786.664652479867</v>
      </c>
      <c r="F29" s="158">
        <f t="shared" si="2"/>
        <v>13244.299574143972</v>
      </c>
      <c r="G29" s="158">
        <f t="shared" si="0"/>
        <v>3542.3650783358953</v>
      </c>
      <c r="H29" s="159">
        <f t="shared" si="1"/>
        <v>2441559.0947636277</v>
      </c>
      <c r="J29" s="2"/>
      <c r="K29" s="160"/>
      <c r="L29" s="21"/>
      <c r="M29" s="160"/>
      <c r="N29" s="2"/>
      <c r="P29" s="160"/>
    </row>
    <row r="30" spans="2:18" x14ac:dyDescent="0.2">
      <c r="B30" s="43"/>
      <c r="C30" s="62">
        <v>14</v>
      </c>
      <c r="D30" s="158">
        <f t="shared" si="4"/>
        <v>2441559.0947636277</v>
      </c>
      <c r="E30" s="158">
        <f t="shared" si="3"/>
        <v>16786.664652479867</v>
      </c>
      <c r="F30" s="158">
        <f t="shared" si="2"/>
        <v>13225.111763302984</v>
      </c>
      <c r="G30" s="158">
        <f t="shared" si="0"/>
        <v>3561.5528891768827</v>
      </c>
      <c r="H30" s="159">
        <f t="shared" si="1"/>
        <v>2437997.5418744506</v>
      </c>
      <c r="J30" s="2"/>
      <c r="K30" s="160"/>
      <c r="L30" s="21"/>
      <c r="M30" s="160"/>
      <c r="N30" s="2"/>
      <c r="P30" s="160"/>
    </row>
    <row r="31" spans="2:18" x14ac:dyDescent="0.2">
      <c r="B31" s="43"/>
      <c r="C31" s="62">
        <v>15</v>
      </c>
      <c r="D31" s="158">
        <f t="shared" si="4"/>
        <v>2437997.5418744506</v>
      </c>
      <c r="E31" s="158">
        <f t="shared" si="3"/>
        <v>16786.664652479867</v>
      </c>
      <c r="F31" s="158">
        <f t="shared" si="2"/>
        <v>13205.820018486607</v>
      </c>
      <c r="G31" s="158">
        <f t="shared" si="0"/>
        <v>3580.8446339932598</v>
      </c>
      <c r="H31" s="159">
        <f t="shared" si="1"/>
        <v>2434416.6972404574</v>
      </c>
      <c r="J31" s="2"/>
      <c r="K31" s="160"/>
      <c r="L31" s="21"/>
      <c r="M31" s="160"/>
      <c r="N31" s="2"/>
      <c r="P31" s="160"/>
    </row>
    <row r="32" spans="2:18" x14ac:dyDescent="0.2">
      <c r="B32" s="43"/>
      <c r="C32" s="62">
        <v>16</v>
      </c>
      <c r="D32" s="158">
        <f t="shared" si="4"/>
        <v>2434416.6972404574</v>
      </c>
      <c r="E32" s="158">
        <f t="shared" si="3"/>
        <v>16786.664652479867</v>
      </c>
      <c r="F32" s="158">
        <f t="shared" si="2"/>
        <v>13186.423776719144</v>
      </c>
      <c r="G32" s="158">
        <f t="shared" si="0"/>
        <v>3600.2408757607227</v>
      </c>
      <c r="H32" s="159">
        <f t="shared" si="1"/>
        <v>2430816.4563646968</v>
      </c>
      <c r="J32" s="2"/>
      <c r="K32" s="160"/>
      <c r="L32" s="21"/>
      <c r="M32" s="160"/>
      <c r="N32" s="2"/>
      <c r="P32" s="160"/>
    </row>
    <row r="33" spans="2:16" x14ac:dyDescent="0.2">
      <c r="B33" s="43"/>
      <c r="C33" s="62">
        <v>17</v>
      </c>
      <c r="D33" s="158">
        <f t="shared" si="4"/>
        <v>2430816.4563646968</v>
      </c>
      <c r="E33" s="158">
        <f t="shared" si="3"/>
        <v>16786.664652479867</v>
      </c>
      <c r="F33" s="158">
        <f t="shared" si="2"/>
        <v>13166.922471975442</v>
      </c>
      <c r="G33" s="158">
        <f t="shared" si="0"/>
        <v>3619.7421805044251</v>
      </c>
      <c r="H33" s="159">
        <f t="shared" si="1"/>
        <v>2427196.7141841925</v>
      </c>
      <c r="J33" s="2"/>
      <c r="K33" s="160"/>
      <c r="L33" s="21"/>
      <c r="M33" s="160"/>
      <c r="N33" s="2"/>
      <c r="P33" s="160"/>
    </row>
    <row r="34" spans="2:16" x14ac:dyDescent="0.2">
      <c r="B34" s="43"/>
      <c r="C34" s="62">
        <v>18</v>
      </c>
      <c r="D34" s="158">
        <f t="shared" si="4"/>
        <v>2427196.7141841925</v>
      </c>
      <c r="E34" s="158">
        <f t="shared" si="3"/>
        <v>16786.664652479867</v>
      </c>
      <c r="F34" s="158">
        <f t="shared" si="2"/>
        <v>13147.315535164376</v>
      </c>
      <c r="G34" s="158">
        <f t="shared" si="0"/>
        <v>3639.3491173154907</v>
      </c>
      <c r="H34" s="159">
        <f t="shared" si="1"/>
        <v>2423557.3650668771</v>
      </c>
      <c r="J34" s="2"/>
      <c r="K34" s="160"/>
      <c r="L34" s="21"/>
      <c r="M34" s="160"/>
      <c r="N34" s="2"/>
      <c r="P34" s="160"/>
    </row>
    <row r="35" spans="2:16" x14ac:dyDescent="0.2">
      <c r="B35" s="43"/>
      <c r="C35" s="62">
        <v>19</v>
      </c>
      <c r="D35" s="158">
        <f t="shared" si="4"/>
        <v>2423557.3650668771</v>
      </c>
      <c r="E35" s="158">
        <f t="shared" si="3"/>
        <v>16786.664652479867</v>
      </c>
      <c r="F35" s="158">
        <f t="shared" si="2"/>
        <v>13127.602394112251</v>
      </c>
      <c r="G35" s="158">
        <f t="shared" si="0"/>
        <v>3659.0622583676159</v>
      </c>
      <c r="H35" s="159">
        <f t="shared" si="1"/>
        <v>2419898.3028085097</v>
      </c>
      <c r="J35" s="2"/>
      <c r="K35" s="160"/>
      <c r="L35" s="21"/>
      <c r="M35" s="160"/>
      <c r="N35" s="2"/>
      <c r="P35" s="160"/>
    </row>
    <row r="36" spans="2:16" x14ac:dyDescent="0.2">
      <c r="B36" s="43"/>
      <c r="C36" s="62">
        <v>20</v>
      </c>
      <c r="D36" s="158">
        <f t="shared" si="4"/>
        <v>2419898.3028085097</v>
      </c>
      <c r="E36" s="158">
        <f t="shared" si="3"/>
        <v>16786.664652479867</v>
      </c>
      <c r="F36" s="158">
        <f t="shared" si="2"/>
        <v>13107.782473546094</v>
      </c>
      <c r="G36" s="158">
        <f t="shared" si="0"/>
        <v>3678.8821789337726</v>
      </c>
      <c r="H36" s="159">
        <f t="shared" si="1"/>
        <v>2416219.4206295758</v>
      </c>
      <c r="J36" s="2"/>
      <c r="K36" s="160"/>
      <c r="L36" s="21"/>
      <c r="M36" s="160"/>
      <c r="N36" s="2"/>
      <c r="P36" s="160"/>
    </row>
    <row r="37" spans="2:16" x14ac:dyDescent="0.2">
      <c r="B37" s="43"/>
      <c r="C37" s="62">
        <v>21</v>
      </c>
      <c r="D37" s="158">
        <f t="shared" si="4"/>
        <v>2416219.4206295758</v>
      </c>
      <c r="E37" s="158">
        <f t="shared" si="3"/>
        <v>16786.664652479867</v>
      </c>
      <c r="F37" s="158">
        <f t="shared" si="2"/>
        <v>13087.855195076869</v>
      </c>
      <c r="G37" s="158">
        <f t="shared" si="0"/>
        <v>3698.8094574029983</v>
      </c>
      <c r="H37" s="159">
        <f t="shared" si="1"/>
        <v>2412520.6111721727</v>
      </c>
      <c r="J37" s="2"/>
      <c r="K37" s="160"/>
      <c r="L37" s="21"/>
      <c r="M37" s="160"/>
      <c r="N37" s="2"/>
      <c r="P37" s="160"/>
    </row>
    <row r="38" spans="2:16" x14ac:dyDescent="0.2">
      <c r="B38" s="43"/>
      <c r="C38" s="62">
        <v>22</v>
      </c>
      <c r="D38" s="158">
        <f t="shared" si="4"/>
        <v>2412520.6111721727</v>
      </c>
      <c r="E38" s="158">
        <f t="shared" si="3"/>
        <v>16786.664652479867</v>
      </c>
      <c r="F38" s="158">
        <f t="shared" si="2"/>
        <v>13067.819977182602</v>
      </c>
      <c r="G38" s="158">
        <f t="shared" si="0"/>
        <v>3718.844675297265</v>
      </c>
      <c r="H38" s="159">
        <f t="shared" si="1"/>
        <v>2408801.7664968753</v>
      </c>
      <c r="J38" s="2"/>
      <c r="K38" s="160"/>
      <c r="L38" s="21"/>
      <c r="M38" s="160"/>
      <c r="N38" s="2"/>
      <c r="P38" s="160"/>
    </row>
    <row r="39" spans="2:16" x14ac:dyDescent="0.2">
      <c r="B39" s="43"/>
      <c r="C39" s="62">
        <v>23</v>
      </c>
      <c r="D39" s="158">
        <f t="shared" si="4"/>
        <v>2408801.7664968753</v>
      </c>
      <c r="E39" s="158">
        <f t="shared" si="3"/>
        <v>16786.664652479867</v>
      </c>
      <c r="F39" s="158">
        <f t="shared" si="2"/>
        <v>13047.676235191408</v>
      </c>
      <c r="G39" s="158">
        <f t="shared" si="0"/>
        <v>3738.9884172884595</v>
      </c>
      <c r="H39" s="159">
        <f t="shared" si="1"/>
        <v>2405062.778079587</v>
      </c>
      <c r="J39" s="2"/>
      <c r="K39" s="160"/>
      <c r="L39" s="21"/>
      <c r="M39" s="160"/>
      <c r="N39" s="2"/>
      <c r="P39" s="160"/>
    </row>
    <row r="40" spans="2:16" x14ac:dyDescent="0.2">
      <c r="B40" s="49">
        <v>2</v>
      </c>
      <c r="C40" s="161">
        <v>24</v>
      </c>
      <c r="D40" s="172">
        <f t="shared" si="4"/>
        <v>2405062.778079587</v>
      </c>
      <c r="E40" s="172">
        <f t="shared" si="3"/>
        <v>16786.664652479867</v>
      </c>
      <c r="F40" s="172">
        <f t="shared" si="2"/>
        <v>13027.423381264431</v>
      </c>
      <c r="G40" s="172">
        <f t="shared" si="0"/>
        <v>3759.2412712154364</v>
      </c>
      <c r="H40" s="173">
        <f t="shared" si="1"/>
        <v>2401303.5368083715</v>
      </c>
      <c r="I40" s="162">
        <f>+SUM(G29:G40)+SUM(F29:F40)</f>
        <v>201439.97582975839</v>
      </c>
      <c r="J40" s="2"/>
      <c r="K40" s="160"/>
      <c r="L40" s="21"/>
      <c r="M40" s="160"/>
      <c r="N40" s="2"/>
      <c r="P40" s="160"/>
    </row>
    <row r="41" spans="2:16" x14ac:dyDescent="0.2">
      <c r="B41" s="43"/>
      <c r="C41" s="62">
        <v>25</v>
      </c>
      <c r="D41" s="158">
        <f t="shared" si="4"/>
        <v>2401303.5368083715</v>
      </c>
      <c r="E41" s="158">
        <f t="shared" si="3"/>
        <v>16786.664652479867</v>
      </c>
      <c r="F41" s="158">
        <f t="shared" si="2"/>
        <v>13007.060824378679</v>
      </c>
      <c r="G41" s="158">
        <f t="shared" si="0"/>
        <v>3779.6038281011879</v>
      </c>
      <c r="H41" s="159">
        <f t="shared" si="1"/>
        <v>2397523.9329802701</v>
      </c>
      <c r="J41" s="2"/>
      <c r="K41" s="160"/>
      <c r="L41" s="21"/>
      <c r="M41" s="160"/>
      <c r="N41" s="2"/>
      <c r="P41" s="160"/>
    </row>
    <row r="42" spans="2:16" x14ac:dyDescent="0.2">
      <c r="B42" s="43"/>
      <c r="C42" s="62">
        <v>26</v>
      </c>
      <c r="D42" s="158">
        <f t="shared" si="4"/>
        <v>2397523.9329802701</v>
      </c>
      <c r="E42" s="158">
        <f t="shared" si="3"/>
        <v>16786.664652479867</v>
      </c>
      <c r="F42" s="158">
        <f t="shared" si="2"/>
        <v>12986.587970309796</v>
      </c>
      <c r="G42" s="158">
        <f t="shared" si="0"/>
        <v>3800.0766821700709</v>
      </c>
      <c r="H42" s="159">
        <f t="shared" si="1"/>
        <v>2393723.8562981002</v>
      </c>
    </row>
    <row r="43" spans="2:16" x14ac:dyDescent="0.2">
      <c r="B43" s="43"/>
      <c r="C43" s="62">
        <v>27</v>
      </c>
      <c r="D43" s="158">
        <f t="shared" si="4"/>
        <v>2393723.8562981002</v>
      </c>
      <c r="E43" s="158">
        <f t="shared" si="3"/>
        <v>16786.664652479867</v>
      </c>
      <c r="F43" s="158">
        <f t="shared" si="2"/>
        <v>12966.00422161471</v>
      </c>
      <c r="G43" s="158">
        <f t="shared" si="0"/>
        <v>3820.6604308651567</v>
      </c>
      <c r="H43" s="159">
        <f t="shared" si="1"/>
        <v>2389903.1958672348</v>
      </c>
    </row>
    <row r="44" spans="2:16" x14ac:dyDescent="0.2">
      <c r="B44" s="43"/>
      <c r="C44" s="62">
        <v>28</v>
      </c>
      <c r="D44" s="158">
        <f t="shared" si="4"/>
        <v>2389903.1958672348</v>
      </c>
      <c r="E44" s="158">
        <f t="shared" si="3"/>
        <v>16786.664652479867</v>
      </c>
      <c r="F44" s="158">
        <f t="shared" si="2"/>
        <v>12945.30897761419</v>
      </c>
      <c r="G44" s="158">
        <f t="shared" si="0"/>
        <v>3841.3556748656774</v>
      </c>
      <c r="H44" s="159">
        <f t="shared" si="1"/>
        <v>2386061.8401923692</v>
      </c>
    </row>
    <row r="45" spans="2:16" x14ac:dyDescent="0.2">
      <c r="B45" s="43"/>
      <c r="C45" s="62">
        <v>29</v>
      </c>
      <c r="D45" s="158">
        <f t="shared" si="4"/>
        <v>2386061.8401923692</v>
      </c>
      <c r="E45" s="158">
        <f t="shared" si="3"/>
        <v>16786.664652479867</v>
      </c>
      <c r="F45" s="158">
        <f t="shared" si="2"/>
        <v>12924.501634375334</v>
      </c>
      <c r="G45" s="158">
        <f t="shared" si="0"/>
        <v>3862.163018104533</v>
      </c>
      <c r="H45" s="159">
        <f t="shared" si="1"/>
        <v>2382199.6771742646</v>
      </c>
    </row>
    <row r="46" spans="2:16" x14ac:dyDescent="0.2">
      <c r="B46" s="43"/>
      <c r="C46" s="62">
        <v>30</v>
      </c>
      <c r="D46" s="158">
        <f t="shared" si="4"/>
        <v>2382199.6771742646</v>
      </c>
      <c r="E46" s="158">
        <f t="shared" si="3"/>
        <v>16786.664652479867</v>
      </c>
      <c r="F46" s="158">
        <f t="shared" si="2"/>
        <v>12903.581584693933</v>
      </c>
      <c r="G46" s="158">
        <f t="shared" si="0"/>
        <v>3883.083067785934</v>
      </c>
      <c r="H46" s="159">
        <f t="shared" si="1"/>
        <v>2378316.5941064786</v>
      </c>
    </row>
    <row r="47" spans="2:16" x14ac:dyDescent="0.2">
      <c r="B47" s="43"/>
      <c r="C47" s="62">
        <v>31</v>
      </c>
      <c r="D47" s="158">
        <f t="shared" si="4"/>
        <v>2378316.5941064786</v>
      </c>
      <c r="E47" s="158">
        <f t="shared" si="3"/>
        <v>16786.664652479867</v>
      </c>
      <c r="F47" s="158">
        <f t="shared" si="2"/>
        <v>12882.548218076759</v>
      </c>
      <c r="G47" s="158">
        <f t="shared" si="0"/>
        <v>3904.1164344031076</v>
      </c>
      <c r="H47" s="159">
        <f t="shared" si="1"/>
        <v>2374412.4776720754</v>
      </c>
    </row>
    <row r="48" spans="2:16" x14ac:dyDescent="0.2">
      <c r="B48" s="43"/>
      <c r="C48" s="62">
        <v>32</v>
      </c>
      <c r="D48" s="158">
        <f t="shared" si="4"/>
        <v>2374412.4776720754</v>
      </c>
      <c r="E48" s="158">
        <f t="shared" si="3"/>
        <v>16786.664652479867</v>
      </c>
      <c r="F48" s="158">
        <f t="shared" si="2"/>
        <v>12861.400920723741</v>
      </c>
      <c r="G48" s="158">
        <f t="shared" si="0"/>
        <v>3925.2637317561257</v>
      </c>
      <c r="H48" s="159">
        <f t="shared" si="1"/>
        <v>2370487.2139403191</v>
      </c>
    </row>
    <row r="49" spans="2:9" x14ac:dyDescent="0.2">
      <c r="B49" s="43"/>
      <c r="C49" s="62">
        <v>33</v>
      </c>
      <c r="D49" s="158">
        <f t="shared" si="4"/>
        <v>2370487.2139403191</v>
      </c>
      <c r="E49" s="158">
        <f t="shared" si="3"/>
        <v>16786.664652479867</v>
      </c>
      <c r="F49" s="158">
        <f t="shared" si="2"/>
        <v>12840.139075510062</v>
      </c>
      <c r="G49" s="158">
        <f t="shared" si="0"/>
        <v>3946.5255769698051</v>
      </c>
      <c r="H49" s="159">
        <f t="shared" si="1"/>
        <v>2366540.6883633495</v>
      </c>
    </row>
    <row r="50" spans="2:9" x14ac:dyDescent="0.2">
      <c r="B50" s="43"/>
      <c r="C50" s="62">
        <v>34</v>
      </c>
      <c r="D50" s="158">
        <f t="shared" si="4"/>
        <v>2366540.6883633495</v>
      </c>
      <c r="E50" s="158">
        <f t="shared" si="3"/>
        <v>16786.664652479867</v>
      </c>
      <c r="F50" s="158">
        <f t="shared" si="2"/>
        <v>12818.762061968144</v>
      </c>
      <c r="G50" s="158">
        <f t="shared" si="0"/>
        <v>3967.9025905117232</v>
      </c>
      <c r="H50" s="159">
        <f t="shared" si="1"/>
        <v>2362572.7857728377</v>
      </c>
    </row>
    <row r="51" spans="2:9" x14ac:dyDescent="0.2">
      <c r="B51" s="43"/>
      <c r="C51" s="62">
        <v>35</v>
      </c>
      <c r="D51" s="158">
        <f t="shared" si="4"/>
        <v>2362572.7857728377</v>
      </c>
      <c r="E51" s="158">
        <f t="shared" si="3"/>
        <v>16786.664652479867</v>
      </c>
      <c r="F51" s="158">
        <f t="shared" si="2"/>
        <v>12797.269256269537</v>
      </c>
      <c r="G51" s="158">
        <f t="shared" si="0"/>
        <v>3989.3953962103296</v>
      </c>
      <c r="H51" s="159">
        <f t="shared" si="1"/>
        <v>2358583.3903766274</v>
      </c>
    </row>
    <row r="52" spans="2:9" x14ac:dyDescent="0.2">
      <c r="B52" s="49">
        <v>3</v>
      </c>
      <c r="C52" s="161">
        <v>36</v>
      </c>
      <c r="D52" s="172">
        <f t="shared" si="4"/>
        <v>2358583.3903766274</v>
      </c>
      <c r="E52" s="172">
        <f t="shared" si="3"/>
        <v>16786.664652479867</v>
      </c>
      <c r="F52" s="172">
        <f t="shared" si="2"/>
        <v>12775.660031206733</v>
      </c>
      <c r="G52" s="172">
        <f t="shared" si="0"/>
        <v>4011.004621273134</v>
      </c>
      <c r="H52" s="173">
        <f t="shared" si="1"/>
        <v>2354572.3857553545</v>
      </c>
      <c r="I52" s="162">
        <f>+SUM(G41:G52)+SUM(F41:F52)</f>
        <v>201439.97582975839</v>
      </c>
    </row>
    <row r="53" spans="2:9" x14ac:dyDescent="0.2">
      <c r="B53" s="43"/>
      <c r="C53" s="62">
        <v>37</v>
      </c>
      <c r="D53" s="158">
        <f t="shared" si="4"/>
        <v>2354572.3857553545</v>
      </c>
      <c r="E53" s="158">
        <f t="shared" si="3"/>
        <v>16786.664652479867</v>
      </c>
      <c r="F53" s="158">
        <f t="shared" si="2"/>
        <v>12753.933756174838</v>
      </c>
      <c r="G53" s="158">
        <f t="shared" si="0"/>
        <v>4032.7308963050291</v>
      </c>
      <c r="H53" s="159">
        <f t="shared" si="1"/>
        <v>2350539.6548590497</v>
      </c>
    </row>
    <row r="54" spans="2:9" x14ac:dyDescent="0.2">
      <c r="B54" s="43"/>
      <c r="C54" s="62">
        <v>38</v>
      </c>
      <c r="D54" s="158">
        <f t="shared" si="4"/>
        <v>2350539.6548590497</v>
      </c>
      <c r="E54" s="158">
        <f t="shared" si="3"/>
        <v>16786.664652479867</v>
      </c>
      <c r="F54" s="158">
        <f t="shared" si="2"/>
        <v>12732.089797153187</v>
      </c>
      <c r="G54" s="158">
        <f t="shared" si="0"/>
        <v>4054.5748553266803</v>
      </c>
      <c r="H54" s="159">
        <f t="shared" si="1"/>
        <v>2346485.080003723</v>
      </c>
    </row>
    <row r="55" spans="2:9" x14ac:dyDescent="0.2">
      <c r="B55" s="43"/>
      <c r="C55" s="62">
        <v>39</v>
      </c>
      <c r="D55" s="158">
        <f t="shared" si="4"/>
        <v>2346485.080003723</v>
      </c>
      <c r="E55" s="158">
        <f t="shared" si="3"/>
        <v>16786.664652479867</v>
      </c>
      <c r="F55" s="158">
        <f t="shared" si="2"/>
        <v>12710.127516686833</v>
      </c>
      <c r="G55" s="158">
        <f t="shared" si="0"/>
        <v>4076.5371357930344</v>
      </c>
      <c r="H55" s="159">
        <f t="shared" si="1"/>
        <v>2342408.5428679301</v>
      </c>
    </row>
    <row r="56" spans="2:9" x14ac:dyDescent="0.2">
      <c r="B56" s="43"/>
      <c r="C56" s="62">
        <v>40</v>
      </c>
      <c r="D56" s="158">
        <f t="shared" si="4"/>
        <v>2342408.5428679301</v>
      </c>
      <c r="E56" s="158">
        <f t="shared" si="3"/>
        <v>16786.664652479867</v>
      </c>
      <c r="F56" s="158">
        <f t="shared" si="2"/>
        <v>12688.046273867956</v>
      </c>
      <c r="G56" s="158">
        <f t="shared" si="0"/>
        <v>4098.6183786119109</v>
      </c>
      <c r="H56" s="159">
        <f t="shared" si="1"/>
        <v>2338309.9244893184</v>
      </c>
    </row>
    <row r="57" spans="2:9" x14ac:dyDescent="0.2">
      <c r="B57" s="43"/>
      <c r="C57" s="62">
        <v>41</v>
      </c>
      <c r="D57" s="158">
        <f t="shared" si="4"/>
        <v>2338309.9244893184</v>
      </c>
      <c r="E57" s="158">
        <f t="shared" si="3"/>
        <v>16786.664652479867</v>
      </c>
      <c r="F57" s="158">
        <f t="shared" si="2"/>
        <v>12665.845424317142</v>
      </c>
      <c r="G57" s="158">
        <f t="shared" si="0"/>
        <v>4120.8192281627253</v>
      </c>
      <c r="H57" s="159">
        <f t="shared" si="1"/>
        <v>2334189.1052611559</v>
      </c>
    </row>
    <row r="58" spans="2:9" x14ac:dyDescent="0.2">
      <c r="B58" s="43"/>
      <c r="C58" s="62">
        <v>42</v>
      </c>
      <c r="D58" s="158">
        <f t="shared" si="4"/>
        <v>2334189.1052611559</v>
      </c>
      <c r="E58" s="158">
        <f t="shared" si="3"/>
        <v>16786.664652479867</v>
      </c>
      <c r="F58" s="158">
        <f t="shared" si="2"/>
        <v>12643.524320164595</v>
      </c>
      <c r="G58" s="158">
        <f t="shared" si="0"/>
        <v>4143.1403323152717</v>
      </c>
      <c r="H58" s="159">
        <f t="shared" si="1"/>
        <v>2330045.9649288408</v>
      </c>
    </row>
    <row r="59" spans="2:9" x14ac:dyDescent="0.2">
      <c r="B59" s="43"/>
      <c r="C59" s="62">
        <v>43</v>
      </c>
      <c r="D59" s="158">
        <f t="shared" si="4"/>
        <v>2330045.9649288408</v>
      </c>
      <c r="E59" s="158">
        <f t="shared" si="3"/>
        <v>16786.664652479867</v>
      </c>
      <c r="F59" s="158">
        <f t="shared" si="2"/>
        <v>12621.082310031221</v>
      </c>
      <c r="G59" s="158">
        <f t="shared" si="0"/>
        <v>4165.5823424486462</v>
      </c>
      <c r="H59" s="159">
        <f t="shared" si="1"/>
        <v>2325880.3825863921</v>
      </c>
      <c r="I59" s="162"/>
    </row>
    <row r="60" spans="2:9" x14ac:dyDescent="0.2">
      <c r="B60" s="43"/>
      <c r="C60" s="62">
        <v>44</v>
      </c>
      <c r="D60" s="158">
        <f t="shared" si="4"/>
        <v>2325880.3825863921</v>
      </c>
      <c r="E60" s="158">
        <f t="shared" si="3"/>
        <v>16786.664652479867</v>
      </c>
      <c r="F60" s="158">
        <f t="shared" si="2"/>
        <v>12598.518739009623</v>
      </c>
      <c r="G60" s="158">
        <f t="shared" si="0"/>
        <v>4188.1459134702436</v>
      </c>
      <c r="H60" s="159">
        <f t="shared" si="1"/>
        <v>2321692.236672922</v>
      </c>
    </row>
    <row r="61" spans="2:9" x14ac:dyDescent="0.2">
      <c r="B61" s="43"/>
      <c r="C61" s="62">
        <v>45</v>
      </c>
      <c r="D61" s="158">
        <f t="shared" si="4"/>
        <v>2321692.236672922</v>
      </c>
      <c r="E61" s="158">
        <f t="shared" si="3"/>
        <v>16786.664652479867</v>
      </c>
      <c r="F61" s="158">
        <f t="shared" si="2"/>
        <v>12575.832948644995</v>
      </c>
      <c r="G61" s="158">
        <f t="shared" si="0"/>
        <v>4210.8317038348723</v>
      </c>
      <c r="H61" s="159">
        <f t="shared" si="1"/>
        <v>2317481.4049690873</v>
      </c>
    </row>
    <row r="62" spans="2:9" x14ac:dyDescent="0.2">
      <c r="B62" s="43"/>
      <c r="C62" s="62">
        <v>46</v>
      </c>
      <c r="D62" s="158">
        <f t="shared" si="4"/>
        <v>2317481.4049690873</v>
      </c>
      <c r="E62" s="158">
        <f t="shared" si="3"/>
        <v>16786.664652479867</v>
      </c>
      <c r="F62" s="158">
        <f t="shared" si="2"/>
        <v>12553.02427691589</v>
      </c>
      <c r="G62" s="158">
        <f t="shared" si="0"/>
        <v>4233.6403755639767</v>
      </c>
      <c r="H62" s="159">
        <f t="shared" si="1"/>
        <v>2313247.7645935235</v>
      </c>
    </row>
    <row r="63" spans="2:9" x14ac:dyDescent="0.2">
      <c r="B63" s="43"/>
      <c r="C63" s="62">
        <v>47</v>
      </c>
      <c r="D63" s="158">
        <f t="shared" si="4"/>
        <v>2313247.7645935235</v>
      </c>
      <c r="E63" s="158">
        <f t="shared" si="3"/>
        <v>16786.664652479867</v>
      </c>
      <c r="F63" s="158">
        <f t="shared" si="2"/>
        <v>12530.092058214919</v>
      </c>
      <c r="G63" s="158">
        <f t="shared" si="0"/>
        <v>4256.5725942649478</v>
      </c>
      <c r="H63" s="159">
        <f t="shared" si="1"/>
        <v>2308991.1919992585</v>
      </c>
    </row>
    <row r="64" spans="2:9" x14ac:dyDescent="0.2">
      <c r="B64" s="49">
        <v>4</v>
      </c>
      <c r="C64" s="161">
        <v>48</v>
      </c>
      <c r="D64" s="172">
        <f t="shared" si="4"/>
        <v>2308991.1919992585</v>
      </c>
      <c r="E64" s="172">
        <f t="shared" si="3"/>
        <v>16786.664652479867</v>
      </c>
      <c r="F64" s="172">
        <f t="shared" si="2"/>
        <v>12507.035623329317</v>
      </c>
      <c r="G64" s="172">
        <f t="shared" si="0"/>
        <v>4279.6290291505502</v>
      </c>
      <c r="H64" s="173">
        <f t="shared" si="1"/>
        <v>2304711.5629701079</v>
      </c>
      <c r="I64" s="162">
        <f>+SUM(G53:G64)+SUM(F53:F64)</f>
        <v>201439.97582975839</v>
      </c>
    </row>
    <row r="65" spans="2:16" x14ac:dyDescent="0.2">
      <c r="B65" s="43"/>
      <c r="C65" s="62">
        <v>49</v>
      </c>
      <c r="D65" s="158">
        <f t="shared" si="4"/>
        <v>2304711.5629701079</v>
      </c>
      <c r="E65" s="158">
        <f t="shared" si="3"/>
        <v>16786.664652479867</v>
      </c>
      <c r="F65" s="158">
        <f t="shared" si="2"/>
        <v>12483.854299421419</v>
      </c>
      <c r="G65" s="158">
        <f t="shared" si="0"/>
        <v>4302.8103530584485</v>
      </c>
      <c r="H65" s="159">
        <f t="shared" si="1"/>
        <v>2300408.7526170495</v>
      </c>
      <c r="I65" s="21"/>
      <c r="J65" s="2"/>
      <c r="K65" s="160"/>
      <c r="L65" s="21"/>
      <c r="M65" s="160"/>
      <c r="N65" s="2"/>
      <c r="P65" s="160"/>
    </row>
    <row r="66" spans="2:16" x14ac:dyDescent="0.2">
      <c r="B66" s="43"/>
      <c r="C66" s="62">
        <v>50</v>
      </c>
      <c r="D66" s="158">
        <f t="shared" si="4"/>
        <v>2300408.7526170495</v>
      </c>
      <c r="E66" s="158">
        <f t="shared" si="3"/>
        <v>16786.664652479867</v>
      </c>
      <c r="F66" s="158">
        <f t="shared" si="2"/>
        <v>12460.547410009018</v>
      </c>
      <c r="G66" s="158">
        <f t="shared" si="0"/>
        <v>4326.1172424708493</v>
      </c>
      <c r="H66" s="159">
        <f t="shared" si="1"/>
        <v>2296082.6353745786</v>
      </c>
    </row>
    <row r="67" spans="2:16" x14ac:dyDescent="0.2">
      <c r="B67" s="43"/>
      <c r="C67" s="62">
        <v>51</v>
      </c>
      <c r="D67" s="158">
        <f t="shared" si="4"/>
        <v>2296082.6353745786</v>
      </c>
      <c r="E67" s="158">
        <f t="shared" si="3"/>
        <v>16786.664652479867</v>
      </c>
      <c r="F67" s="158">
        <f t="shared" si="2"/>
        <v>12437.114274945634</v>
      </c>
      <c r="G67" s="158">
        <f t="shared" si="0"/>
        <v>4349.5503775342331</v>
      </c>
      <c r="H67" s="159">
        <f t="shared" si="1"/>
        <v>2291733.0849970444</v>
      </c>
    </row>
    <row r="68" spans="2:16" x14ac:dyDescent="0.2">
      <c r="B68" s="43"/>
      <c r="C68" s="62">
        <v>52</v>
      </c>
      <c r="D68" s="158">
        <f t="shared" si="4"/>
        <v>2291733.0849970444</v>
      </c>
      <c r="E68" s="158">
        <f t="shared" si="3"/>
        <v>16786.664652479867</v>
      </c>
      <c r="F68" s="158">
        <f t="shared" si="2"/>
        <v>12413.554210400658</v>
      </c>
      <c r="G68" s="158">
        <f t="shared" si="0"/>
        <v>4373.110442079209</v>
      </c>
      <c r="H68" s="159">
        <f t="shared" si="1"/>
        <v>2287359.9745549653</v>
      </c>
    </row>
    <row r="69" spans="2:16" x14ac:dyDescent="0.2">
      <c r="B69" s="43"/>
      <c r="C69" s="62">
        <v>53</v>
      </c>
      <c r="D69" s="158">
        <f t="shared" si="4"/>
        <v>2287359.9745549653</v>
      </c>
      <c r="E69" s="158">
        <f t="shared" si="3"/>
        <v>16786.664652479867</v>
      </c>
      <c r="F69" s="158">
        <f t="shared" si="2"/>
        <v>12389.866528839395</v>
      </c>
      <c r="G69" s="158">
        <f t="shared" si="0"/>
        <v>4396.7981236404721</v>
      </c>
      <c r="H69" s="159">
        <f t="shared" si="1"/>
        <v>2282963.1764313248</v>
      </c>
    </row>
    <row r="70" spans="2:16" x14ac:dyDescent="0.2">
      <c r="B70" s="43"/>
      <c r="C70" s="62">
        <v>54</v>
      </c>
      <c r="D70" s="158">
        <f t="shared" si="4"/>
        <v>2282963.1764313248</v>
      </c>
      <c r="E70" s="158">
        <f t="shared" si="3"/>
        <v>16786.664652479867</v>
      </c>
      <c r="F70" s="158">
        <f t="shared" si="2"/>
        <v>12366.05053900301</v>
      </c>
      <c r="G70" s="158">
        <f t="shared" si="0"/>
        <v>4420.6141134768568</v>
      </c>
      <c r="H70" s="159">
        <f t="shared" si="1"/>
        <v>2278542.5623178477</v>
      </c>
      <c r="I70" s="162"/>
    </row>
    <row r="71" spans="2:16" x14ac:dyDescent="0.2">
      <c r="B71" s="43"/>
      <c r="C71" s="62">
        <v>55</v>
      </c>
      <c r="D71" s="158">
        <f t="shared" si="4"/>
        <v>2278542.5623178477</v>
      </c>
      <c r="E71" s="158">
        <f t="shared" si="3"/>
        <v>16786.664652479867</v>
      </c>
      <c r="F71" s="158">
        <f t="shared" si="2"/>
        <v>12342.105545888342</v>
      </c>
      <c r="G71" s="158">
        <f t="shared" si="0"/>
        <v>4444.5591065915251</v>
      </c>
      <c r="H71" s="159">
        <f t="shared" si="1"/>
        <v>2274098.0032112561</v>
      </c>
      <c r="I71" s="162"/>
    </row>
    <row r="72" spans="2:16" x14ac:dyDescent="0.2">
      <c r="B72" s="43"/>
      <c r="C72" s="62">
        <v>56</v>
      </c>
      <c r="D72" s="158">
        <f t="shared" si="4"/>
        <v>2274098.0032112561</v>
      </c>
      <c r="E72" s="158">
        <f t="shared" si="3"/>
        <v>16786.664652479867</v>
      </c>
      <c r="F72" s="158">
        <f t="shared" si="2"/>
        <v>12318.030850727639</v>
      </c>
      <c r="G72" s="158">
        <f t="shared" si="0"/>
        <v>4468.6338017522285</v>
      </c>
      <c r="H72" s="159">
        <f t="shared" si="1"/>
        <v>2269629.3694095039</v>
      </c>
    </row>
    <row r="73" spans="2:16" x14ac:dyDescent="0.2">
      <c r="B73" s="43"/>
      <c r="C73" s="62">
        <v>57</v>
      </c>
      <c r="D73" s="158">
        <f t="shared" si="4"/>
        <v>2269629.3694095039</v>
      </c>
      <c r="E73" s="158">
        <f t="shared" si="3"/>
        <v>16786.664652479867</v>
      </c>
      <c r="F73" s="158">
        <f t="shared" si="2"/>
        <v>12293.825750968146</v>
      </c>
      <c r="G73" s="158">
        <f t="shared" si="0"/>
        <v>4492.8389015117209</v>
      </c>
      <c r="H73" s="159">
        <f t="shared" si="1"/>
        <v>2265136.530507992</v>
      </c>
    </row>
    <row r="74" spans="2:16" x14ac:dyDescent="0.2">
      <c r="B74" s="43"/>
      <c r="C74" s="62">
        <v>58</v>
      </c>
      <c r="D74" s="158">
        <f t="shared" si="4"/>
        <v>2265136.530507992</v>
      </c>
      <c r="E74" s="158">
        <f t="shared" si="3"/>
        <v>16786.664652479867</v>
      </c>
      <c r="F74" s="158">
        <f t="shared" si="2"/>
        <v>12269.489540251623</v>
      </c>
      <c r="G74" s="158">
        <f t="shared" si="0"/>
        <v>4517.175112228244</v>
      </c>
      <c r="H74" s="159">
        <f t="shared" si="1"/>
        <v>2260619.3553957636</v>
      </c>
    </row>
    <row r="75" spans="2:16" x14ac:dyDescent="0.2">
      <c r="B75" s="43"/>
      <c r="C75" s="62">
        <v>59</v>
      </c>
      <c r="D75" s="158">
        <f t="shared" si="4"/>
        <v>2260619.3553957636</v>
      </c>
      <c r="E75" s="158">
        <f t="shared" si="3"/>
        <v>16786.664652479867</v>
      </c>
      <c r="F75" s="158">
        <f t="shared" si="2"/>
        <v>12245.02150839372</v>
      </c>
      <c r="G75" s="158">
        <f t="shared" si="0"/>
        <v>4541.643144086147</v>
      </c>
      <c r="H75" s="159">
        <f t="shared" si="1"/>
        <v>2256077.7122516776</v>
      </c>
    </row>
    <row r="76" spans="2:16" x14ac:dyDescent="0.2">
      <c r="B76" s="49">
        <v>5</v>
      </c>
      <c r="C76" s="161">
        <v>60</v>
      </c>
      <c r="D76" s="172">
        <f t="shared" si="4"/>
        <v>2256077.7122516776</v>
      </c>
      <c r="E76" s="172">
        <f t="shared" si="3"/>
        <v>16786.664652479867</v>
      </c>
      <c r="F76" s="172">
        <f t="shared" si="2"/>
        <v>12220.420941363254</v>
      </c>
      <c r="G76" s="172">
        <f t="shared" si="0"/>
        <v>4566.2437111166128</v>
      </c>
      <c r="H76" s="173">
        <f t="shared" si="1"/>
        <v>2251511.4685405609</v>
      </c>
      <c r="I76" s="162">
        <f>+SUM(G65:G76)+SUM(F65:F76)</f>
        <v>201439.97582975839</v>
      </c>
    </row>
    <row r="77" spans="2:16" x14ac:dyDescent="0.2">
      <c r="B77" s="43"/>
      <c r="C77" s="62">
        <v>61</v>
      </c>
      <c r="D77" s="158">
        <f t="shared" si="4"/>
        <v>2251511.4685405609</v>
      </c>
      <c r="E77" s="158">
        <f t="shared" si="3"/>
        <v>16786.664652479867</v>
      </c>
      <c r="F77" s="158">
        <f t="shared" si="2"/>
        <v>12195.687121261371</v>
      </c>
      <c r="G77" s="158">
        <f t="shared" si="0"/>
        <v>4590.9775312184956</v>
      </c>
      <c r="H77" s="159">
        <f t="shared" si="1"/>
        <v>2246920.4910093425</v>
      </c>
    </row>
    <row r="78" spans="2:16" x14ac:dyDescent="0.2">
      <c r="B78" s="43"/>
      <c r="C78" s="62">
        <v>62</v>
      </c>
      <c r="D78" s="158">
        <f t="shared" si="4"/>
        <v>2246920.4910093425</v>
      </c>
      <c r="E78" s="158">
        <f t="shared" si="3"/>
        <v>16786.664652479867</v>
      </c>
      <c r="F78" s="158">
        <f t="shared" si="2"/>
        <v>12170.819326300605</v>
      </c>
      <c r="G78" s="158">
        <f t="shared" si="0"/>
        <v>4615.845326179262</v>
      </c>
      <c r="H78" s="159">
        <f t="shared" si="1"/>
        <v>2242304.6456831633</v>
      </c>
    </row>
    <row r="79" spans="2:16" x14ac:dyDescent="0.2">
      <c r="B79" s="43"/>
      <c r="C79" s="62">
        <v>63</v>
      </c>
      <c r="D79" s="158">
        <f t="shared" si="4"/>
        <v>2242304.6456831633</v>
      </c>
      <c r="E79" s="158">
        <f t="shared" si="3"/>
        <v>16786.664652479867</v>
      </c>
      <c r="F79" s="158">
        <f t="shared" si="2"/>
        <v>12145.816830783802</v>
      </c>
      <c r="G79" s="158">
        <f t="shared" si="0"/>
        <v>4640.8478216960648</v>
      </c>
      <c r="H79" s="159">
        <f t="shared" si="1"/>
        <v>2237663.7978614671</v>
      </c>
    </row>
    <row r="80" spans="2:16" x14ac:dyDescent="0.2">
      <c r="B80" s="43"/>
      <c r="C80" s="62">
        <v>64</v>
      </c>
      <c r="D80" s="158">
        <f t="shared" si="4"/>
        <v>2237663.7978614671</v>
      </c>
      <c r="E80" s="158">
        <f t="shared" si="3"/>
        <v>16786.664652479867</v>
      </c>
      <c r="F80" s="158">
        <f t="shared" si="2"/>
        <v>12120.678905082947</v>
      </c>
      <c r="G80" s="158">
        <f t="shared" si="0"/>
        <v>4665.9857473969205</v>
      </c>
      <c r="H80" s="159">
        <f t="shared" si="1"/>
        <v>2232997.8121140702</v>
      </c>
    </row>
    <row r="81" spans="2:9" x14ac:dyDescent="0.2">
      <c r="B81" s="43"/>
      <c r="C81" s="62">
        <v>65</v>
      </c>
      <c r="D81" s="158">
        <f t="shared" si="4"/>
        <v>2232997.8121140702</v>
      </c>
      <c r="E81" s="158">
        <f t="shared" si="3"/>
        <v>16786.664652479867</v>
      </c>
      <c r="F81" s="158">
        <f t="shared" si="2"/>
        <v>12095.40481561788</v>
      </c>
      <c r="G81" s="158">
        <f t="shared" ref="G81:G144" si="5">E81-F81</f>
        <v>4691.2598368619874</v>
      </c>
      <c r="H81" s="159">
        <f t="shared" ref="H81:H144" si="6">D81-G81</f>
        <v>2228306.5522772083</v>
      </c>
    </row>
    <row r="82" spans="2:9" x14ac:dyDescent="0.2">
      <c r="B82" s="43"/>
      <c r="C82" s="62">
        <v>66</v>
      </c>
      <c r="D82" s="158">
        <f t="shared" si="4"/>
        <v>2228306.5522772083</v>
      </c>
      <c r="E82" s="158">
        <f t="shared" si="3"/>
        <v>16786.664652479867</v>
      </c>
      <c r="F82" s="158">
        <f t="shared" ref="F82:F145" si="7">IF(C82&gt;$C$10,0,($C$6/12)*H81)</f>
        <v>12069.993824834879</v>
      </c>
      <c r="G82" s="158">
        <f t="shared" si="5"/>
        <v>4716.6708276449881</v>
      </c>
      <c r="H82" s="159">
        <f t="shared" si="6"/>
        <v>2223589.8814495634</v>
      </c>
    </row>
    <row r="83" spans="2:9" x14ac:dyDescent="0.2">
      <c r="B83" s="43"/>
      <c r="C83" s="62">
        <v>67</v>
      </c>
      <c r="D83" s="158">
        <f t="shared" si="4"/>
        <v>2223589.8814495634</v>
      </c>
      <c r="E83" s="158">
        <f t="shared" si="3"/>
        <v>16786.664652479867</v>
      </c>
      <c r="F83" s="158">
        <f t="shared" si="7"/>
        <v>12044.445191185136</v>
      </c>
      <c r="G83" s="158">
        <f t="shared" si="5"/>
        <v>4742.2194612947314</v>
      </c>
      <c r="H83" s="159">
        <f t="shared" si="6"/>
        <v>2218847.6619882686</v>
      </c>
      <c r="I83" s="162"/>
    </row>
    <row r="84" spans="2:9" x14ac:dyDescent="0.2">
      <c r="B84" s="43"/>
      <c r="C84" s="62">
        <v>68</v>
      </c>
      <c r="D84" s="158">
        <f t="shared" si="4"/>
        <v>2218847.6619882686</v>
      </c>
      <c r="E84" s="158">
        <f t="shared" si="3"/>
        <v>16786.664652479867</v>
      </c>
      <c r="F84" s="158">
        <f t="shared" si="7"/>
        <v>12018.758169103123</v>
      </c>
      <c r="G84" s="158">
        <f t="shared" si="5"/>
        <v>4767.9064833767443</v>
      </c>
      <c r="H84" s="159">
        <f t="shared" si="6"/>
        <v>2214079.7555048917</v>
      </c>
    </row>
    <row r="85" spans="2:9" x14ac:dyDescent="0.2">
      <c r="B85" s="43"/>
      <c r="C85" s="62">
        <v>69</v>
      </c>
      <c r="D85" s="158">
        <f t="shared" si="4"/>
        <v>2214079.7555048917</v>
      </c>
      <c r="E85" s="158">
        <f t="shared" ref="E85:E148" si="8">IF(C85&gt;$C$10,0,IF(C85&lt;=$C$8,F85,-PMT($C$6/12,$C$9,$C$5,0,0)))</f>
        <v>16786.664652479867</v>
      </c>
      <c r="F85" s="158">
        <f t="shared" si="7"/>
        <v>11992.932008984832</v>
      </c>
      <c r="G85" s="158">
        <f t="shared" si="5"/>
        <v>4793.7326434950355</v>
      </c>
      <c r="H85" s="159">
        <f t="shared" si="6"/>
        <v>2209286.0228613969</v>
      </c>
    </row>
    <row r="86" spans="2:9" x14ac:dyDescent="0.2">
      <c r="B86" s="43"/>
      <c r="C86" s="62">
        <v>70</v>
      </c>
      <c r="D86" s="158">
        <f t="shared" ref="D86:D149" si="9">IF(C86&gt;$C$10,0,H85)</f>
        <v>2209286.0228613969</v>
      </c>
      <c r="E86" s="158">
        <f t="shared" si="8"/>
        <v>16786.664652479867</v>
      </c>
      <c r="F86" s="158">
        <f t="shared" si="7"/>
        <v>11966.965957165899</v>
      </c>
      <c r="G86" s="158">
        <f t="shared" si="5"/>
        <v>4819.6986953139676</v>
      </c>
      <c r="H86" s="159">
        <f t="shared" si="6"/>
        <v>2204466.3241660828</v>
      </c>
    </row>
    <row r="87" spans="2:9" x14ac:dyDescent="0.2">
      <c r="B87" s="43"/>
      <c r="C87" s="62">
        <v>71</v>
      </c>
      <c r="D87" s="158">
        <f t="shared" si="9"/>
        <v>2204466.3241660828</v>
      </c>
      <c r="E87" s="158">
        <f t="shared" si="8"/>
        <v>16786.664652479867</v>
      </c>
      <c r="F87" s="158">
        <f t="shared" si="7"/>
        <v>11940.859255899615</v>
      </c>
      <c r="G87" s="158">
        <f t="shared" si="5"/>
        <v>4845.8053965802519</v>
      </c>
      <c r="H87" s="159">
        <f t="shared" si="6"/>
        <v>2199620.5187695026</v>
      </c>
    </row>
    <row r="88" spans="2:9" x14ac:dyDescent="0.2">
      <c r="B88" s="49">
        <v>6</v>
      </c>
      <c r="C88" s="161">
        <v>72</v>
      </c>
      <c r="D88" s="172">
        <f t="shared" si="9"/>
        <v>2199620.5187695026</v>
      </c>
      <c r="E88" s="172">
        <f t="shared" si="8"/>
        <v>16786.664652479867</v>
      </c>
      <c r="F88" s="172">
        <f t="shared" si="7"/>
        <v>11914.611143334807</v>
      </c>
      <c r="G88" s="172">
        <f t="shared" si="5"/>
        <v>4872.0535091450602</v>
      </c>
      <c r="H88" s="173">
        <f t="shared" si="6"/>
        <v>2194748.4652603576</v>
      </c>
      <c r="I88" s="162">
        <f>+SUM(G77:G88)+SUM(F77:F88)</f>
        <v>201439.97582975839</v>
      </c>
    </row>
    <row r="89" spans="2:9" x14ac:dyDescent="0.2">
      <c r="B89" s="43"/>
      <c r="C89" s="62">
        <v>73</v>
      </c>
      <c r="D89" s="158">
        <f t="shared" si="9"/>
        <v>2194748.4652603576</v>
      </c>
      <c r="E89" s="158">
        <f t="shared" si="8"/>
        <v>16786.664652479867</v>
      </c>
      <c r="F89" s="158">
        <f t="shared" si="7"/>
        <v>11888.220853493603</v>
      </c>
      <c r="G89" s="158">
        <f t="shared" si="5"/>
        <v>4898.4437989862636</v>
      </c>
      <c r="H89" s="159">
        <f t="shared" si="6"/>
        <v>2189850.0214613713</v>
      </c>
    </row>
    <row r="90" spans="2:9" x14ac:dyDescent="0.2">
      <c r="B90" s="43"/>
      <c r="C90" s="62">
        <v>74</v>
      </c>
      <c r="D90" s="158">
        <f t="shared" si="9"/>
        <v>2189850.0214613713</v>
      </c>
      <c r="E90" s="158">
        <f t="shared" si="8"/>
        <v>16786.664652479867</v>
      </c>
      <c r="F90" s="158">
        <f t="shared" si="7"/>
        <v>11861.687616249095</v>
      </c>
      <c r="G90" s="158">
        <f t="shared" si="5"/>
        <v>4924.9770362307718</v>
      </c>
      <c r="H90" s="159">
        <f t="shared" si="6"/>
        <v>2184925.0444251406</v>
      </c>
    </row>
    <row r="91" spans="2:9" x14ac:dyDescent="0.2">
      <c r="B91" s="43"/>
      <c r="C91" s="62">
        <v>75</v>
      </c>
      <c r="D91" s="158">
        <f t="shared" si="9"/>
        <v>2184925.0444251406</v>
      </c>
      <c r="E91" s="158">
        <f t="shared" si="8"/>
        <v>16786.664652479867</v>
      </c>
      <c r="F91" s="158">
        <f t="shared" si="7"/>
        <v>11835.010657302846</v>
      </c>
      <c r="G91" s="158">
        <f t="shared" si="5"/>
        <v>4951.653995177021</v>
      </c>
      <c r="H91" s="159">
        <f t="shared" si="6"/>
        <v>2179973.3904299634</v>
      </c>
    </row>
    <row r="92" spans="2:9" x14ac:dyDescent="0.2">
      <c r="B92" s="43"/>
      <c r="C92" s="62">
        <v>76</v>
      </c>
      <c r="D92" s="158">
        <f t="shared" si="9"/>
        <v>2179973.3904299634</v>
      </c>
      <c r="E92" s="158">
        <f t="shared" si="8"/>
        <v>16786.664652479867</v>
      </c>
      <c r="F92" s="158">
        <f t="shared" si="7"/>
        <v>11808.189198162301</v>
      </c>
      <c r="G92" s="158">
        <f t="shared" si="5"/>
        <v>4978.4754543175659</v>
      </c>
      <c r="H92" s="159">
        <f t="shared" si="6"/>
        <v>2174994.914975646</v>
      </c>
    </row>
    <row r="93" spans="2:9" x14ac:dyDescent="0.2">
      <c r="B93" s="43"/>
      <c r="C93" s="62">
        <v>77</v>
      </c>
      <c r="D93" s="158">
        <f t="shared" si="9"/>
        <v>2174994.914975646</v>
      </c>
      <c r="E93" s="158">
        <f t="shared" si="8"/>
        <v>16786.664652479867</v>
      </c>
      <c r="F93" s="158">
        <f t="shared" si="7"/>
        <v>11781.222456118083</v>
      </c>
      <c r="G93" s="158">
        <f t="shared" si="5"/>
        <v>5005.4421963617842</v>
      </c>
      <c r="H93" s="159">
        <f t="shared" si="6"/>
        <v>2169989.4727792842</v>
      </c>
    </row>
    <row r="94" spans="2:9" x14ac:dyDescent="0.2">
      <c r="B94" s="43"/>
      <c r="C94" s="62">
        <v>78</v>
      </c>
      <c r="D94" s="158">
        <f t="shared" si="9"/>
        <v>2169989.4727792842</v>
      </c>
      <c r="E94" s="158">
        <f t="shared" si="8"/>
        <v>16786.664652479867</v>
      </c>
      <c r="F94" s="158">
        <f t="shared" si="7"/>
        <v>11754.109644221124</v>
      </c>
      <c r="G94" s="158">
        <f t="shared" si="5"/>
        <v>5032.5550082587433</v>
      </c>
      <c r="H94" s="159">
        <f t="shared" si="6"/>
        <v>2164956.9177710256</v>
      </c>
    </row>
    <row r="95" spans="2:9" x14ac:dyDescent="0.2">
      <c r="B95" s="43"/>
      <c r="C95" s="62">
        <v>79</v>
      </c>
      <c r="D95" s="158">
        <f t="shared" si="9"/>
        <v>2164956.9177710256</v>
      </c>
      <c r="E95" s="158">
        <f t="shared" si="8"/>
        <v>16786.664652479867</v>
      </c>
      <c r="F95" s="158">
        <f t="shared" si="7"/>
        <v>11726.849971259722</v>
      </c>
      <c r="G95" s="158">
        <f t="shared" si="5"/>
        <v>5059.8146812201448</v>
      </c>
      <c r="H95" s="159">
        <f t="shared" si="6"/>
        <v>2159897.1030898052</v>
      </c>
      <c r="I95" s="162"/>
    </row>
    <row r="96" spans="2:9" x14ac:dyDescent="0.2">
      <c r="B96" s="43"/>
      <c r="C96" s="62">
        <v>80</v>
      </c>
      <c r="D96" s="158">
        <f t="shared" si="9"/>
        <v>2159897.1030898052</v>
      </c>
      <c r="E96" s="158">
        <f t="shared" si="8"/>
        <v>16786.664652479867</v>
      </c>
      <c r="F96" s="158">
        <f t="shared" si="7"/>
        <v>11699.442641736445</v>
      </c>
      <c r="G96" s="158">
        <f t="shared" si="5"/>
        <v>5087.2220107434223</v>
      </c>
      <c r="H96" s="159">
        <f t="shared" si="6"/>
        <v>2154809.8810790619</v>
      </c>
    </row>
    <row r="97" spans="2:9" x14ac:dyDescent="0.2">
      <c r="B97" s="43"/>
      <c r="C97" s="62">
        <v>81</v>
      </c>
      <c r="D97" s="158">
        <f t="shared" si="9"/>
        <v>2154809.8810790619</v>
      </c>
      <c r="E97" s="158">
        <f t="shared" si="8"/>
        <v>16786.664652479867</v>
      </c>
      <c r="F97" s="158">
        <f t="shared" si="7"/>
        <v>11671.886855844919</v>
      </c>
      <c r="G97" s="158">
        <f t="shared" si="5"/>
        <v>5114.7777966349477</v>
      </c>
      <c r="H97" s="159">
        <f t="shared" si="6"/>
        <v>2149695.1032824269</v>
      </c>
    </row>
    <row r="98" spans="2:9" x14ac:dyDescent="0.2">
      <c r="B98" s="43"/>
      <c r="C98" s="62">
        <v>82</v>
      </c>
      <c r="D98" s="158">
        <f t="shared" si="9"/>
        <v>2149695.1032824269</v>
      </c>
      <c r="E98" s="158">
        <f t="shared" si="8"/>
        <v>16786.664652479867</v>
      </c>
      <c r="F98" s="158">
        <f t="shared" si="7"/>
        <v>11644.18180944648</v>
      </c>
      <c r="G98" s="158">
        <f t="shared" si="5"/>
        <v>5142.4828430333873</v>
      </c>
      <c r="H98" s="159">
        <f t="shared" si="6"/>
        <v>2144552.6204393934</v>
      </c>
    </row>
    <row r="99" spans="2:9" x14ac:dyDescent="0.2">
      <c r="B99" s="43"/>
      <c r="C99" s="62">
        <v>83</v>
      </c>
      <c r="D99" s="158">
        <f t="shared" si="9"/>
        <v>2144552.6204393934</v>
      </c>
      <c r="E99" s="158">
        <f t="shared" si="8"/>
        <v>16786.664652479867</v>
      </c>
      <c r="F99" s="158">
        <f t="shared" si="7"/>
        <v>11616.326694046715</v>
      </c>
      <c r="G99" s="158">
        <f t="shared" si="5"/>
        <v>5170.3379584331524</v>
      </c>
      <c r="H99" s="159">
        <f t="shared" si="6"/>
        <v>2139382.2824809602</v>
      </c>
    </row>
    <row r="100" spans="2:9" x14ac:dyDescent="0.2">
      <c r="B100" s="49">
        <v>7</v>
      </c>
      <c r="C100" s="161">
        <v>84</v>
      </c>
      <c r="D100" s="172">
        <f t="shared" si="9"/>
        <v>2139382.2824809602</v>
      </c>
      <c r="E100" s="172">
        <f t="shared" si="8"/>
        <v>16786.664652479867</v>
      </c>
      <c r="F100" s="172">
        <f t="shared" si="7"/>
        <v>11588.320696771869</v>
      </c>
      <c r="G100" s="172">
        <f t="shared" si="5"/>
        <v>5198.3439557079982</v>
      </c>
      <c r="H100" s="173">
        <f t="shared" si="6"/>
        <v>2134183.938525252</v>
      </c>
      <c r="I100" s="162">
        <f>+SUM(G89:G100)+SUM(F89:F100)</f>
        <v>201439.97582975842</v>
      </c>
    </row>
    <row r="101" spans="2:9" x14ac:dyDescent="0.2">
      <c r="B101" s="43"/>
      <c r="C101" s="62">
        <v>85</v>
      </c>
      <c r="D101" s="158">
        <f t="shared" si="9"/>
        <v>2134183.938525252</v>
      </c>
      <c r="E101" s="158">
        <f t="shared" si="8"/>
        <v>16786.664652479867</v>
      </c>
      <c r="F101" s="158">
        <f t="shared" si="7"/>
        <v>11560.163000345116</v>
      </c>
      <c r="G101" s="158">
        <f t="shared" si="5"/>
        <v>5226.5016521347516</v>
      </c>
      <c r="H101" s="159">
        <f t="shared" si="6"/>
        <v>2128957.4368731175</v>
      </c>
    </row>
    <row r="102" spans="2:9" x14ac:dyDescent="0.2">
      <c r="B102" s="43"/>
      <c r="C102" s="62">
        <v>86</v>
      </c>
      <c r="D102" s="158">
        <f t="shared" si="9"/>
        <v>2128957.4368731175</v>
      </c>
      <c r="E102" s="158">
        <f t="shared" si="8"/>
        <v>16786.664652479867</v>
      </c>
      <c r="F102" s="158">
        <f t="shared" si="7"/>
        <v>11531.852783062721</v>
      </c>
      <c r="G102" s="158">
        <f t="shared" si="5"/>
        <v>5254.8118694171462</v>
      </c>
      <c r="H102" s="159">
        <f t="shared" si="6"/>
        <v>2123702.6250037001</v>
      </c>
    </row>
    <row r="103" spans="2:9" x14ac:dyDescent="0.2">
      <c r="B103" s="43"/>
      <c r="C103" s="62">
        <v>87</v>
      </c>
      <c r="D103" s="158">
        <f t="shared" si="9"/>
        <v>2123702.6250037001</v>
      </c>
      <c r="E103" s="158">
        <f t="shared" si="8"/>
        <v>16786.664652479867</v>
      </c>
      <c r="F103" s="158">
        <f t="shared" si="7"/>
        <v>11503.389218770042</v>
      </c>
      <c r="G103" s="158">
        <f t="shared" si="5"/>
        <v>5283.2754337098249</v>
      </c>
      <c r="H103" s="159">
        <f t="shared" si="6"/>
        <v>2118419.3495699903</v>
      </c>
    </row>
    <row r="104" spans="2:9" x14ac:dyDescent="0.2">
      <c r="B104" s="43"/>
      <c r="C104" s="62">
        <v>88</v>
      </c>
      <c r="D104" s="158">
        <f t="shared" si="9"/>
        <v>2118419.3495699903</v>
      </c>
      <c r="E104" s="158">
        <f t="shared" si="8"/>
        <v>16786.664652479867</v>
      </c>
      <c r="F104" s="158">
        <f t="shared" si="7"/>
        <v>11474.771476837448</v>
      </c>
      <c r="G104" s="158">
        <f t="shared" si="5"/>
        <v>5311.893175642419</v>
      </c>
      <c r="H104" s="159">
        <f t="shared" si="6"/>
        <v>2113107.4563943478</v>
      </c>
    </row>
    <row r="105" spans="2:9" x14ac:dyDescent="0.2">
      <c r="B105" s="43"/>
      <c r="C105" s="62">
        <v>89</v>
      </c>
      <c r="D105" s="158">
        <f t="shared" si="9"/>
        <v>2113107.4563943478</v>
      </c>
      <c r="E105" s="158">
        <f t="shared" si="8"/>
        <v>16786.664652479867</v>
      </c>
      <c r="F105" s="158">
        <f t="shared" si="7"/>
        <v>11445.998722136052</v>
      </c>
      <c r="G105" s="158">
        <f t="shared" si="5"/>
        <v>5340.6659303438155</v>
      </c>
      <c r="H105" s="159">
        <f t="shared" si="6"/>
        <v>2107766.790464004</v>
      </c>
    </row>
    <row r="106" spans="2:9" x14ac:dyDescent="0.2">
      <c r="B106" s="43"/>
      <c r="C106" s="62">
        <v>90</v>
      </c>
      <c r="D106" s="158">
        <f t="shared" si="9"/>
        <v>2107766.790464004</v>
      </c>
      <c r="E106" s="158">
        <f t="shared" si="8"/>
        <v>16786.664652479867</v>
      </c>
      <c r="F106" s="158">
        <f t="shared" si="7"/>
        <v>11417.070115013355</v>
      </c>
      <c r="G106" s="158">
        <f t="shared" si="5"/>
        <v>5369.5945374665116</v>
      </c>
      <c r="H106" s="159">
        <f t="shared" si="6"/>
        <v>2102397.1959265377</v>
      </c>
    </row>
    <row r="107" spans="2:9" x14ac:dyDescent="0.2">
      <c r="B107" s="43"/>
      <c r="C107" s="62">
        <v>91</v>
      </c>
      <c r="D107" s="158">
        <f t="shared" si="9"/>
        <v>2102397.1959265377</v>
      </c>
      <c r="E107" s="158">
        <f t="shared" si="8"/>
        <v>16786.664652479867</v>
      </c>
      <c r="F107" s="158">
        <f t="shared" si="7"/>
        <v>11387.984811268747</v>
      </c>
      <c r="G107" s="158">
        <f t="shared" si="5"/>
        <v>5398.6798412111202</v>
      </c>
      <c r="H107" s="159">
        <f t="shared" si="6"/>
        <v>2096998.5160853267</v>
      </c>
    </row>
    <row r="108" spans="2:9" x14ac:dyDescent="0.2">
      <c r="B108" s="43"/>
      <c r="C108" s="62">
        <v>92</v>
      </c>
      <c r="D108" s="158">
        <f t="shared" si="9"/>
        <v>2096998.5160853267</v>
      </c>
      <c r="E108" s="158">
        <f t="shared" si="8"/>
        <v>16786.664652479867</v>
      </c>
      <c r="F108" s="158">
        <f t="shared" si="7"/>
        <v>11358.741962128854</v>
      </c>
      <c r="G108" s="158">
        <f t="shared" si="5"/>
        <v>5427.9226903510134</v>
      </c>
      <c r="H108" s="159">
        <f t="shared" si="6"/>
        <v>2091570.5933949756</v>
      </c>
    </row>
    <row r="109" spans="2:9" x14ac:dyDescent="0.2">
      <c r="B109" s="43"/>
      <c r="C109" s="62">
        <v>93</v>
      </c>
      <c r="D109" s="158">
        <f t="shared" si="9"/>
        <v>2091570.5933949756</v>
      </c>
      <c r="E109" s="158">
        <f t="shared" si="8"/>
        <v>16786.664652479867</v>
      </c>
      <c r="F109" s="158">
        <f t="shared" si="7"/>
        <v>11329.340714222784</v>
      </c>
      <c r="G109" s="158">
        <f t="shared" si="5"/>
        <v>5457.3239382570828</v>
      </c>
      <c r="H109" s="159">
        <f t="shared" si="6"/>
        <v>2086113.2694567186</v>
      </c>
    </row>
    <row r="110" spans="2:9" x14ac:dyDescent="0.2">
      <c r="B110" s="43"/>
      <c r="C110" s="62">
        <v>94</v>
      </c>
      <c r="D110" s="158">
        <f t="shared" si="9"/>
        <v>2086113.2694567186</v>
      </c>
      <c r="E110" s="158">
        <f t="shared" si="8"/>
        <v>16786.664652479867</v>
      </c>
      <c r="F110" s="158">
        <f t="shared" si="7"/>
        <v>11299.780209557226</v>
      </c>
      <c r="G110" s="158">
        <f t="shared" si="5"/>
        <v>5486.884442922641</v>
      </c>
      <c r="H110" s="159">
        <f t="shared" si="6"/>
        <v>2080626.3850137959</v>
      </c>
    </row>
    <row r="111" spans="2:9" x14ac:dyDescent="0.2">
      <c r="B111" s="43"/>
      <c r="C111" s="62">
        <v>95</v>
      </c>
      <c r="D111" s="158">
        <f t="shared" si="9"/>
        <v>2080626.3850137959</v>
      </c>
      <c r="E111" s="158">
        <f t="shared" si="8"/>
        <v>16786.664652479867</v>
      </c>
      <c r="F111" s="158">
        <f t="shared" si="7"/>
        <v>11270.059585491395</v>
      </c>
      <c r="G111" s="158">
        <f t="shared" si="5"/>
        <v>5516.6050669884717</v>
      </c>
      <c r="H111" s="159">
        <f t="shared" si="6"/>
        <v>2075109.7799468075</v>
      </c>
    </row>
    <row r="112" spans="2:9" x14ac:dyDescent="0.2">
      <c r="B112" s="49">
        <v>8</v>
      </c>
      <c r="C112" s="161">
        <v>96</v>
      </c>
      <c r="D112" s="172">
        <f t="shared" si="9"/>
        <v>2075109.7799468075</v>
      </c>
      <c r="E112" s="172">
        <f t="shared" si="8"/>
        <v>16786.664652479867</v>
      </c>
      <c r="F112" s="172">
        <f t="shared" si="7"/>
        <v>11240.177974711874</v>
      </c>
      <c r="G112" s="172">
        <f t="shared" si="5"/>
        <v>5546.4866777679927</v>
      </c>
      <c r="H112" s="173">
        <f t="shared" si="6"/>
        <v>2069563.2932690396</v>
      </c>
      <c r="I112" s="162">
        <f>+SUM(G101:G112)+SUM(F101:F112)</f>
        <v>201439.97582975842</v>
      </c>
    </row>
    <row r="113" spans="2:9" x14ac:dyDescent="0.2">
      <c r="B113" s="203"/>
      <c r="C113" s="204">
        <v>97</v>
      </c>
      <c r="D113" s="205">
        <f t="shared" si="9"/>
        <v>2069563.2932690396</v>
      </c>
      <c r="E113" s="205">
        <f t="shared" si="8"/>
        <v>16786.664652479867</v>
      </c>
      <c r="F113" s="205">
        <f t="shared" si="7"/>
        <v>11210.134505207297</v>
      </c>
      <c r="G113" s="205">
        <f t="shared" si="5"/>
        <v>5576.5301472725696</v>
      </c>
      <c r="H113" s="206">
        <f t="shared" si="6"/>
        <v>2063986.763121767</v>
      </c>
    </row>
    <row r="114" spans="2:9" x14ac:dyDescent="0.2">
      <c r="B114" s="43"/>
      <c r="C114" s="62">
        <v>98</v>
      </c>
      <c r="D114" s="158">
        <f t="shared" si="9"/>
        <v>2063986.763121767</v>
      </c>
      <c r="E114" s="158">
        <f t="shared" si="8"/>
        <v>16786.664652479867</v>
      </c>
      <c r="F114" s="158">
        <f t="shared" si="7"/>
        <v>11179.928300242906</v>
      </c>
      <c r="G114" s="158">
        <f t="shared" si="5"/>
        <v>5606.7363522369615</v>
      </c>
      <c r="H114" s="159">
        <f t="shared" si="6"/>
        <v>2058380.02676953</v>
      </c>
    </row>
    <row r="115" spans="2:9" x14ac:dyDescent="0.2">
      <c r="B115" s="43"/>
      <c r="C115" s="62">
        <v>99</v>
      </c>
      <c r="D115" s="158">
        <f t="shared" si="9"/>
        <v>2058380.02676953</v>
      </c>
      <c r="E115" s="158">
        <f t="shared" si="8"/>
        <v>16786.664652479867</v>
      </c>
      <c r="F115" s="158">
        <f t="shared" si="7"/>
        <v>11149.558478334955</v>
      </c>
      <c r="G115" s="158">
        <f t="shared" si="5"/>
        <v>5637.1061741449121</v>
      </c>
      <c r="H115" s="159">
        <f t="shared" si="6"/>
        <v>2052742.9205953851</v>
      </c>
    </row>
    <row r="116" spans="2:9" x14ac:dyDescent="0.2">
      <c r="B116" s="43"/>
      <c r="C116" s="62">
        <v>100</v>
      </c>
      <c r="D116" s="158">
        <f t="shared" si="9"/>
        <v>2052742.9205953851</v>
      </c>
      <c r="E116" s="158">
        <f t="shared" si="8"/>
        <v>16786.664652479867</v>
      </c>
      <c r="F116" s="158">
        <f t="shared" si="7"/>
        <v>11119.024153225004</v>
      </c>
      <c r="G116" s="158">
        <f t="shared" si="5"/>
        <v>5667.6404992548632</v>
      </c>
      <c r="H116" s="159">
        <f t="shared" si="6"/>
        <v>2047075.2800961302</v>
      </c>
    </row>
    <row r="117" spans="2:9" x14ac:dyDescent="0.2">
      <c r="B117" s="43"/>
      <c r="C117" s="62">
        <v>101</v>
      </c>
      <c r="D117" s="158">
        <f t="shared" si="9"/>
        <v>2047075.2800961302</v>
      </c>
      <c r="E117" s="158">
        <f t="shared" si="8"/>
        <v>16786.664652479867</v>
      </c>
      <c r="F117" s="158">
        <f t="shared" si="7"/>
        <v>11088.324433854039</v>
      </c>
      <c r="G117" s="158">
        <f t="shared" si="5"/>
        <v>5698.3402186258281</v>
      </c>
      <c r="H117" s="159">
        <f t="shared" si="6"/>
        <v>2041376.9398775045</v>
      </c>
    </row>
    <row r="118" spans="2:9" x14ac:dyDescent="0.2">
      <c r="B118" s="43"/>
      <c r="C118" s="62">
        <v>102</v>
      </c>
      <c r="D118" s="158">
        <f t="shared" si="9"/>
        <v>2041376.9398775045</v>
      </c>
      <c r="E118" s="158">
        <f t="shared" si="8"/>
        <v>16786.664652479867</v>
      </c>
      <c r="F118" s="158">
        <f t="shared" si="7"/>
        <v>11057.458424336482</v>
      </c>
      <c r="G118" s="158">
        <f t="shared" si="5"/>
        <v>5729.2062281433846</v>
      </c>
      <c r="H118" s="159">
        <f t="shared" si="6"/>
        <v>2035647.7336493612</v>
      </c>
    </row>
    <row r="119" spans="2:9" x14ac:dyDescent="0.2">
      <c r="B119" s="43"/>
      <c r="C119" s="62">
        <v>103</v>
      </c>
      <c r="D119" s="158">
        <f t="shared" si="9"/>
        <v>2035647.7336493612</v>
      </c>
      <c r="E119" s="158">
        <f t="shared" si="8"/>
        <v>16786.664652479867</v>
      </c>
      <c r="F119" s="158">
        <f t="shared" si="7"/>
        <v>11026.42522393404</v>
      </c>
      <c r="G119" s="158">
        <f t="shared" si="5"/>
        <v>5760.2394285458267</v>
      </c>
      <c r="H119" s="159">
        <f t="shared" si="6"/>
        <v>2029887.4942208154</v>
      </c>
    </row>
    <row r="120" spans="2:9" x14ac:dyDescent="0.2">
      <c r="B120" s="43"/>
      <c r="C120" s="62">
        <v>104</v>
      </c>
      <c r="D120" s="158">
        <f t="shared" si="9"/>
        <v>2029887.4942208154</v>
      </c>
      <c r="E120" s="158">
        <f t="shared" si="8"/>
        <v>16786.664652479867</v>
      </c>
      <c r="F120" s="158">
        <f t="shared" si="7"/>
        <v>10995.223927029418</v>
      </c>
      <c r="G120" s="158">
        <f t="shared" si="5"/>
        <v>5791.4407254504495</v>
      </c>
      <c r="H120" s="159">
        <f t="shared" si="6"/>
        <v>2024096.053495365</v>
      </c>
    </row>
    <row r="121" spans="2:9" x14ac:dyDescent="0.2">
      <c r="B121" s="43"/>
      <c r="C121" s="62">
        <v>105</v>
      </c>
      <c r="D121" s="158">
        <f t="shared" si="9"/>
        <v>2024096.053495365</v>
      </c>
      <c r="E121" s="158">
        <f t="shared" si="8"/>
        <v>16786.664652479867</v>
      </c>
      <c r="F121" s="158">
        <f t="shared" si="7"/>
        <v>10963.853623099894</v>
      </c>
      <c r="G121" s="158">
        <f t="shared" si="5"/>
        <v>5822.8110293799728</v>
      </c>
      <c r="H121" s="159">
        <f t="shared" si="6"/>
        <v>2018273.242465985</v>
      </c>
    </row>
    <row r="122" spans="2:9" x14ac:dyDescent="0.2">
      <c r="B122" s="43"/>
      <c r="C122" s="62">
        <v>106</v>
      </c>
      <c r="D122" s="158">
        <f t="shared" si="9"/>
        <v>2018273.242465985</v>
      </c>
      <c r="E122" s="158">
        <f t="shared" si="8"/>
        <v>16786.664652479867</v>
      </c>
      <c r="F122" s="158">
        <f t="shared" si="7"/>
        <v>10932.313396690752</v>
      </c>
      <c r="G122" s="158">
        <f t="shared" si="5"/>
        <v>5854.3512557891154</v>
      </c>
      <c r="H122" s="159">
        <f t="shared" si="6"/>
        <v>2012418.8912101958</v>
      </c>
    </row>
    <row r="123" spans="2:9" x14ac:dyDescent="0.2">
      <c r="B123" s="43"/>
      <c r="C123" s="62">
        <v>107</v>
      </c>
      <c r="D123" s="158">
        <f t="shared" si="9"/>
        <v>2012418.8912101958</v>
      </c>
      <c r="E123" s="158">
        <f t="shared" si="8"/>
        <v>16786.664652479867</v>
      </c>
      <c r="F123" s="158">
        <f t="shared" si="7"/>
        <v>10900.60232738856</v>
      </c>
      <c r="G123" s="158">
        <f t="shared" si="5"/>
        <v>5886.0623250913068</v>
      </c>
      <c r="H123" s="159">
        <f t="shared" si="6"/>
        <v>2006532.8288851045</v>
      </c>
    </row>
    <row r="124" spans="2:9" x14ac:dyDescent="0.2">
      <c r="B124" s="49">
        <v>9</v>
      </c>
      <c r="C124" s="161">
        <v>108</v>
      </c>
      <c r="D124" s="172">
        <f t="shared" si="9"/>
        <v>2006532.8288851045</v>
      </c>
      <c r="E124" s="172">
        <f t="shared" si="8"/>
        <v>16786.664652479867</v>
      </c>
      <c r="F124" s="172">
        <f t="shared" si="7"/>
        <v>10868.719489794317</v>
      </c>
      <c r="G124" s="172">
        <f t="shared" si="5"/>
        <v>5917.9451626855498</v>
      </c>
      <c r="H124" s="173">
        <f t="shared" si="6"/>
        <v>2000614.8837224189</v>
      </c>
      <c r="I124" s="162">
        <f>+SUM(G113:G124)+SUM(F113:F124)</f>
        <v>201439.97582975842</v>
      </c>
    </row>
    <row r="125" spans="2:9" x14ac:dyDescent="0.2">
      <c r="B125" s="203"/>
      <c r="C125" s="204">
        <v>109</v>
      </c>
      <c r="D125" s="205">
        <f t="shared" si="9"/>
        <v>2000614.8837224189</v>
      </c>
      <c r="E125" s="205">
        <f t="shared" si="8"/>
        <v>16786.664652479867</v>
      </c>
      <c r="F125" s="205">
        <f t="shared" si="7"/>
        <v>10836.663953496436</v>
      </c>
      <c r="G125" s="205">
        <f t="shared" si="5"/>
        <v>5950.000698983431</v>
      </c>
      <c r="H125" s="206">
        <f t="shared" si="6"/>
        <v>1994664.8830234355</v>
      </c>
    </row>
    <row r="126" spans="2:9" x14ac:dyDescent="0.2">
      <c r="B126" s="43"/>
      <c r="C126" s="62">
        <v>110</v>
      </c>
      <c r="D126" s="158">
        <f t="shared" si="9"/>
        <v>1994664.8830234355</v>
      </c>
      <c r="E126" s="158">
        <f t="shared" si="8"/>
        <v>16786.664652479867</v>
      </c>
      <c r="F126" s="158">
        <f t="shared" si="7"/>
        <v>10804.434783043609</v>
      </c>
      <c r="G126" s="158">
        <f t="shared" si="5"/>
        <v>5982.229869436258</v>
      </c>
      <c r="H126" s="159">
        <f t="shared" si="6"/>
        <v>1988682.6531539992</v>
      </c>
    </row>
    <row r="127" spans="2:9" x14ac:dyDescent="0.2">
      <c r="B127" s="43"/>
      <c r="C127" s="62">
        <v>111</v>
      </c>
      <c r="D127" s="158">
        <f t="shared" si="9"/>
        <v>1988682.6531539992</v>
      </c>
      <c r="E127" s="158">
        <f t="shared" si="8"/>
        <v>16786.664652479867</v>
      </c>
      <c r="F127" s="158">
        <f t="shared" si="7"/>
        <v>10772.031037917497</v>
      </c>
      <c r="G127" s="158">
        <f t="shared" si="5"/>
        <v>6014.63361456237</v>
      </c>
      <c r="H127" s="159">
        <f t="shared" si="6"/>
        <v>1982668.0195394368</v>
      </c>
    </row>
    <row r="128" spans="2:9" x14ac:dyDescent="0.2">
      <c r="B128" s="43"/>
      <c r="C128" s="62">
        <v>112</v>
      </c>
      <c r="D128" s="158">
        <f t="shared" si="9"/>
        <v>1982668.0195394368</v>
      </c>
      <c r="E128" s="158">
        <f t="shared" si="8"/>
        <v>16786.664652479867</v>
      </c>
      <c r="F128" s="158">
        <f t="shared" si="7"/>
        <v>10739.451772505283</v>
      </c>
      <c r="G128" s="158">
        <f t="shared" si="5"/>
        <v>6047.2128799745842</v>
      </c>
      <c r="H128" s="159">
        <f t="shared" si="6"/>
        <v>1976620.8066594622</v>
      </c>
    </row>
    <row r="129" spans="2:9" x14ac:dyDescent="0.2">
      <c r="B129" s="43"/>
      <c r="C129" s="62">
        <v>113</v>
      </c>
      <c r="D129" s="158">
        <f t="shared" si="9"/>
        <v>1976620.8066594622</v>
      </c>
      <c r="E129" s="158">
        <f t="shared" si="8"/>
        <v>16786.664652479867</v>
      </c>
      <c r="F129" s="158">
        <f t="shared" si="7"/>
        <v>10706.696036072088</v>
      </c>
      <c r="G129" s="158">
        <f t="shared" si="5"/>
        <v>6079.9686164077793</v>
      </c>
      <c r="H129" s="159">
        <f t="shared" si="6"/>
        <v>1970540.8380430543</v>
      </c>
    </row>
    <row r="130" spans="2:9" x14ac:dyDescent="0.2">
      <c r="B130" s="43"/>
      <c r="C130" s="62">
        <v>114</v>
      </c>
      <c r="D130" s="158">
        <f t="shared" si="9"/>
        <v>1970540.8380430543</v>
      </c>
      <c r="E130" s="158">
        <f t="shared" si="8"/>
        <v>16786.664652479867</v>
      </c>
      <c r="F130" s="158">
        <f t="shared" si="7"/>
        <v>10673.762872733212</v>
      </c>
      <c r="G130" s="158">
        <f t="shared" si="5"/>
        <v>6112.9017797466549</v>
      </c>
      <c r="H130" s="159">
        <f t="shared" si="6"/>
        <v>1964427.9362633077</v>
      </c>
    </row>
    <row r="131" spans="2:9" x14ac:dyDescent="0.2">
      <c r="B131" s="43"/>
      <c r="C131" s="62">
        <v>115</v>
      </c>
      <c r="D131" s="158">
        <f t="shared" si="9"/>
        <v>1964427.9362633077</v>
      </c>
      <c r="E131" s="158">
        <f t="shared" si="8"/>
        <v>16786.664652479867</v>
      </c>
      <c r="F131" s="158">
        <f t="shared" si="7"/>
        <v>10640.65132142625</v>
      </c>
      <c r="G131" s="158">
        <f t="shared" si="5"/>
        <v>6146.0133310536166</v>
      </c>
      <c r="H131" s="159">
        <f t="shared" si="6"/>
        <v>1958281.9229322542</v>
      </c>
    </row>
    <row r="132" spans="2:9" x14ac:dyDescent="0.2">
      <c r="B132" s="43"/>
      <c r="C132" s="62">
        <v>116</v>
      </c>
      <c r="D132" s="158">
        <f t="shared" si="9"/>
        <v>1958281.9229322542</v>
      </c>
      <c r="E132" s="158">
        <f t="shared" si="8"/>
        <v>16786.664652479867</v>
      </c>
      <c r="F132" s="158">
        <f t="shared" si="7"/>
        <v>10607.360415883044</v>
      </c>
      <c r="G132" s="158">
        <f t="shared" si="5"/>
        <v>6179.3042365968231</v>
      </c>
      <c r="H132" s="159">
        <f t="shared" si="6"/>
        <v>1952102.6186956572</v>
      </c>
    </row>
    <row r="133" spans="2:9" x14ac:dyDescent="0.2">
      <c r="B133" s="43"/>
      <c r="C133" s="62">
        <v>117</v>
      </c>
      <c r="D133" s="158">
        <f t="shared" si="9"/>
        <v>1952102.6186956572</v>
      </c>
      <c r="E133" s="158">
        <f t="shared" si="8"/>
        <v>16786.664652479867</v>
      </c>
      <c r="F133" s="158">
        <f t="shared" si="7"/>
        <v>10573.889184601478</v>
      </c>
      <c r="G133" s="158">
        <f t="shared" si="5"/>
        <v>6212.7754678783895</v>
      </c>
      <c r="H133" s="159">
        <f t="shared" si="6"/>
        <v>1945889.8432277788</v>
      </c>
    </row>
    <row r="134" spans="2:9" x14ac:dyDescent="0.2">
      <c r="B134" s="43"/>
      <c r="C134" s="62">
        <v>118</v>
      </c>
      <c r="D134" s="158">
        <f t="shared" si="9"/>
        <v>1945889.8432277788</v>
      </c>
      <c r="E134" s="158">
        <f t="shared" si="8"/>
        <v>16786.664652479867</v>
      </c>
      <c r="F134" s="158">
        <f t="shared" si="7"/>
        <v>10540.236650817136</v>
      </c>
      <c r="G134" s="158">
        <f t="shared" si="5"/>
        <v>6246.4280016627308</v>
      </c>
      <c r="H134" s="159">
        <f t="shared" si="6"/>
        <v>1939643.4152261161</v>
      </c>
    </row>
    <row r="135" spans="2:9" x14ac:dyDescent="0.2">
      <c r="B135" s="43"/>
      <c r="C135" s="62">
        <v>119</v>
      </c>
      <c r="D135" s="158">
        <f t="shared" si="9"/>
        <v>1939643.4152261161</v>
      </c>
      <c r="E135" s="158">
        <f t="shared" si="8"/>
        <v>16786.664652479867</v>
      </c>
      <c r="F135" s="158">
        <f t="shared" si="7"/>
        <v>10506.401832474796</v>
      </c>
      <c r="G135" s="158">
        <f t="shared" si="5"/>
        <v>6280.2628200050713</v>
      </c>
      <c r="H135" s="159">
        <f t="shared" si="6"/>
        <v>1933363.1524061109</v>
      </c>
    </row>
    <row r="136" spans="2:9" x14ac:dyDescent="0.2">
      <c r="B136" s="49">
        <v>10</v>
      </c>
      <c r="C136" s="161">
        <v>120</v>
      </c>
      <c r="D136" s="172">
        <f t="shared" si="9"/>
        <v>1933363.1524061109</v>
      </c>
      <c r="E136" s="172">
        <f t="shared" si="8"/>
        <v>16786.664652479867</v>
      </c>
      <c r="F136" s="172">
        <f t="shared" si="7"/>
        <v>10472.383742199767</v>
      </c>
      <c r="G136" s="172">
        <f t="shared" si="5"/>
        <v>6314.2809102801002</v>
      </c>
      <c r="H136" s="173">
        <f t="shared" si="6"/>
        <v>1927048.8714958308</v>
      </c>
      <c r="I136" s="162">
        <f>+SUM(G125:G136)+SUM(F125:F136)</f>
        <v>201439.97582975839</v>
      </c>
    </row>
    <row r="137" spans="2:9" x14ac:dyDescent="0.2">
      <c r="B137" s="203"/>
      <c r="C137" s="204">
        <v>121</v>
      </c>
      <c r="D137" s="205">
        <f t="shared" si="9"/>
        <v>1927048.8714958308</v>
      </c>
      <c r="E137" s="205">
        <f t="shared" si="8"/>
        <v>16786.664652479867</v>
      </c>
      <c r="F137" s="205">
        <f t="shared" si="7"/>
        <v>10438.181387269084</v>
      </c>
      <c r="G137" s="205">
        <f t="shared" si="5"/>
        <v>6348.4832652107834</v>
      </c>
      <c r="H137" s="206">
        <f t="shared" si="6"/>
        <v>1920700.38823062</v>
      </c>
    </row>
    <row r="138" spans="2:9" x14ac:dyDescent="0.2">
      <c r="B138" s="43"/>
      <c r="C138" s="62">
        <v>122</v>
      </c>
      <c r="D138" s="158">
        <f t="shared" si="9"/>
        <v>1920700.38823062</v>
      </c>
      <c r="E138" s="158">
        <f t="shared" si="8"/>
        <v>16786.664652479867</v>
      </c>
      <c r="F138" s="158">
        <f t="shared" si="7"/>
        <v>10403.793769582526</v>
      </c>
      <c r="G138" s="158">
        <f t="shared" si="5"/>
        <v>6382.8708828973413</v>
      </c>
      <c r="H138" s="159">
        <f t="shared" si="6"/>
        <v>1914317.5173477225</v>
      </c>
    </row>
    <row r="139" spans="2:9" x14ac:dyDescent="0.2">
      <c r="B139" s="43"/>
      <c r="C139" s="62">
        <v>123</v>
      </c>
      <c r="D139" s="158">
        <f t="shared" si="9"/>
        <v>1914317.5173477225</v>
      </c>
      <c r="E139" s="158">
        <f t="shared" si="8"/>
        <v>16786.664652479867</v>
      </c>
      <c r="F139" s="158">
        <f t="shared" si="7"/>
        <v>10369.219885633498</v>
      </c>
      <c r="G139" s="158">
        <f t="shared" si="5"/>
        <v>6417.444766846369</v>
      </c>
      <c r="H139" s="159">
        <f t="shared" si="6"/>
        <v>1907900.0725808763</v>
      </c>
    </row>
    <row r="140" spans="2:9" x14ac:dyDescent="0.2">
      <c r="B140" s="43"/>
      <c r="C140" s="62">
        <v>124</v>
      </c>
      <c r="D140" s="158">
        <f t="shared" si="9"/>
        <v>1907900.0725808763</v>
      </c>
      <c r="E140" s="158">
        <f t="shared" si="8"/>
        <v>16786.664652479867</v>
      </c>
      <c r="F140" s="158">
        <f t="shared" si="7"/>
        <v>10334.458726479746</v>
      </c>
      <c r="G140" s="158">
        <f t="shared" si="5"/>
        <v>6452.2059260001206</v>
      </c>
      <c r="H140" s="159">
        <f t="shared" si="6"/>
        <v>1901447.8666548762</v>
      </c>
    </row>
    <row r="141" spans="2:9" x14ac:dyDescent="0.2">
      <c r="B141" s="43"/>
      <c r="C141" s="62">
        <v>125</v>
      </c>
      <c r="D141" s="158">
        <f t="shared" si="9"/>
        <v>1901447.8666548762</v>
      </c>
      <c r="E141" s="158">
        <f t="shared" si="8"/>
        <v>16786.664652479867</v>
      </c>
      <c r="F141" s="158">
        <f t="shared" si="7"/>
        <v>10299.509277713913</v>
      </c>
      <c r="G141" s="158">
        <f t="shared" si="5"/>
        <v>6487.1553747659545</v>
      </c>
      <c r="H141" s="159">
        <f t="shared" si="6"/>
        <v>1894960.7112801103</v>
      </c>
    </row>
    <row r="142" spans="2:9" x14ac:dyDescent="0.2">
      <c r="B142" s="43"/>
      <c r="C142" s="62">
        <v>126</v>
      </c>
      <c r="D142" s="158">
        <f t="shared" si="9"/>
        <v>1894960.7112801103</v>
      </c>
      <c r="E142" s="158">
        <f t="shared" si="8"/>
        <v>16786.664652479867</v>
      </c>
      <c r="F142" s="158">
        <f t="shared" si="7"/>
        <v>10264.370519433931</v>
      </c>
      <c r="G142" s="158">
        <f t="shared" si="5"/>
        <v>6522.2941330459362</v>
      </c>
      <c r="H142" s="159">
        <f t="shared" si="6"/>
        <v>1888438.4171470643</v>
      </c>
    </row>
    <row r="143" spans="2:9" x14ac:dyDescent="0.2">
      <c r="B143" s="43"/>
      <c r="C143" s="62">
        <v>127</v>
      </c>
      <c r="D143" s="158">
        <f t="shared" si="9"/>
        <v>1888438.4171470643</v>
      </c>
      <c r="E143" s="158">
        <f t="shared" si="8"/>
        <v>16786.664652479867</v>
      </c>
      <c r="F143" s="158">
        <f t="shared" si="7"/>
        <v>10229.041426213265</v>
      </c>
      <c r="G143" s="158">
        <f t="shared" si="5"/>
        <v>6557.6232262666017</v>
      </c>
      <c r="H143" s="159">
        <f t="shared" si="6"/>
        <v>1881880.7939207978</v>
      </c>
    </row>
    <row r="144" spans="2:9" x14ac:dyDescent="0.2">
      <c r="B144" s="43"/>
      <c r="C144" s="62">
        <v>128</v>
      </c>
      <c r="D144" s="158">
        <f t="shared" si="9"/>
        <v>1881880.7939207978</v>
      </c>
      <c r="E144" s="158">
        <f t="shared" si="8"/>
        <v>16786.664652479867</v>
      </c>
      <c r="F144" s="158">
        <f t="shared" si="7"/>
        <v>10193.520967070988</v>
      </c>
      <c r="G144" s="158">
        <f t="shared" si="5"/>
        <v>6593.1436854088788</v>
      </c>
      <c r="H144" s="159">
        <f t="shared" si="6"/>
        <v>1875287.6502353889</v>
      </c>
    </row>
    <row r="145" spans="2:9" x14ac:dyDescent="0.2">
      <c r="B145" s="43"/>
      <c r="C145" s="62">
        <v>129</v>
      </c>
      <c r="D145" s="158">
        <f t="shared" si="9"/>
        <v>1875287.6502353889</v>
      </c>
      <c r="E145" s="158">
        <f t="shared" si="8"/>
        <v>16786.664652479867</v>
      </c>
      <c r="F145" s="158">
        <f t="shared" si="7"/>
        <v>10157.808105441691</v>
      </c>
      <c r="G145" s="158">
        <f t="shared" ref="G145:G208" si="10">E145-F145</f>
        <v>6628.8565470381764</v>
      </c>
      <c r="H145" s="159">
        <f t="shared" ref="H145:H208" si="11">D145-G145</f>
        <v>1868658.7936883508</v>
      </c>
    </row>
    <row r="146" spans="2:9" x14ac:dyDescent="0.2">
      <c r="B146" s="43"/>
      <c r="C146" s="62">
        <v>130</v>
      </c>
      <c r="D146" s="158">
        <f t="shared" si="9"/>
        <v>1868658.7936883508</v>
      </c>
      <c r="E146" s="158">
        <f t="shared" si="8"/>
        <v>16786.664652479867</v>
      </c>
      <c r="F146" s="158">
        <f t="shared" ref="F146:F209" si="12">IF(C146&gt;$C$10,0,($C$6/12)*H145)</f>
        <v>10121.901799145235</v>
      </c>
      <c r="G146" s="158">
        <f t="shared" si="10"/>
        <v>6664.7628533346324</v>
      </c>
      <c r="H146" s="159">
        <f t="shared" si="11"/>
        <v>1861994.0308350162</v>
      </c>
    </row>
    <row r="147" spans="2:9" x14ac:dyDescent="0.2">
      <c r="B147" s="43"/>
      <c r="C147" s="62">
        <v>131</v>
      </c>
      <c r="D147" s="158">
        <f t="shared" si="9"/>
        <v>1861994.0308350162</v>
      </c>
      <c r="E147" s="158">
        <f t="shared" si="8"/>
        <v>16786.664652479867</v>
      </c>
      <c r="F147" s="158">
        <f t="shared" si="12"/>
        <v>10085.801000356338</v>
      </c>
      <c r="G147" s="158">
        <f t="shared" si="10"/>
        <v>6700.8636521235294</v>
      </c>
      <c r="H147" s="159">
        <f t="shared" si="11"/>
        <v>1855293.1671828926</v>
      </c>
    </row>
    <row r="148" spans="2:9" x14ac:dyDescent="0.2">
      <c r="B148" s="49">
        <v>11</v>
      </c>
      <c r="C148" s="161">
        <v>132</v>
      </c>
      <c r="D148" s="172">
        <f t="shared" si="9"/>
        <v>1855293.1671828926</v>
      </c>
      <c r="E148" s="172">
        <f t="shared" si="8"/>
        <v>16786.664652479867</v>
      </c>
      <c r="F148" s="172">
        <f t="shared" si="12"/>
        <v>10049.504655574001</v>
      </c>
      <c r="G148" s="172">
        <f t="shared" si="10"/>
        <v>6737.1599969058661</v>
      </c>
      <c r="H148" s="173">
        <f t="shared" si="11"/>
        <v>1848556.0071859867</v>
      </c>
      <c r="I148" s="162">
        <f>+SUM(G137:G148)+SUM(F137:F148)</f>
        <v>201439.97582975842</v>
      </c>
    </row>
    <row r="149" spans="2:9" x14ac:dyDescent="0.2">
      <c r="B149" s="203"/>
      <c r="C149" s="204">
        <v>133</v>
      </c>
      <c r="D149" s="205">
        <f t="shared" si="9"/>
        <v>1848556.0071859867</v>
      </c>
      <c r="E149" s="205">
        <f t="shared" ref="E149:E212" si="13">IF(C149&gt;$C$10,0,IF(C149&lt;=$C$8,F149,-PMT($C$6/12,$C$9,$C$5,0,0)))</f>
        <v>16786.664652479867</v>
      </c>
      <c r="F149" s="205">
        <f t="shared" si="12"/>
        <v>10013.011705590761</v>
      </c>
      <c r="G149" s="205">
        <f t="shared" si="10"/>
        <v>6773.6529468891058</v>
      </c>
      <c r="H149" s="206">
        <f t="shared" si="11"/>
        <v>1841782.3542390976</v>
      </c>
    </row>
    <row r="150" spans="2:9" x14ac:dyDescent="0.2">
      <c r="B150" s="43"/>
      <c r="C150" s="62">
        <v>134</v>
      </c>
      <c r="D150" s="158">
        <f t="shared" ref="D150:D213" si="14">IF(C150&gt;$C$10,0,H149)</f>
        <v>1841782.3542390976</v>
      </c>
      <c r="E150" s="158">
        <f t="shared" si="13"/>
        <v>16786.664652479867</v>
      </c>
      <c r="F150" s="158">
        <f t="shared" si="12"/>
        <v>9976.3210854617791</v>
      </c>
      <c r="G150" s="158">
        <f t="shared" si="10"/>
        <v>6810.3435670180879</v>
      </c>
      <c r="H150" s="159">
        <f t="shared" si="11"/>
        <v>1834972.0106720794</v>
      </c>
    </row>
    <row r="151" spans="2:9" x14ac:dyDescent="0.2">
      <c r="B151" s="43"/>
      <c r="C151" s="62">
        <v>135</v>
      </c>
      <c r="D151" s="158">
        <f t="shared" si="14"/>
        <v>1834972.0106720794</v>
      </c>
      <c r="E151" s="158">
        <f t="shared" si="13"/>
        <v>16786.664652479867</v>
      </c>
      <c r="F151" s="158">
        <f t="shared" si="12"/>
        <v>9939.4317244737631</v>
      </c>
      <c r="G151" s="158">
        <f t="shared" si="10"/>
        <v>6847.232928006104</v>
      </c>
      <c r="H151" s="159">
        <f t="shared" si="11"/>
        <v>1828124.7777440732</v>
      </c>
    </row>
    <row r="152" spans="2:9" x14ac:dyDescent="0.2">
      <c r="B152" s="43"/>
      <c r="C152" s="62">
        <v>136</v>
      </c>
      <c r="D152" s="158">
        <f t="shared" si="14"/>
        <v>1828124.7777440732</v>
      </c>
      <c r="E152" s="158">
        <f t="shared" si="13"/>
        <v>16786.664652479867</v>
      </c>
      <c r="F152" s="158">
        <f t="shared" si="12"/>
        <v>9902.3425461137304</v>
      </c>
      <c r="G152" s="158">
        <f t="shared" si="10"/>
        <v>6884.3221063661367</v>
      </c>
      <c r="H152" s="159">
        <f t="shared" si="11"/>
        <v>1821240.4556377071</v>
      </c>
    </row>
    <row r="153" spans="2:9" x14ac:dyDescent="0.2">
      <c r="B153" s="43"/>
      <c r="C153" s="62">
        <v>137</v>
      </c>
      <c r="D153" s="158">
        <f t="shared" si="14"/>
        <v>1821240.4556377071</v>
      </c>
      <c r="E153" s="158">
        <f t="shared" si="13"/>
        <v>16786.664652479867</v>
      </c>
      <c r="F153" s="158">
        <f t="shared" si="12"/>
        <v>9865.0524680375802</v>
      </c>
      <c r="G153" s="158">
        <f t="shared" si="10"/>
        <v>6921.6121844422869</v>
      </c>
      <c r="H153" s="159">
        <f t="shared" si="11"/>
        <v>1814318.8434532648</v>
      </c>
    </row>
    <row r="154" spans="2:9" x14ac:dyDescent="0.2">
      <c r="B154" s="43"/>
      <c r="C154" s="62">
        <v>138</v>
      </c>
      <c r="D154" s="158">
        <f t="shared" si="14"/>
        <v>1814318.8434532648</v>
      </c>
      <c r="E154" s="158">
        <f t="shared" si="13"/>
        <v>16786.664652479867</v>
      </c>
      <c r="F154" s="158">
        <f t="shared" si="12"/>
        <v>9827.5604020385181</v>
      </c>
      <c r="G154" s="158">
        <f t="shared" si="10"/>
        <v>6959.104250441349</v>
      </c>
      <c r="H154" s="159">
        <f t="shared" si="11"/>
        <v>1807359.7392028235</v>
      </c>
    </row>
    <row r="155" spans="2:9" x14ac:dyDescent="0.2">
      <c r="B155" s="43"/>
      <c r="C155" s="62">
        <v>139</v>
      </c>
      <c r="D155" s="158">
        <f t="shared" si="14"/>
        <v>1807359.7392028235</v>
      </c>
      <c r="E155" s="158">
        <f t="shared" si="13"/>
        <v>16786.664652479867</v>
      </c>
      <c r="F155" s="158">
        <f t="shared" si="12"/>
        <v>9789.8652540152943</v>
      </c>
      <c r="G155" s="158">
        <f t="shared" si="10"/>
        <v>6996.7993984645727</v>
      </c>
      <c r="H155" s="159">
        <f t="shared" si="11"/>
        <v>1800362.9398043589</v>
      </c>
    </row>
    <row r="156" spans="2:9" x14ac:dyDescent="0.2">
      <c r="B156" s="43"/>
      <c r="C156" s="62">
        <v>140</v>
      </c>
      <c r="D156" s="158">
        <f t="shared" si="14"/>
        <v>1800362.9398043589</v>
      </c>
      <c r="E156" s="158">
        <f t="shared" si="13"/>
        <v>16786.664652479867</v>
      </c>
      <c r="F156" s="158">
        <f t="shared" si="12"/>
        <v>9751.9659239402772</v>
      </c>
      <c r="G156" s="158">
        <f t="shared" si="10"/>
        <v>7034.6987285395899</v>
      </c>
      <c r="H156" s="159">
        <f t="shared" si="11"/>
        <v>1793328.2410758194</v>
      </c>
    </row>
    <row r="157" spans="2:9" x14ac:dyDescent="0.2">
      <c r="B157" s="43"/>
      <c r="C157" s="62">
        <v>141</v>
      </c>
      <c r="D157" s="158">
        <f t="shared" si="14"/>
        <v>1793328.2410758194</v>
      </c>
      <c r="E157" s="158">
        <f t="shared" si="13"/>
        <v>16786.664652479867</v>
      </c>
      <c r="F157" s="158">
        <f t="shared" si="12"/>
        <v>9713.861305827355</v>
      </c>
      <c r="G157" s="158">
        <f t="shared" si="10"/>
        <v>7072.8033466525121</v>
      </c>
      <c r="H157" s="159">
        <f t="shared" si="11"/>
        <v>1786255.4377291668</v>
      </c>
    </row>
    <row r="158" spans="2:9" x14ac:dyDescent="0.2">
      <c r="B158" s="43"/>
      <c r="C158" s="62">
        <v>142</v>
      </c>
      <c r="D158" s="158">
        <f t="shared" si="14"/>
        <v>1786255.4377291668</v>
      </c>
      <c r="E158" s="158">
        <f t="shared" si="13"/>
        <v>16786.664652479867</v>
      </c>
      <c r="F158" s="158">
        <f t="shared" si="12"/>
        <v>9675.5502876996543</v>
      </c>
      <c r="G158" s="158">
        <f t="shared" si="10"/>
        <v>7111.1143647802128</v>
      </c>
      <c r="H158" s="159">
        <f t="shared" si="11"/>
        <v>1779144.3233643866</v>
      </c>
    </row>
    <row r="159" spans="2:9" x14ac:dyDescent="0.2">
      <c r="B159" s="43"/>
      <c r="C159" s="62">
        <v>143</v>
      </c>
      <c r="D159" s="158">
        <f t="shared" si="14"/>
        <v>1779144.3233643866</v>
      </c>
      <c r="E159" s="158">
        <f t="shared" si="13"/>
        <v>16786.664652479867</v>
      </c>
      <c r="F159" s="158">
        <f t="shared" si="12"/>
        <v>9637.031751557095</v>
      </c>
      <c r="G159" s="158">
        <f t="shared" si="10"/>
        <v>7149.632900922772</v>
      </c>
      <c r="H159" s="159">
        <f t="shared" si="11"/>
        <v>1771994.6904634638</v>
      </c>
    </row>
    <row r="160" spans="2:9" x14ac:dyDescent="0.2">
      <c r="B160" s="49">
        <v>12</v>
      </c>
      <c r="C160" s="161">
        <v>144</v>
      </c>
      <c r="D160" s="172">
        <f t="shared" si="14"/>
        <v>1771994.6904634638</v>
      </c>
      <c r="E160" s="172">
        <f t="shared" si="13"/>
        <v>16786.664652479867</v>
      </c>
      <c r="F160" s="172">
        <f t="shared" si="12"/>
        <v>9598.304573343763</v>
      </c>
      <c r="G160" s="172">
        <f t="shared" si="10"/>
        <v>7188.3600791361041</v>
      </c>
      <c r="H160" s="173">
        <f t="shared" si="11"/>
        <v>1764806.3303843276</v>
      </c>
      <c r="I160" s="162">
        <f>+SUM(G149:G160)+SUM(F149:F160)</f>
        <v>201439.97582975839</v>
      </c>
    </row>
    <row r="161" spans="2:9" x14ac:dyDescent="0.2">
      <c r="B161" s="203"/>
      <c r="C161" s="204">
        <v>145</v>
      </c>
      <c r="D161" s="205">
        <f t="shared" si="14"/>
        <v>1764806.3303843276</v>
      </c>
      <c r="E161" s="205">
        <f t="shared" si="13"/>
        <v>16786.664652479867</v>
      </c>
      <c r="F161" s="205">
        <f t="shared" si="12"/>
        <v>9559.3676229151079</v>
      </c>
      <c r="G161" s="205">
        <f t="shared" si="10"/>
        <v>7227.2970295647592</v>
      </c>
      <c r="H161" s="206">
        <f t="shared" si="11"/>
        <v>1757579.0333547627</v>
      </c>
    </row>
    <row r="162" spans="2:9" x14ac:dyDescent="0.2">
      <c r="B162" s="43"/>
      <c r="C162" s="62">
        <v>146</v>
      </c>
      <c r="D162" s="158">
        <f t="shared" si="14"/>
        <v>1757579.0333547627</v>
      </c>
      <c r="E162" s="158">
        <f t="shared" si="13"/>
        <v>16786.664652479867</v>
      </c>
      <c r="F162" s="158">
        <f t="shared" si="12"/>
        <v>9520.2197640049653</v>
      </c>
      <c r="G162" s="158">
        <f t="shared" si="10"/>
        <v>7266.4448884749017</v>
      </c>
      <c r="H162" s="159">
        <f t="shared" si="11"/>
        <v>1750312.5884662878</v>
      </c>
    </row>
    <row r="163" spans="2:9" x14ac:dyDescent="0.2">
      <c r="B163" s="43"/>
      <c r="C163" s="62">
        <v>147</v>
      </c>
      <c r="D163" s="158">
        <f t="shared" si="14"/>
        <v>1750312.5884662878</v>
      </c>
      <c r="E163" s="158">
        <f t="shared" si="13"/>
        <v>16786.664652479867</v>
      </c>
      <c r="F163" s="158">
        <f t="shared" si="12"/>
        <v>9480.859854192393</v>
      </c>
      <c r="G163" s="158">
        <f t="shared" si="10"/>
        <v>7305.8047982874741</v>
      </c>
      <c r="H163" s="159">
        <f t="shared" si="11"/>
        <v>1743006.7836680003</v>
      </c>
    </row>
    <row r="164" spans="2:9" x14ac:dyDescent="0.2">
      <c r="B164" s="43"/>
      <c r="C164" s="62">
        <v>148</v>
      </c>
      <c r="D164" s="158">
        <f t="shared" si="14"/>
        <v>1743006.7836680003</v>
      </c>
      <c r="E164" s="158">
        <f t="shared" si="13"/>
        <v>16786.664652479867</v>
      </c>
      <c r="F164" s="158">
        <f t="shared" si="12"/>
        <v>9441.2867448683355</v>
      </c>
      <c r="G164" s="158">
        <f t="shared" si="10"/>
        <v>7345.3779076115316</v>
      </c>
      <c r="H164" s="159">
        <f t="shared" si="11"/>
        <v>1735661.4057603888</v>
      </c>
    </row>
    <row r="165" spans="2:9" x14ac:dyDescent="0.2">
      <c r="B165" s="43"/>
      <c r="C165" s="62">
        <v>149</v>
      </c>
      <c r="D165" s="158">
        <f t="shared" si="14"/>
        <v>1735661.4057603888</v>
      </c>
      <c r="E165" s="158">
        <f t="shared" si="13"/>
        <v>16786.664652479867</v>
      </c>
      <c r="F165" s="158">
        <f t="shared" si="12"/>
        <v>9401.4992812021064</v>
      </c>
      <c r="G165" s="158">
        <f t="shared" si="10"/>
        <v>7385.1653712777606</v>
      </c>
      <c r="H165" s="159">
        <f t="shared" si="11"/>
        <v>1728276.240389111</v>
      </c>
    </row>
    <row r="166" spans="2:9" x14ac:dyDescent="0.2">
      <c r="B166" s="43"/>
      <c r="C166" s="62">
        <v>150</v>
      </c>
      <c r="D166" s="158">
        <f t="shared" si="14"/>
        <v>1728276.240389111</v>
      </c>
      <c r="E166" s="158">
        <f t="shared" si="13"/>
        <v>16786.664652479867</v>
      </c>
      <c r="F166" s="158">
        <f t="shared" si="12"/>
        <v>9361.4963021076856</v>
      </c>
      <c r="G166" s="158">
        <f t="shared" si="10"/>
        <v>7425.1683503721815</v>
      </c>
      <c r="H166" s="159">
        <f t="shared" si="11"/>
        <v>1720851.0720387388</v>
      </c>
    </row>
    <row r="167" spans="2:9" x14ac:dyDescent="0.2">
      <c r="B167" s="43"/>
      <c r="C167" s="62">
        <v>151</v>
      </c>
      <c r="D167" s="158">
        <f t="shared" si="14"/>
        <v>1720851.0720387388</v>
      </c>
      <c r="E167" s="158">
        <f t="shared" si="13"/>
        <v>16786.664652479867</v>
      </c>
      <c r="F167" s="158">
        <f t="shared" si="12"/>
        <v>9321.276640209835</v>
      </c>
      <c r="G167" s="158">
        <f t="shared" si="10"/>
        <v>7465.388012270032</v>
      </c>
      <c r="H167" s="159">
        <f t="shared" si="11"/>
        <v>1713385.6840264688</v>
      </c>
    </row>
    <row r="168" spans="2:9" x14ac:dyDescent="0.2">
      <c r="B168" s="43"/>
      <c r="C168" s="62">
        <v>152</v>
      </c>
      <c r="D168" s="158">
        <f t="shared" si="14"/>
        <v>1713385.6840264688</v>
      </c>
      <c r="E168" s="158">
        <f t="shared" si="13"/>
        <v>16786.664652479867</v>
      </c>
      <c r="F168" s="158">
        <f t="shared" si="12"/>
        <v>9280.8391218100387</v>
      </c>
      <c r="G168" s="158">
        <f t="shared" si="10"/>
        <v>7505.8255306698284</v>
      </c>
      <c r="H168" s="159">
        <f t="shared" si="11"/>
        <v>1705879.8584957989</v>
      </c>
    </row>
    <row r="169" spans="2:9" x14ac:dyDescent="0.2">
      <c r="B169" s="43"/>
      <c r="C169" s="62">
        <v>153</v>
      </c>
      <c r="D169" s="158">
        <f t="shared" si="14"/>
        <v>1705879.8584957989</v>
      </c>
      <c r="E169" s="158">
        <f t="shared" si="13"/>
        <v>16786.664652479867</v>
      </c>
      <c r="F169" s="158">
        <f t="shared" si="12"/>
        <v>9240.1825668522451</v>
      </c>
      <c r="G169" s="158">
        <f t="shared" si="10"/>
        <v>7546.4820856276219</v>
      </c>
      <c r="H169" s="159">
        <f t="shared" si="11"/>
        <v>1698333.3764101712</v>
      </c>
    </row>
    <row r="170" spans="2:9" x14ac:dyDescent="0.2">
      <c r="B170" s="43"/>
      <c r="C170" s="62">
        <v>154</v>
      </c>
      <c r="D170" s="158">
        <f t="shared" si="14"/>
        <v>1698333.3764101712</v>
      </c>
      <c r="E170" s="158">
        <f t="shared" si="13"/>
        <v>16786.664652479867</v>
      </c>
      <c r="F170" s="158">
        <f t="shared" si="12"/>
        <v>9199.3057888884268</v>
      </c>
      <c r="G170" s="158">
        <f t="shared" si="10"/>
        <v>7587.3588635914402</v>
      </c>
      <c r="H170" s="159">
        <f t="shared" si="11"/>
        <v>1690746.0175465797</v>
      </c>
    </row>
    <row r="171" spans="2:9" x14ac:dyDescent="0.2">
      <c r="B171" s="43"/>
      <c r="C171" s="62">
        <v>155</v>
      </c>
      <c r="D171" s="158">
        <f t="shared" si="14"/>
        <v>1690746.0175465797</v>
      </c>
      <c r="E171" s="158">
        <f t="shared" si="13"/>
        <v>16786.664652479867</v>
      </c>
      <c r="F171" s="158">
        <f t="shared" si="12"/>
        <v>9158.2075950439739</v>
      </c>
      <c r="G171" s="158">
        <f t="shared" si="10"/>
        <v>7628.4570574358931</v>
      </c>
      <c r="H171" s="159">
        <f t="shared" si="11"/>
        <v>1683117.5604891437</v>
      </c>
    </row>
    <row r="172" spans="2:9" x14ac:dyDescent="0.2">
      <c r="B172" s="49">
        <v>13</v>
      </c>
      <c r="C172" s="161">
        <v>156</v>
      </c>
      <c r="D172" s="172">
        <f t="shared" si="14"/>
        <v>1683117.5604891437</v>
      </c>
      <c r="E172" s="172">
        <f t="shared" si="13"/>
        <v>16786.664652479867</v>
      </c>
      <c r="F172" s="172">
        <f t="shared" si="12"/>
        <v>9116.8867859828624</v>
      </c>
      <c r="G172" s="172">
        <f t="shared" si="10"/>
        <v>7669.7778664970047</v>
      </c>
      <c r="H172" s="173">
        <f t="shared" si="11"/>
        <v>1675447.7826226468</v>
      </c>
      <c r="I172" s="162">
        <f>+SUM(G161:G172)+SUM(F161:F172)</f>
        <v>201439.97582975839</v>
      </c>
    </row>
    <row r="173" spans="2:9" x14ac:dyDescent="0.2">
      <c r="B173" s="203"/>
      <c r="C173" s="204">
        <v>157</v>
      </c>
      <c r="D173" s="205">
        <f t="shared" si="14"/>
        <v>1675447.7826226468</v>
      </c>
      <c r="E173" s="205">
        <f t="shared" si="13"/>
        <v>16786.664652479867</v>
      </c>
      <c r="F173" s="205">
        <f t="shared" si="12"/>
        <v>9075.3421558726695</v>
      </c>
      <c r="G173" s="205">
        <f t="shared" si="10"/>
        <v>7711.3224966071975</v>
      </c>
      <c r="H173" s="206">
        <f t="shared" si="11"/>
        <v>1667736.4601260396</v>
      </c>
    </row>
    <row r="174" spans="2:9" x14ac:dyDescent="0.2">
      <c r="B174" s="43"/>
      <c r="C174" s="62">
        <v>158</v>
      </c>
      <c r="D174" s="158">
        <f t="shared" si="14"/>
        <v>1667736.4601260396</v>
      </c>
      <c r="E174" s="158">
        <f t="shared" si="13"/>
        <v>16786.664652479867</v>
      </c>
      <c r="F174" s="158">
        <f t="shared" si="12"/>
        <v>9033.5724923493817</v>
      </c>
      <c r="G174" s="158">
        <f t="shared" si="10"/>
        <v>7753.0921601304854</v>
      </c>
      <c r="H174" s="159">
        <f t="shared" si="11"/>
        <v>1659983.3679659092</v>
      </c>
    </row>
    <row r="175" spans="2:9" x14ac:dyDescent="0.2">
      <c r="B175" s="43"/>
      <c r="C175" s="62">
        <v>159</v>
      </c>
      <c r="D175" s="158">
        <f t="shared" si="14"/>
        <v>1659983.3679659092</v>
      </c>
      <c r="E175" s="158">
        <f t="shared" si="13"/>
        <v>16786.664652479867</v>
      </c>
      <c r="F175" s="158">
        <f t="shared" si="12"/>
        <v>8991.576576482008</v>
      </c>
      <c r="G175" s="158">
        <f t="shared" si="10"/>
        <v>7795.0880759978591</v>
      </c>
      <c r="H175" s="159">
        <f t="shared" si="11"/>
        <v>1652188.2798899114</v>
      </c>
    </row>
    <row r="176" spans="2:9" x14ac:dyDescent="0.2">
      <c r="B176" s="43"/>
      <c r="C176" s="62">
        <v>160</v>
      </c>
      <c r="D176" s="158">
        <f t="shared" si="14"/>
        <v>1652188.2798899114</v>
      </c>
      <c r="E176" s="158">
        <f t="shared" si="13"/>
        <v>16786.664652479867</v>
      </c>
      <c r="F176" s="158">
        <f t="shared" si="12"/>
        <v>8949.3531827370207</v>
      </c>
      <c r="G176" s="158">
        <f t="shared" si="10"/>
        <v>7837.3114697428464</v>
      </c>
      <c r="H176" s="159">
        <f t="shared" si="11"/>
        <v>1644350.9684201686</v>
      </c>
    </row>
    <row r="177" spans="2:9" x14ac:dyDescent="0.2">
      <c r="B177" s="43"/>
      <c r="C177" s="62">
        <v>161</v>
      </c>
      <c r="D177" s="158">
        <f t="shared" si="14"/>
        <v>1644350.9684201686</v>
      </c>
      <c r="E177" s="158">
        <f t="shared" si="13"/>
        <v>16786.664652479867</v>
      </c>
      <c r="F177" s="158">
        <f t="shared" si="12"/>
        <v>8906.9010789425811</v>
      </c>
      <c r="G177" s="158">
        <f t="shared" si="10"/>
        <v>7879.763573537286</v>
      </c>
      <c r="H177" s="159">
        <f t="shared" si="11"/>
        <v>1636471.2048466313</v>
      </c>
    </row>
    <row r="178" spans="2:9" x14ac:dyDescent="0.2">
      <c r="B178" s="43"/>
      <c r="C178" s="62">
        <v>162</v>
      </c>
      <c r="D178" s="158">
        <f t="shared" si="14"/>
        <v>1636471.2048466313</v>
      </c>
      <c r="E178" s="158">
        <f t="shared" si="13"/>
        <v>16786.664652479867</v>
      </c>
      <c r="F178" s="158">
        <f t="shared" si="12"/>
        <v>8864.2190262525855</v>
      </c>
      <c r="G178" s="158">
        <f t="shared" si="10"/>
        <v>7922.4456262272815</v>
      </c>
      <c r="H178" s="159">
        <f t="shared" si="11"/>
        <v>1628548.7592204041</v>
      </c>
    </row>
    <row r="179" spans="2:9" x14ac:dyDescent="0.2">
      <c r="B179" s="43"/>
      <c r="C179" s="62">
        <v>163</v>
      </c>
      <c r="D179" s="158">
        <f t="shared" si="14"/>
        <v>1628548.7592204041</v>
      </c>
      <c r="E179" s="158">
        <f t="shared" si="13"/>
        <v>16786.664652479867</v>
      </c>
      <c r="F179" s="158">
        <f t="shared" si="12"/>
        <v>8821.3057791105221</v>
      </c>
      <c r="G179" s="158">
        <f t="shared" si="10"/>
        <v>7965.358873369345</v>
      </c>
      <c r="H179" s="159">
        <f t="shared" si="11"/>
        <v>1620583.4003470347</v>
      </c>
    </row>
    <row r="180" spans="2:9" x14ac:dyDescent="0.2">
      <c r="B180" s="43"/>
      <c r="C180" s="62">
        <v>164</v>
      </c>
      <c r="D180" s="158">
        <f t="shared" si="14"/>
        <v>1620583.4003470347</v>
      </c>
      <c r="E180" s="158">
        <f t="shared" si="13"/>
        <v>16786.664652479867</v>
      </c>
      <c r="F180" s="158">
        <f t="shared" si="12"/>
        <v>8778.160085213105</v>
      </c>
      <c r="G180" s="158">
        <f t="shared" si="10"/>
        <v>8008.504567266762</v>
      </c>
      <c r="H180" s="159">
        <f t="shared" si="11"/>
        <v>1612574.895779768</v>
      </c>
    </row>
    <row r="181" spans="2:9" x14ac:dyDescent="0.2">
      <c r="B181" s="43"/>
      <c r="C181" s="62">
        <v>165</v>
      </c>
      <c r="D181" s="158">
        <f t="shared" si="14"/>
        <v>1612574.895779768</v>
      </c>
      <c r="E181" s="158">
        <f t="shared" si="13"/>
        <v>16786.664652479867</v>
      </c>
      <c r="F181" s="158">
        <f t="shared" si="12"/>
        <v>8734.7806854737428</v>
      </c>
      <c r="G181" s="158">
        <f t="shared" si="10"/>
        <v>8051.8839670061243</v>
      </c>
      <c r="H181" s="159">
        <f t="shared" si="11"/>
        <v>1604523.0118127619</v>
      </c>
    </row>
    <row r="182" spans="2:9" x14ac:dyDescent="0.2">
      <c r="B182" s="43"/>
      <c r="C182" s="62">
        <v>166</v>
      </c>
      <c r="D182" s="158">
        <f t="shared" si="14"/>
        <v>1604523.0118127619</v>
      </c>
      <c r="E182" s="158">
        <f t="shared" si="13"/>
        <v>16786.664652479867</v>
      </c>
      <c r="F182" s="158">
        <f t="shared" si="12"/>
        <v>8691.1663139857937</v>
      </c>
      <c r="G182" s="158">
        <f t="shared" si="10"/>
        <v>8095.4983384940733</v>
      </c>
      <c r="H182" s="159">
        <f t="shared" si="11"/>
        <v>1596427.5134742679</v>
      </c>
    </row>
    <row r="183" spans="2:9" x14ac:dyDescent="0.2">
      <c r="B183" s="43"/>
      <c r="C183" s="62">
        <v>167</v>
      </c>
      <c r="D183" s="158">
        <f t="shared" si="14"/>
        <v>1596427.5134742679</v>
      </c>
      <c r="E183" s="158">
        <f t="shared" si="13"/>
        <v>16786.664652479867</v>
      </c>
      <c r="F183" s="158">
        <f t="shared" si="12"/>
        <v>8647.3156979856176</v>
      </c>
      <c r="G183" s="158">
        <f t="shared" si="10"/>
        <v>8139.3489544942495</v>
      </c>
      <c r="H183" s="159">
        <f t="shared" si="11"/>
        <v>1588288.1645197736</v>
      </c>
    </row>
    <row r="184" spans="2:9" x14ac:dyDescent="0.2">
      <c r="B184" s="49">
        <v>14</v>
      </c>
      <c r="C184" s="161">
        <v>168</v>
      </c>
      <c r="D184" s="172">
        <f t="shared" si="14"/>
        <v>1588288.1645197736</v>
      </c>
      <c r="E184" s="172">
        <f t="shared" si="13"/>
        <v>16786.664652479867</v>
      </c>
      <c r="F184" s="172">
        <f t="shared" si="12"/>
        <v>8603.2275578154404</v>
      </c>
      <c r="G184" s="172">
        <f t="shared" si="10"/>
        <v>8183.4370946644267</v>
      </c>
      <c r="H184" s="173">
        <f t="shared" si="11"/>
        <v>1580104.7274251091</v>
      </c>
      <c r="I184" s="162">
        <f>+SUM(G173:G184)+SUM(F173:F184)</f>
        <v>201439.97582975839</v>
      </c>
    </row>
    <row r="185" spans="2:9" x14ac:dyDescent="0.2">
      <c r="B185" s="203"/>
      <c r="C185" s="204">
        <v>169</v>
      </c>
      <c r="D185" s="205">
        <f t="shared" si="14"/>
        <v>1580104.7274251091</v>
      </c>
      <c r="E185" s="205">
        <f t="shared" si="13"/>
        <v>16786.664652479867</v>
      </c>
      <c r="F185" s="205">
        <f t="shared" si="12"/>
        <v>8558.900606886009</v>
      </c>
      <c r="G185" s="205">
        <f t="shared" si="10"/>
        <v>8227.7640455938581</v>
      </c>
      <c r="H185" s="206">
        <f t="shared" si="11"/>
        <v>1571876.9633795153</v>
      </c>
    </row>
    <row r="186" spans="2:9" x14ac:dyDescent="0.2">
      <c r="B186" s="43"/>
      <c r="C186" s="62">
        <v>170</v>
      </c>
      <c r="D186" s="158">
        <f t="shared" si="14"/>
        <v>1571876.9633795153</v>
      </c>
      <c r="E186" s="158">
        <f t="shared" si="13"/>
        <v>16786.664652479867</v>
      </c>
      <c r="F186" s="158">
        <f t="shared" si="12"/>
        <v>8514.3335516390416</v>
      </c>
      <c r="G186" s="158">
        <f t="shared" si="10"/>
        <v>8272.3311008408255</v>
      </c>
      <c r="H186" s="159">
        <f t="shared" si="11"/>
        <v>1563604.6322786745</v>
      </c>
    </row>
    <row r="187" spans="2:9" x14ac:dyDescent="0.2">
      <c r="B187" s="43"/>
      <c r="C187" s="62">
        <v>171</v>
      </c>
      <c r="D187" s="158">
        <f t="shared" si="14"/>
        <v>1563604.6322786745</v>
      </c>
      <c r="E187" s="158">
        <f t="shared" si="13"/>
        <v>16786.664652479867</v>
      </c>
      <c r="F187" s="158">
        <f t="shared" si="12"/>
        <v>8469.5250915094875</v>
      </c>
      <c r="G187" s="158">
        <f t="shared" si="10"/>
        <v>8317.1395609703795</v>
      </c>
      <c r="H187" s="159">
        <f t="shared" si="11"/>
        <v>1555287.492717704</v>
      </c>
    </row>
    <row r="188" spans="2:9" x14ac:dyDescent="0.2">
      <c r="B188" s="43"/>
      <c r="C188" s="62">
        <v>172</v>
      </c>
      <c r="D188" s="158">
        <f t="shared" si="14"/>
        <v>1555287.492717704</v>
      </c>
      <c r="E188" s="158">
        <f t="shared" si="13"/>
        <v>16786.664652479867</v>
      </c>
      <c r="F188" s="158">
        <f t="shared" si="12"/>
        <v>8424.4739188875647</v>
      </c>
      <c r="G188" s="158">
        <f t="shared" si="10"/>
        <v>8362.1907335923024</v>
      </c>
      <c r="H188" s="159">
        <f t="shared" si="11"/>
        <v>1546925.3019841118</v>
      </c>
    </row>
    <row r="189" spans="2:9" x14ac:dyDescent="0.2">
      <c r="B189" s="43"/>
      <c r="C189" s="62">
        <v>173</v>
      </c>
      <c r="D189" s="158">
        <f t="shared" si="14"/>
        <v>1546925.3019841118</v>
      </c>
      <c r="E189" s="158">
        <f t="shared" si="13"/>
        <v>16786.664652479867</v>
      </c>
      <c r="F189" s="158">
        <f t="shared" si="12"/>
        <v>8379.1787190806062</v>
      </c>
      <c r="G189" s="158">
        <f t="shared" si="10"/>
        <v>8407.4859333992608</v>
      </c>
      <c r="H189" s="159">
        <f t="shared" si="11"/>
        <v>1538517.8160507125</v>
      </c>
    </row>
    <row r="190" spans="2:9" x14ac:dyDescent="0.2">
      <c r="B190" s="43"/>
      <c r="C190" s="62">
        <v>174</v>
      </c>
      <c r="D190" s="158">
        <f t="shared" si="14"/>
        <v>1538517.8160507125</v>
      </c>
      <c r="E190" s="158">
        <f t="shared" si="13"/>
        <v>16786.664652479867</v>
      </c>
      <c r="F190" s="158">
        <f t="shared" si="12"/>
        <v>8333.638170274693</v>
      </c>
      <c r="G190" s="158">
        <f t="shared" si="10"/>
        <v>8453.026482205174</v>
      </c>
      <c r="H190" s="159">
        <f t="shared" si="11"/>
        <v>1530064.7895685073</v>
      </c>
    </row>
    <row r="191" spans="2:9" x14ac:dyDescent="0.2">
      <c r="B191" s="43"/>
      <c r="C191" s="62">
        <v>175</v>
      </c>
      <c r="D191" s="158">
        <f t="shared" si="14"/>
        <v>1530064.7895685073</v>
      </c>
      <c r="E191" s="158">
        <f t="shared" si="13"/>
        <v>16786.664652479867</v>
      </c>
      <c r="F191" s="158">
        <f t="shared" si="12"/>
        <v>8287.8509434960815</v>
      </c>
      <c r="G191" s="158">
        <f t="shared" si="10"/>
        <v>8498.8137089837855</v>
      </c>
      <c r="H191" s="159">
        <f t="shared" si="11"/>
        <v>1521565.9758595235</v>
      </c>
    </row>
    <row r="192" spans="2:9" x14ac:dyDescent="0.2">
      <c r="B192" s="43"/>
      <c r="C192" s="62">
        <v>176</v>
      </c>
      <c r="D192" s="158">
        <f t="shared" si="14"/>
        <v>1521565.9758595235</v>
      </c>
      <c r="E192" s="158">
        <f t="shared" si="13"/>
        <v>16786.664652479867</v>
      </c>
      <c r="F192" s="158">
        <f t="shared" si="12"/>
        <v>8241.8157025724195</v>
      </c>
      <c r="G192" s="158">
        <f t="shared" si="10"/>
        <v>8544.8489499074476</v>
      </c>
      <c r="H192" s="159">
        <f t="shared" si="11"/>
        <v>1513021.1269096162</v>
      </c>
    </row>
    <row r="193" spans="2:9" x14ac:dyDescent="0.2">
      <c r="B193" s="43"/>
      <c r="C193" s="62">
        <v>177</v>
      </c>
      <c r="D193" s="158">
        <f t="shared" si="14"/>
        <v>1513021.1269096162</v>
      </c>
      <c r="E193" s="158">
        <f t="shared" si="13"/>
        <v>16786.664652479867</v>
      </c>
      <c r="F193" s="158">
        <f t="shared" si="12"/>
        <v>8195.531104093754</v>
      </c>
      <c r="G193" s="158">
        <f t="shared" si="10"/>
        <v>8591.133548386113</v>
      </c>
      <c r="H193" s="159">
        <f t="shared" si="11"/>
        <v>1504429.99336123</v>
      </c>
    </row>
    <row r="194" spans="2:9" x14ac:dyDescent="0.2">
      <c r="B194" s="43"/>
      <c r="C194" s="62">
        <v>178</v>
      </c>
      <c r="D194" s="158">
        <f t="shared" si="14"/>
        <v>1504429.99336123</v>
      </c>
      <c r="E194" s="158">
        <f t="shared" si="13"/>
        <v>16786.664652479867</v>
      </c>
      <c r="F194" s="158">
        <f t="shared" si="12"/>
        <v>8148.9957973733299</v>
      </c>
      <c r="G194" s="158">
        <f t="shared" si="10"/>
        <v>8637.6688551065381</v>
      </c>
      <c r="H194" s="159">
        <f t="shared" si="11"/>
        <v>1495792.3245061236</v>
      </c>
    </row>
    <row r="195" spans="2:9" x14ac:dyDescent="0.2">
      <c r="B195" s="43"/>
      <c r="C195" s="62">
        <v>179</v>
      </c>
      <c r="D195" s="158">
        <f t="shared" si="14"/>
        <v>1495792.3245061236</v>
      </c>
      <c r="E195" s="158">
        <f t="shared" si="13"/>
        <v>16786.664652479867</v>
      </c>
      <c r="F195" s="158">
        <f t="shared" si="12"/>
        <v>8102.2084244081698</v>
      </c>
      <c r="G195" s="158">
        <f t="shared" si="10"/>
        <v>8684.4562280716964</v>
      </c>
      <c r="H195" s="159">
        <f t="shared" si="11"/>
        <v>1487107.868278052</v>
      </c>
    </row>
    <row r="196" spans="2:9" x14ac:dyDescent="0.2">
      <c r="B196" s="49">
        <v>15</v>
      </c>
      <c r="C196" s="161">
        <v>180</v>
      </c>
      <c r="D196" s="172">
        <f t="shared" si="14"/>
        <v>1487107.868278052</v>
      </c>
      <c r="E196" s="172">
        <f t="shared" si="13"/>
        <v>16786.664652479867</v>
      </c>
      <c r="F196" s="172">
        <f t="shared" si="12"/>
        <v>8055.167619839448</v>
      </c>
      <c r="G196" s="172">
        <f t="shared" si="10"/>
        <v>8731.4970326404182</v>
      </c>
      <c r="H196" s="173">
        <f t="shared" si="11"/>
        <v>1478376.3712454115</v>
      </c>
      <c r="I196" s="162">
        <f>+SUM(G185:G196)+SUM(F185:F196)</f>
        <v>201439.97582975839</v>
      </c>
    </row>
    <row r="197" spans="2:9" x14ac:dyDescent="0.2">
      <c r="B197" s="203"/>
      <c r="C197" s="204">
        <v>181</v>
      </c>
      <c r="D197" s="205">
        <f t="shared" si="14"/>
        <v>1478376.3712454115</v>
      </c>
      <c r="E197" s="205">
        <f t="shared" si="13"/>
        <v>16786.664652479867</v>
      </c>
      <c r="F197" s="205">
        <f t="shared" si="12"/>
        <v>8007.8720109126452</v>
      </c>
      <c r="G197" s="205">
        <f t="shared" si="10"/>
        <v>8778.7926415672227</v>
      </c>
      <c r="H197" s="206">
        <f t="shared" si="11"/>
        <v>1469597.5786038442</v>
      </c>
    </row>
    <row r="198" spans="2:9" x14ac:dyDescent="0.2">
      <c r="B198" s="43"/>
      <c r="C198" s="62">
        <v>182</v>
      </c>
      <c r="D198" s="158">
        <f t="shared" si="14"/>
        <v>1469597.5786038442</v>
      </c>
      <c r="E198" s="158">
        <f t="shared" si="13"/>
        <v>16786.664652479867</v>
      </c>
      <c r="F198" s="158">
        <f t="shared" si="12"/>
        <v>7960.3202174374892</v>
      </c>
      <c r="G198" s="158">
        <f t="shared" si="10"/>
        <v>8826.3444350423779</v>
      </c>
      <c r="H198" s="159">
        <f t="shared" si="11"/>
        <v>1460771.2341688017</v>
      </c>
    </row>
    <row r="199" spans="2:9" x14ac:dyDescent="0.2">
      <c r="B199" s="43"/>
      <c r="C199" s="62">
        <v>183</v>
      </c>
      <c r="D199" s="158">
        <f t="shared" si="14"/>
        <v>1460771.2341688017</v>
      </c>
      <c r="E199" s="158">
        <f t="shared" si="13"/>
        <v>16786.664652479867</v>
      </c>
      <c r="F199" s="158">
        <f t="shared" si="12"/>
        <v>7912.5108517476765</v>
      </c>
      <c r="G199" s="158">
        <f t="shared" si="10"/>
        <v>8874.1538007321906</v>
      </c>
      <c r="H199" s="159">
        <f t="shared" si="11"/>
        <v>1451897.0803680695</v>
      </c>
    </row>
    <row r="200" spans="2:9" x14ac:dyDescent="0.2">
      <c r="B200" s="43"/>
      <c r="C200" s="62">
        <v>184</v>
      </c>
      <c r="D200" s="158">
        <f t="shared" si="14"/>
        <v>1451897.0803680695</v>
      </c>
      <c r="E200" s="158">
        <f t="shared" si="13"/>
        <v>16786.664652479867</v>
      </c>
      <c r="F200" s="158">
        <f t="shared" si="12"/>
        <v>7864.4425186603767</v>
      </c>
      <c r="G200" s="158">
        <f t="shared" si="10"/>
        <v>8922.2221338194904</v>
      </c>
      <c r="H200" s="159">
        <f t="shared" si="11"/>
        <v>1442974.85823425</v>
      </c>
    </row>
    <row r="201" spans="2:9" x14ac:dyDescent="0.2">
      <c r="B201" s="43"/>
      <c r="C201" s="62">
        <v>185</v>
      </c>
      <c r="D201" s="158">
        <f t="shared" si="14"/>
        <v>1442974.85823425</v>
      </c>
      <c r="E201" s="158">
        <f t="shared" si="13"/>
        <v>16786.664652479867</v>
      </c>
      <c r="F201" s="158">
        <f t="shared" si="12"/>
        <v>7816.1138154355212</v>
      </c>
      <c r="G201" s="158">
        <f t="shared" si="10"/>
        <v>8970.5508370443458</v>
      </c>
      <c r="H201" s="159">
        <f t="shared" si="11"/>
        <v>1434004.3073972056</v>
      </c>
    </row>
    <row r="202" spans="2:9" x14ac:dyDescent="0.2">
      <c r="B202" s="43"/>
      <c r="C202" s="62">
        <v>186</v>
      </c>
      <c r="D202" s="158">
        <f t="shared" si="14"/>
        <v>1434004.3073972056</v>
      </c>
      <c r="E202" s="158">
        <f t="shared" si="13"/>
        <v>16786.664652479867</v>
      </c>
      <c r="F202" s="158">
        <f t="shared" si="12"/>
        <v>7767.5233317348639</v>
      </c>
      <c r="G202" s="158">
        <f t="shared" si="10"/>
        <v>9019.1413207450023</v>
      </c>
      <c r="H202" s="159">
        <f t="shared" si="11"/>
        <v>1424985.1660764606</v>
      </c>
    </row>
    <row r="203" spans="2:9" x14ac:dyDescent="0.2">
      <c r="B203" s="43"/>
      <c r="C203" s="62">
        <v>187</v>
      </c>
      <c r="D203" s="158">
        <f t="shared" si="14"/>
        <v>1424985.1660764606</v>
      </c>
      <c r="E203" s="158">
        <f t="shared" si="13"/>
        <v>16786.664652479867</v>
      </c>
      <c r="F203" s="158">
        <f t="shared" si="12"/>
        <v>7718.6696495808283</v>
      </c>
      <c r="G203" s="158">
        <f t="shared" si="10"/>
        <v>9067.9950028990388</v>
      </c>
      <c r="H203" s="159">
        <f t="shared" si="11"/>
        <v>1415917.1710735615</v>
      </c>
    </row>
    <row r="204" spans="2:9" x14ac:dyDescent="0.2">
      <c r="B204" s="43"/>
      <c r="C204" s="62">
        <v>188</v>
      </c>
      <c r="D204" s="158">
        <f t="shared" si="14"/>
        <v>1415917.1710735615</v>
      </c>
      <c r="E204" s="158">
        <f t="shared" si="13"/>
        <v>16786.664652479867</v>
      </c>
      <c r="F204" s="158">
        <f t="shared" si="12"/>
        <v>7669.5513433151255</v>
      </c>
      <c r="G204" s="158">
        <f t="shared" si="10"/>
        <v>9117.1133091647425</v>
      </c>
      <c r="H204" s="159">
        <f t="shared" si="11"/>
        <v>1406800.0577643968</v>
      </c>
    </row>
    <row r="205" spans="2:9" x14ac:dyDescent="0.2">
      <c r="B205" s="43"/>
      <c r="C205" s="62">
        <v>189</v>
      </c>
      <c r="D205" s="158">
        <f t="shared" si="14"/>
        <v>1406800.0577643968</v>
      </c>
      <c r="E205" s="158">
        <f t="shared" si="13"/>
        <v>16786.664652479867</v>
      </c>
      <c r="F205" s="158">
        <f t="shared" si="12"/>
        <v>7620.1669795571497</v>
      </c>
      <c r="G205" s="158">
        <f t="shared" si="10"/>
        <v>9166.4976729227164</v>
      </c>
      <c r="H205" s="159">
        <f t="shared" si="11"/>
        <v>1397633.5600914741</v>
      </c>
    </row>
    <row r="206" spans="2:9" x14ac:dyDescent="0.2">
      <c r="B206" s="43"/>
      <c r="C206" s="62">
        <v>190</v>
      </c>
      <c r="D206" s="158">
        <f t="shared" si="14"/>
        <v>1397633.5600914741</v>
      </c>
      <c r="E206" s="158">
        <f t="shared" si="13"/>
        <v>16786.664652479867</v>
      </c>
      <c r="F206" s="158">
        <f t="shared" si="12"/>
        <v>7570.5151171621519</v>
      </c>
      <c r="G206" s="158">
        <f t="shared" si="10"/>
        <v>9216.1495353177161</v>
      </c>
      <c r="H206" s="159">
        <f t="shared" si="11"/>
        <v>1388417.4105561564</v>
      </c>
    </row>
    <row r="207" spans="2:9" x14ac:dyDescent="0.2">
      <c r="B207" s="43"/>
      <c r="C207" s="62">
        <v>191</v>
      </c>
      <c r="D207" s="158">
        <f t="shared" si="14"/>
        <v>1388417.4105561564</v>
      </c>
      <c r="E207" s="158">
        <f t="shared" si="13"/>
        <v>16786.664652479867</v>
      </c>
      <c r="F207" s="158">
        <f t="shared" si="12"/>
        <v>7520.5943071791808</v>
      </c>
      <c r="G207" s="158">
        <f t="shared" si="10"/>
        <v>9266.0703453006863</v>
      </c>
      <c r="H207" s="159">
        <f t="shared" si="11"/>
        <v>1379151.3402108557</v>
      </c>
    </row>
    <row r="208" spans="2:9" x14ac:dyDescent="0.2">
      <c r="B208" s="49">
        <v>16</v>
      </c>
      <c r="C208" s="161">
        <v>192</v>
      </c>
      <c r="D208" s="172">
        <f t="shared" si="14"/>
        <v>1379151.3402108557</v>
      </c>
      <c r="E208" s="172">
        <f t="shared" si="13"/>
        <v>16786.664652479867</v>
      </c>
      <c r="F208" s="172">
        <f t="shared" si="12"/>
        <v>7470.4030928088023</v>
      </c>
      <c r="G208" s="172">
        <f t="shared" si="10"/>
        <v>9316.2615596710639</v>
      </c>
      <c r="H208" s="173">
        <f t="shared" si="11"/>
        <v>1369835.0786511847</v>
      </c>
      <c r="I208" s="162">
        <f>+SUM(G197:G208)+SUM(F197:F208)</f>
        <v>201439.97582975839</v>
      </c>
    </row>
    <row r="209" spans="2:9" x14ac:dyDescent="0.2">
      <c r="B209" s="203"/>
      <c r="C209" s="204">
        <v>193</v>
      </c>
      <c r="D209" s="205">
        <f t="shared" si="14"/>
        <v>1369835.0786511847</v>
      </c>
      <c r="E209" s="205">
        <f t="shared" si="13"/>
        <v>16786.664652479867</v>
      </c>
      <c r="F209" s="205">
        <f t="shared" si="12"/>
        <v>7419.9400093605836</v>
      </c>
      <c r="G209" s="205">
        <f t="shared" ref="G209:G272" si="15">E209-F209</f>
        <v>9366.7246431192834</v>
      </c>
      <c r="H209" s="206">
        <f t="shared" ref="H209:H272" si="16">D209-G209</f>
        <v>1360468.3540080653</v>
      </c>
    </row>
    <row r="210" spans="2:9" x14ac:dyDescent="0.2">
      <c r="B210" s="43"/>
      <c r="C210" s="62">
        <v>194</v>
      </c>
      <c r="D210" s="158">
        <f t="shared" si="14"/>
        <v>1360468.3540080653</v>
      </c>
      <c r="E210" s="158">
        <f t="shared" si="13"/>
        <v>16786.664652479867</v>
      </c>
      <c r="F210" s="158">
        <f t="shared" ref="F210:F273" si="17">IF(C210&gt;$C$10,0,($C$6/12)*H209)</f>
        <v>7369.2035842103542</v>
      </c>
      <c r="G210" s="158">
        <f t="shared" si="15"/>
        <v>9417.4610682695129</v>
      </c>
      <c r="H210" s="159">
        <f t="shared" si="16"/>
        <v>1351050.8929397957</v>
      </c>
    </row>
    <row r="211" spans="2:9" x14ac:dyDescent="0.2">
      <c r="B211" s="43"/>
      <c r="C211" s="62">
        <v>195</v>
      </c>
      <c r="D211" s="158">
        <f t="shared" si="14"/>
        <v>1351050.8929397957</v>
      </c>
      <c r="E211" s="158">
        <f t="shared" si="13"/>
        <v>16786.664652479867</v>
      </c>
      <c r="F211" s="158">
        <f t="shared" si="17"/>
        <v>7318.1923367572272</v>
      </c>
      <c r="G211" s="158">
        <f t="shared" si="15"/>
        <v>9468.4723157226399</v>
      </c>
      <c r="H211" s="159">
        <f t="shared" si="16"/>
        <v>1341582.4206240731</v>
      </c>
    </row>
    <row r="212" spans="2:9" x14ac:dyDescent="0.2">
      <c r="B212" s="43"/>
      <c r="C212" s="62">
        <v>196</v>
      </c>
      <c r="D212" s="158">
        <f t="shared" si="14"/>
        <v>1341582.4206240731</v>
      </c>
      <c r="E212" s="158">
        <f t="shared" si="13"/>
        <v>16786.664652479867</v>
      </c>
      <c r="F212" s="158">
        <f t="shared" si="17"/>
        <v>7266.9047783803962</v>
      </c>
      <c r="G212" s="158">
        <f t="shared" si="15"/>
        <v>9519.7598740994708</v>
      </c>
      <c r="H212" s="159">
        <f t="shared" si="16"/>
        <v>1332062.6607499737</v>
      </c>
    </row>
    <row r="213" spans="2:9" x14ac:dyDescent="0.2">
      <c r="B213" s="43"/>
      <c r="C213" s="62">
        <v>197</v>
      </c>
      <c r="D213" s="158">
        <f t="shared" si="14"/>
        <v>1332062.6607499737</v>
      </c>
      <c r="E213" s="158">
        <f t="shared" ref="E213:E276" si="18">IF(C213&gt;$C$10,0,IF(C213&lt;=$C$8,F213,-PMT($C$6/12,$C$9,$C$5,0,0)))</f>
        <v>16786.664652479867</v>
      </c>
      <c r="F213" s="158">
        <f t="shared" si="17"/>
        <v>7215.3394123956914</v>
      </c>
      <c r="G213" s="158">
        <f t="shared" si="15"/>
        <v>9571.3252400841757</v>
      </c>
      <c r="H213" s="159">
        <f t="shared" si="16"/>
        <v>1322491.3355098895</v>
      </c>
    </row>
    <row r="214" spans="2:9" x14ac:dyDescent="0.2">
      <c r="B214" s="43"/>
      <c r="C214" s="62">
        <v>198</v>
      </c>
      <c r="D214" s="158">
        <f t="shared" ref="D214:D277" si="19">IF(C214&gt;$C$10,0,H213)</f>
        <v>1322491.3355098895</v>
      </c>
      <c r="E214" s="158">
        <f t="shared" si="18"/>
        <v>16786.664652479867</v>
      </c>
      <c r="F214" s="158">
        <f t="shared" si="17"/>
        <v>7163.4947340119015</v>
      </c>
      <c r="G214" s="158">
        <f t="shared" si="15"/>
        <v>9623.1699184679655</v>
      </c>
      <c r="H214" s="159">
        <f t="shared" si="16"/>
        <v>1312868.1655914215</v>
      </c>
    </row>
    <row r="215" spans="2:9" x14ac:dyDescent="0.2">
      <c r="B215" s="43"/>
      <c r="C215" s="62">
        <v>199</v>
      </c>
      <c r="D215" s="158">
        <f t="shared" si="19"/>
        <v>1312868.1655914215</v>
      </c>
      <c r="E215" s="158">
        <f t="shared" si="18"/>
        <v>16786.664652479867</v>
      </c>
      <c r="F215" s="158">
        <f t="shared" si="17"/>
        <v>7111.3692302868667</v>
      </c>
      <c r="G215" s="158">
        <f t="shared" si="15"/>
        <v>9675.2954221930013</v>
      </c>
      <c r="H215" s="159">
        <f t="shared" si="16"/>
        <v>1303192.8701692286</v>
      </c>
    </row>
    <row r="216" spans="2:9" x14ac:dyDescent="0.2">
      <c r="B216" s="43"/>
      <c r="C216" s="62">
        <v>200</v>
      </c>
      <c r="D216" s="158">
        <f t="shared" si="19"/>
        <v>1303192.8701692286</v>
      </c>
      <c r="E216" s="158">
        <f t="shared" si="18"/>
        <v>16786.664652479867</v>
      </c>
      <c r="F216" s="158">
        <f t="shared" si="17"/>
        <v>7058.9613800833222</v>
      </c>
      <c r="G216" s="158">
        <f t="shared" si="15"/>
        <v>9727.7032723965458</v>
      </c>
      <c r="H216" s="159">
        <f t="shared" si="16"/>
        <v>1293465.1668968322</v>
      </c>
    </row>
    <row r="217" spans="2:9" x14ac:dyDescent="0.2">
      <c r="B217" s="43"/>
      <c r="C217" s="62">
        <v>201</v>
      </c>
      <c r="D217" s="158">
        <f t="shared" si="19"/>
        <v>1293465.1668968322</v>
      </c>
      <c r="E217" s="158">
        <f t="shared" si="18"/>
        <v>16786.664652479867</v>
      </c>
      <c r="F217" s="158">
        <f t="shared" si="17"/>
        <v>7006.2696540245079</v>
      </c>
      <c r="G217" s="158">
        <f t="shared" si="15"/>
        <v>9780.3949984553583</v>
      </c>
      <c r="H217" s="159">
        <f t="shared" si="16"/>
        <v>1283684.7718983768</v>
      </c>
    </row>
    <row r="218" spans="2:9" x14ac:dyDescent="0.2">
      <c r="B218" s="43"/>
      <c r="C218" s="62">
        <v>202</v>
      </c>
      <c r="D218" s="158">
        <f t="shared" si="19"/>
        <v>1283684.7718983768</v>
      </c>
      <c r="E218" s="158">
        <f t="shared" si="18"/>
        <v>16786.664652479867</v>
      </c>
      <c r="F218" s="158">
        <f t="shared" si="17"/>
        <v>6953.2925144495412</v>
      </c>
      <c r="G218" s="158">
        <f t="shared" si="15"/>
        <v>9833.372138030325</v>
      </c>
      <c r="H218" s="159">
        <f t="shared" si="16"/>
        <v>1273851.3997603464</v>
      </c>
    </row>
    <row r="219" spans="2:9" x14ac:dyDescent="0.2">
      <c r="B219" s="43"/>
      <c r="C219" s="62">
        <v>203</v>
      </c>
      <c r="D219" s="158">
        <f t="shared" si="19"/>
        <v>1273851.3997603464</v>
      </c>
      <c r="E219" s="158">
        <f t="shared" si="18"/>
        <v>16786.664652479867</v>
      </c>
      <c r="F219" s="158">
        <f t="shared" si="17"/>
        <v>6900.0284153685434</v>
      </c>
      <c r="G219" s="158">
        <f t="shared" si="15"/>
        <v>9886.6362371113246</v>
      </c>
      <c r="H219" s="159">
        <f t="shared" si="16"/>
        <v>1263964.763523235</v>
      </c>
    </row>
    <row r="220" spans="2:9" x14ac:dyDescent="0.2">
      <c r="B220" s="49">
        <v>17</v>
      </c>
      <c r="C220" s="161">
        <v>204</v>
      </c>
      <c r="D220" s="172">
        <f t="shared" si="19"/>
        <v>1263964.763523235</v>
      </c>
      <c r="E220" s="172">
        <f t="shared" si="18"/>
        <v>16786.664652479867</v>
      </c>
      <c r="F220" s="172">
        <f t="shared" si="17"/>
        <v>6846.4758024175235</v>
      </c>
      <c r="G220" s="172">
        <f t="shared" si="15"/>
        <v>9940.1888500623427</v>
      </c>
      <c r="H220" s="173">
        <f t="shared" si="16"/>
        <v>1254024.5746731726</v>
      </c>
      <c r="I220" s="162">
        <f>+SUM(G209:G220)+SUM(F209:F220)</f>
        <v>201439.97582975842</v>
      </c>
    </row>
    <row r="221" spans="2:9" x14ac:dyDescent="0.2">
      <c r="B221" s="203"/>
      <c r="C221" s="204">
        <v>205</v>
      </c>
      <c r="D221" s="205">
        <f t="shared" si="19"/>
        <v>1254024.5746731726</v>
      </c>
      <c r="E221" s="205">
        <f t="shared" si="18"/>
        <v>16786.664652479867</v>
      </c>
      <c r="F221" s="205">
        <f t="shared" si="17"/>
        <v>6792.6331128130187</v>
      </c>
      <c r="G221" s="205">
        <f t="shared" si="15"/>
        <v>9994.0315396668484</v>
      </c>
      <c r="H221" s="206">
        <f t="shared" si="16"/>
        <v>1244030.5431335056</v>
      </c>
    </row>
    <row r="222" spans="2:9" x14ac:dyDescent="0.2">
      <c r="B222" s="43"/>
      <c r="C222" s="62">
        <v>206</v>
      </c>
      <c r="D222" s="158">
        <f t="shared" si="19"/>
        <v>1244030.5431335056</v>
      </c>
      <c r="E222" s="158">
        <f t="shared" si="18"/>
        <v>16786.664652479867</v>
      </c>
      <c r="F222" s="158">
        <f t="shared" si="17"/>
        <v>6738.4987753064888</v>
      </c>
      <c r="G222" s="158">
        <f t="shared" si="15"/>
        <v>10048.165877173378</v>
      </c>
      <c r="H222" s="159">
        <f t="shared" si="16"/>
        <v>1233982.3772563322</v>
      </c>
    </row>
    <row r="223" spans="2:9" x14ac:dyDescent="0.2">
      <c r="B223" s="43"/>
      <c r="C223" s="62">
        <v>207</v>
      </c>
      <c r="D223" s="158">
        <f t="shared" si="19"/>
        <v>1233982.3772563322</v>
      </c>
      <c r="E223" s="158">
        <f t="shared" si="18"/>
        <v>16786.664652479867</v>
      </c>
      <c r="F223" s="158">
        <f t="shared" si="17"/>
        <v>6684.0712101384661</v>
      </c>
      <c r="G223" s="158">
        <f t="shared" si="15"/>
        <v>10102.5934423414</v>
      </c>
      <c r="H223" s="159">
        <f t="shared" si="16"/>
        <v>1223879.7838139909</v>
      </c>
    </row>
    <row r="224" spans="2:9" x14ac:dyDescent="0.2">
      <c r="B224" s="43"/>
      <c r="C224" s="62">
        <v>208</v>
      </c>
      <c r="D224" s="158">
        <f t="shared" si="19"/>
        <v>1223879.7838139909</v>
      </c>
      <c r="E224" s="158">
        <f t="shared" si="18"/>
        <v>16786.664652479867</v>
      </c>
      <c r="F224" s="158">
        <f t="shared" si="17"/>
        <v>6629.3488289924508</v>
      </c>
      <c r="G224" s="158">
        <f t="shared" si="15"/>
        <v>10157.315823487417</v>
      </c>
      <c r="H224" s="159">
        <f t="shared" si="16"/>
        <v>1213722.4679905034</v>
      </c>
    </row>
    <row r="225" spans="2:9" x14ac:dyDescent="0.2">
      <c r="B225" s="43"/>
      <c r="C225" s="62">
        <v>209</v>
      </c>
      <c r="D225" s="158">
        <f t="shared" si="19"/>
        <v>1213722.4679905034</v>
      </c>
      <c r="E225" s="158">
        <f t="shared" si="18"/>
        <v>16786.664652479867</v>
      </c>
      <c r="F225" s="158">
        <f t="shared" si="17"/>
        <v>6574.3300349485608</v>
      </c>
      <c r="G225" s="158">
        <f t="shared" si="15"/>
        <v>10212.334617531305</v>
      </c>
      <c r="H225" s="159">
        <f t="shared" si="16"/>
        <v>1203510.133372972</v>
      </c>
    </row>
    <row r="226" spans="2:9" x14ac:dyDescent="0.2">
      <c r="B226" s="43"/>
      <c r="C226" s="62">
        <v>210</v>
      </c>
      <c r="D226" s="158">
        <f t="shared" si="19"/>
        <v>1203510.133372972</v>
      </c>
      <c r="E226" s="158">
        <f t="shared" si="18"/>
        <v>16786.664652479867</v>
      </c>
      <c r="F226" s="158">
        <f t="shared" si="17"/>
        <v>6519.0132224369318</v>
      </c>
      <c r="G226" s="158">
        <f t="shared" si="15"/>
        <v>10267.651430042935</v>
      </c>
      <c r="H226" s="159">
        <f t="shared" si="16"/>
        <v>1193242.4819429291</v>
      </c>
    </row>
    <row r="227" spans="2:9" x14ac:dyDescent="0.2">
      <c r="B227" s="43"/>
      <c r="C227" s="62">
        <v>211</v>
      </c>
      <c r="D227" s="158">
        <f t="shared" si="19"/>
        <v>1193242.4819429291</v>
      </c>
      <c r="E227" s="158">
        <f t="shared" si="18"/>
        <v>16786.664652479867</v>
      </c>
      <c r="F227" s="158">
        <f t="shared" si="17"/>
        <v>6463.3967771908665</v>
      </c>
      <c r="G227" s="158">
        <f t="shared" si="15"/>
        <v>10323.267875289001</v>
      </c>
      <c r="H227" s="159">
        <f t="shared" si="16"/>
        <v>1182919.21406764</v>
      </c>
    </row>
    <row r="228" spans="2:9" x14ac:dyDescent="0.2">
      <c r="B228" s="43"/>
      <c r="C228" s="62">
        <v>212</v>
      </c>
      <c r="D228" s="158">
        <f t="shared" si="19"/>
        <v>1182919.21406764</v>
      </c>
      <c r="E228" s="158">
        <f t="shared" si="18"/>
        <v>16786.664652479867</v>
      </c>
      <c r="F228" s="158">
        <f t="shared" si="17"/>
        <v>6407.4790761997174</v>
      </c>
      <c r="G228" s="158">
        <f t="shared" si="15"/>
        <v>10379.18557628015</v>
      </c>
      <c r="H228" s="159">
        <f t="shared" si="16"/>
        <v>1172540.0284913599</v>
      </c>
    </row>
    <row r="229" spans="2:9" x14ac:dyDescent="0.2">
      <c r="B229" s="43"/>
      <c r="C229" s="62">
        <v>213</v>
      </c>
      <c r="D229" s="158">
        <f t="shared" si="19"/>
        <v>1172540.0284913599</v>
      </c>
      <c r="E229" s="158">
        <f t="shared" si="18"/>
        <v>16786.664652479867</v>
      </c>
      <c r="F229" s="158">
        <f t="shared" si="17"/>
        <v>6351.2584876615329</v>
      </c>
      <c r="G229" s="158">
        <f t="shared" si="15"/>
        <v>10435.406164818334</v>
      </c>
      <c r="H229" s="159">
        <f t="shared" si="16"/>
        <v>1162104.6223265415</v>
      </c>
    </row>
    <row r="230" spans="2:9" x14ac:dyDescent="0.2">
      <c r="B230" s="43"/>
      <c r="C230" s="62">
        <v>214</v>
      </c>
      <c r="D230" s="158">
        <f t="shared" si="19"/>
        <v>1162104.6223265415</v>
      </c>
      <c r="E230" s="158">
        <f t="shared" si="18"/>
        <v>16786.664652479867</v>
      </c>
      <c r="F230" s="158">
        <f t="shared" si="17"/>
        <v>6294.7333709354334</v>
      </c>
      <c r="G230" s="158">
        <f t="shared" si="15"/>
        <v>10491.931281544434</v>
      </c>
      <c r="H230" s="159">
        <f t="shared" si="16"/>
        <v>1151612.691044997</v>
      </c>
    </row>
    <row r="231" spans="2:9" x14ac:dyDescent="0.2">
      <c r="B231" s="43"/>
      <c r="C231" s="62">
        <v>215</v>
      </c>
      <c r="D231" s="158">
        <f t="shared" si="19"/>
        <v>1151612.691044997</v>
      </c>
      <c r="E231" s="158">
        <f t="shared" si="18"/>
        <v>16786.664652479867</v>
      </c>
      <c r="F231" s="158">
        <f t="shared" si="17"/>
        <v>6237.9020764937341</v>
      </c>
      <c r="G231" s="158">
        <f t="shared" si="15"/>
        <v>10548.762575986133</v>
      </c>
      <c r="H231" s="159">
        <f t="shared" si="16"/>
        <v>1141063.9284690109</v>
      </c>
    </row>
    <row r="232" spans="2:9" x14ac:dyDescent="0.2">
      <c r="B232" s="49">
        <v>18</v>
      </c>
      <c r="C232" s="161">
        <v>216</v>
      </c>
      <c r="D232" s="172">
        <f t="shared" si="19"/>
        <v>1141063.9284690109</v>
      </c>
      <c r="E232" s="172">
        <f t="shared" si="18"/>
        <v>16786.664652479867</v>
      </c>
      <c r="F232" s="172">
        <f t="shared" si="17"/>
        <v>6180.7629458738093</v>
      </c>
      <c r="G232" s="172">
        <f t="shared" si="15"/>
        <v>10605.901706606059</v>
      </c>
      <c r="H232" s="173">
        <f t="shared" si="16"/>
        <v>1130458.0267624047</v>
      </c>
      <c r="I232" s="162">
        <f>+SUM(G221:G232)+SUM(F221:F232)</f>
        <v>201439.97582975839</v>
      </c>
    </row>
    <row r="233" spans="2:9" x14ac:dyDescent="0.2">
      <c r="B233" s="203"/>
      <c r="C233" s="204">
        <v>217</v>
      </c>
      <c r="D233" s="205">
        <f t="shared" si="19"/>
        <v>1130458.0267624047</v>
      </c>
      <c r="E233" s="205">
        <f t="shared" si="18"/>
        <v>16786.664652479867</v>
      </c>
      <c r="F233" s="205">
        <f t="shared" si="17"/>
        <v>6123.3143116296924</v>
      </c>
      <c r="G233" s="205">
        <f t="shared" si="15"/>
        <v>10663.350340850175</v>
      </c>
      <c r="H233" s="206">
        <f t="shared" si="16"/>
        <v>1119794.6764215545</v>
      </c>
    </row>
    <row r="234" spans="2:9" x14ac:dyDescent="0.2">
      <c r="B234" s="43"/>
      <c r="C234" s="62">
        <v>218</v>
      </c>
      <c r="D234" s="158">
        <f t="shared" si="19"/>
        <v>1119794.6764215545</v>
      </c>
      <c r="E234" s="158">
        <f t="shared" si="18"/>
        <v>16786.664652479867</v>
      </c>
      <c r="F234" s="158">
        <f t="shared" si="17"/>
        <v>6065.5544972834205</v>
      </c>
      <c r="G234" s="158">
        <f t="shared" si="15"/>
        <v>10721.110155196446</v>
      </c>
      <c r="H234" s="159">
        <f t="shared" si="16"/>
        <v>1109073.5662663581</v>
      </c>
    </row>
    <row r="235" spans="2:9" x14ac:dyDescent="0.2">
      <c r="B235" s="43"/>
      <c r="C235" s="62">
        <v>219</v>
      </c>
      <c r="D235" s="158">
        <f t="shared" si="19"/>
        <v>1109073.5662663581</v>
      </c>
      <c r="E235" s="158">
        <f t="shared" si="18"/>
        <v>16786.664652479867</v>
      </c>
      <c r="F235" s="158">
        <f t="shared" si="17"/>
        <v>6007.481817276107</v>
      </c>
      <c r="G235" s="158">
        <f t="shared" si="15"/>
        <v>10779.182835203759</v>
      </c>
      <c r="H235" s="159">
        <f t="shared" si="16"/>
        <v>1098294.3834311543</v>
      </c>
    </row>
    <row r="236" spans="2:9" x14ac:dyDescent="0.2">
      <c r="B236" s="43"/>
      <c r="C236" s="62">
        <v>220</v>
      </c>
      <c r="D236" s="158">
        <f t="shared" si="19"/>
        <v>1098294.3834311543</v>
      </c>
      <c r="E236" s="158">
        <f t="shared" si="18"/>
        <v>16786.664652479867</v>
      </c>
      <c r="F236" s="158">
        <f t="shared" si="17"/>
        <v>5949.0945769187529</v>
      </c>
      <c r="G236" s="158">
        <f t="shared" si="15"/>
        <v>10837.570075561114</v>
      </c>
      <c r="H236" s="159">
        <f t="shared" si="16"/>
        <v>1087456.8133555932</v>
      </c>
    </row>
    <row r="237" spans="2:9" x14ac:dyDescent="0.2">
      <c r="B237" s="43"/>
      <c r="C237" s="62">
        <v>221</v>
      </c>
      <c r="D237" s="158">
        <f t="shared" si="19"/>
        <v>1087456.8133555932</v>
      </c>
      <c r="E237" s="158">
        <f t="shared" si="18"/>
        <v>16786.664652479867</v>
      </c>
      <c r="F237" s="158">
        <f t="shared" si="17"/>
        <v>5890.3910723427971</v>
      </c>
      <c r="G237" s="158">
        <f t="shared" si="15"/>
        <v>10896.273580137069</v>
      </c>
      <c r="H237" s="159">
        <f t="shared" si="16"/>
        <v>1076560.5397754561</v>
      </c>
    </row>
    <row r="238" spans="2:9" x14ac:dyDescent="0.2">
      <c r="B238" s="43"/>
      <c r="C238" s="62">
        <v>222</v>
      </c>
      <c r="D238" s="158">
        <f t="shared" si="19"/>
        <v>1076560.5397754561</v>
      </c>
      <c r="E238" s="158">
        <f t="shared" si="18"/>
        <v>16786.664652479867</v>
      </c>
      <c r="F238" s="158">
        <f t="shared" si="17"/>
        <v>5831.3695904503875</v>
      </c>
      <c r="G238" s="158">
        <f t="shared" si="15"/>
        <v>10955.29506202948</v>
      </c>
      <c r="H238" s="159">
        <f t="shared" si="16"/>
        <v>1065605.2447134266</v>
      </c>
    </row>
    <row r="239" spans="2:9" x14ac:dyDescent="0.2">
      <c r="B239" s="43"/>
      <c r="C239" s="62">
        <v>223</v>
      </c>
      <c r="D239" s="158">
        <f t="shared" si="19"/>
        <v>1065605.2447134266</v>
      </c>
      <c r="E239" s="158">
        <f t="shared" si="18"/>
        <v>16786.664652479867</v>
      </c>
      <c r="F239" s="158">
        <f t="shared" si="17"/>
        <v>5772.0284088643939</v>
      </c>
      <c r="G239" s="158">
        <f t="shared" si="15"/>
        <v>11014.636243615474</v>
      </c>
      <c r="H239" s="159">
        <f t="shared" si="16"/>
        <v>1054590.608469811</v>
      </c>
    </row>
    <row r="240" spans="2:9" x14ac:dyDescent="0.2">
      <c r="B240" s="43"/>
      <c r="C240" s="62">
        <v>224</v>
      </c>
      <c r="D240" s="158">
        <f t="shared" si="19"/>
        <v>1054590.608469811</v>
      </c>
      <c r="E240" s="158">
        <f t="shared" si="18"/>
        <v>16786.664652479867</v>
      </c>
      <c r="F240" s="158">
        <f t="shared" si="17"/>
        <v>5712.3657958781432</v>
      </c>
      <c r="G240" s="158">
        <f t="shared" si="15"/>
        <v>11074.298856601723</v>
      </c>
      <c r="H240" s="159">
        <f t="shared" si="16"/>
        <v>1043516.3096132093</v>
      </c>
    </row>
    <row r="241" spans="2:9" x14ac:dyDescent="0.2">
      <c r="B241" s="43"/>
      <c r="C241" s="62">
        <v>225</v>
      </c>
      <c r="D241" s="158">
        <f t="shared" si="19"/>
        <v>1043516.3096132093</v>
      </c>
      <c r="E241" s="158">
        <f t="shared" si="18"/>
        <v>16786.664652479867</v>
      </c>
      <c r="F241" s="158">
        <f t="shared" si="17"/>
        <v>5652.3800104048842</v>
      </c>
      <c r="G241" s="158">
        <f t="shared" si="15"/>
        <v>11134.284642074983</v>
      </c>
      <c r="H241" s="159">
        <f t="shared" si="16"/>
        <v>1032382.0249711344</v>
      </c>
    </row>
    <row r="242" spans="2:9" x14ac:dyDescent="0.2">
      <c r="B242" s="43"/>
      <c r="C242" s="62">
        <v>226</v>
      </c>
      <c r="D242" s="158">
        <f t="shared" si="19"/>
        <v>1032382.0249711344</v>
      </c>
      <c r="E242" s="158">
        <f t="shared" si="18"/>
        <v>16786.664652479867</v>
      </c>
      <c r="F242" s="158">
        <f t="shared" si="17"/>
        <v>5592.0693019269784</v>
      </c>
      <c r="G242" s="158">
        <f t="shared" si="15"/>
        <v>11194.595350552889</v>
      </c>
      <c r="H242" s="159">
        <f t="shared" si="16"/>
        <v>1021187.4296205814</v>
      </c>
    </row>
    <row r="243" spans="2:9" x14ac:dyDescent="0.2">
      <c r="B243" s="43"/>
      <c r="C243" s="62">
        <v>227</v>
      </c>
      <c r="D243" s="158">
        <f t="shared" si="19"/>
        <v>1021187.4296205814</v>
      </c>
      <c r="E243" s="158">
        <f t="shared" si="18"/>
        <v>16786.664652479867</v>
      </c>
      <c r="F243" s="158">
        <f t="shared" si="17"/>
        <v>5531.4319104448159</v>
      </c>
      <c r="G243" s="158">
        <f t="shared" si="15"/>
        <v>11255.232742035052</v>
      </c>
      <c r="H243" s="159">
        <f t="shared" si="16"/>
        <v>1009932.1968785464</v>
      </c>
    </row>
    <row r="244" spans="2:9" x14ac:dyDescent="0.2">
      <c r="B244" s="49">
        <v>19</v>
      </c>
      <c r="C244" s="161">
        <v>228</v>
      </c>
      <c r="D244" s="172">
        <f t="shared" si="19"/>
        <v>1009932.1968785464</v>
      </c>
      <c r="E244" s="172">
        <f t="shared" si="18"/>
        <v>16786.664652479867</v>
      </c>
      <c r="F244" s="172">
        <f t="shared" si="17"/>
        <v>5470.4660664254598</v>
      </c>
      <c r="G244" s="172">
        <f t="shared" si="15"/>
        <v>11316.198586054408</v>
      </c>
      <c r="H244" s="173">
        <f t="shared" si="16"/>
        <v>998615.998292492</v>
      </c>
      <c r="I244" s="162">
        <f>+SUM(G233:G244)+SUM(F233:F244)</f>
        <v>201439.97582975842</v>
      </c>
    </row>
    <row r="245" spans="2:9" x14ac:dyDescent="0.2">
      <c r="B245" s="203"/>
      <c r="C245" s="204">
        <v>229</v>
      </c>
      <c r="D245" s="205">
        <f t="shared" si="19"/>
        <v>998615.998292492</v>
      </c>
      <c r="E245" s="205">
        <f t="shared" si="18"/>
        <v>16786.664652479867</v>
      </c>
      <c r="F245" s="205">
        <f t="shared" si="17"/>
        <v>5409.1699907509983</v>
      </c>
      <c r="G245" s="205">
        <f t="shared" si="15"/>
        <v>11377.49466172887</v>
      </c>
      <c r="H245" s="206">
        <f t="shared" si="16"/>
        <v>987238.50363076315</v>
      </c>
    </row>
    <row r="246" spans="2:9" x14ac:dyDescent="0.2">
      <c r="B246" s="43"/>
      <c r="C246" s="62">
        <v>230</v>
      </c>
      <c r="D246" s="158">
        <f t="shared" si="19"/>
        <v>987238.50363076315</v>
      </c>
      <c r="E246" s="158">
        <f t="shared" si="18"/>
        <v>16786.664652479867</v>
      </c>
      <c r="F246" s="158">
        <f t="shared" si="17"/>
        <v>5347.5418946666341</v>
      </c>
      <c r="G246" s="158">
        <f t="shared" si="15"/>
        <v>11439.122757813233</v>
      </c>
      <c r="H246" s="159">
        <f t="shared" si="16"/>
        <v>975799.38087294996</v>
      </c>
    </row>
    <row r="247" spans="2:9" x14ac:dyDescent="0.2">
      <c r="B247" s="43"/>
      <c r="C247" s="62">
        <v>231</v>
      </c>
      <c r="D247" s="158">
        <f t="shared" si="19"/>
        <v>975799.38087294996</v>
      </c>
      <c r="E247" s="158">
        <f t="shared" si="18"/>
        <v>16786.664652479867</v>
      </c>
      <c r="F247" s="158">
        <f t="shared" si="17"/>
        <v>5285.579979728479</v>
      </c>
      <c r="G247" s="158">
        <f t="shared" si="15"/>
        <v>11501.084672751389</v>
      </c>
      <c r="H247" s="159">
        <f t="shared" si="16"/>
        <v>964298.29620019859</v>
      </c>
    </row>
    <row r="248" spans="2:9" x14ac:dyDescent="0.2">
      <c r="B248" s="43"/>
      <c r="C248" s="62">
        <v>232</v>
      </c>
      <c r="D248" s="158">
        <f t="shared" si="19"/>
        <v>964298.29620019859</v>
      </c>
      <c r="E248" s="158">
        <f t="shared" si="18"/>
        <v>16786.664652479867</v>
      </c>
      <c r="F248" s="158">
        <f t="shared" si="17"/>
        <v>5223.282437751076</v>
      </c>
      <c r="G248" s="158">
        <f t="shared" si="15"/>
        <v>11563.38221472879</v>
      </c>
      <c r="H248" s="159">
        <f t="shared" si="16"/>
        <v>952734.91398546984</v>
      </c>
    </row>
    <row r="249" spans="2:9" x14ac:dyDescent="0.2">
      <c r="B249" s="43"/>
      <c r="C249" s="62">
        <v>233</v>
      </c>
      <c r="D249" s="158">
        <f t="shared" si="19"/>
        <v>952734.91398546984</v>
      </c>
      <c r="E249" s="158">
        <f t="shared" si="18"/>
        <v>16786.664652479867</v>
      </c>
      <c r="F249" s="158">
        <f t="shared" si="17"/>
        <v>5160.6474507546282</v>
      </c>
      <c r="G249" s="158">
        <f t="shared" si="15"/>
        <v>11626.017201725239</v>
      </c>
      <c r="H249" s="159">
        <f t="shared" si="16"/>
        <v>941108.89678374457</v>
      </c>
    </row>
    <row r="250" spans="2:9" x14ac:dyDescent="0.2">
      <c r="B250" s="43"/>
      <c r="C250" s="62">
        <v>234</v>
      </c>
      <c r="D250" s="158">
        <f t="shared" si="19"/>
        <v>941108.89678374457</v>
      </c>
      <c r="E250" s="158">
        <f t="shared" si="18"/>
        <v>16786.664652479867</v>
      </c>
      <c r="F250" s="158">
        <f t="shared" si="17"/>
        <v>5097.6731909119499</v>
      </c>
      <c r="G250" s="158">
        <f t="shared" si="15"/>
        <v>11688.991461567917</v>
      </c>
      <c r="H250" s="159">
        <f t="shared" si="16"/>
        <v>929419.90532217664</v>
      </c>
    </row>
    <row r="251" spans="2:9" x14ac:dyDescent="0.2">
      <c r="B251" s="43"/>
      <c r="C251" s="62">
        <v>235</v>
      </c>
      <c r="D251" s="158">
        <f t="shared" si="19"/>
        <v>929419.90532217664</v>
      </c>
      <c r="E251" s="158">
        <f t="shared" si="18"/>
        <v>16786.664652479867</v>
      </c>
      <c r="F251" s="158">
        <f t="shared" si="17"/>
        <v>5034.3578204951236</v>
      </c>
      <c r="G251" s="158">
        <f t="shared" si="15"/>
        <v>11752.306831984744</v>
      </c>
      <c r="H251" s="159">
        <f t="shared" si="16"/>
        <v>917667.59849019186</v>
      </c>
    </row>
    <row r="252" spans="2:9" x14ac:dyDescent="0.2">
      <c r="B252" s="43"/>
      <c r="C252" s="62">
        <v>236</v>
      </c>
      <c r="D252" s="158">
        <f t="shared" si="19"/>
        <v>917667.59849019186</v>
      </c>
      <c r="E252" s="158">
        <f t="shared" si="18"/>
        <v>16786.664652479867</v>
      </c>
      <c r="F252" s="158">
        <f t="shared" si="17"/>
        <v>4970.6994918218725</v>
      </c>
      <c r="G252" s="158">
        <f t="shared" si="15"/>
        <v>11815.965160657994</v>
      </c>
      <c r="H252" s="159">
        <f t="shared" si="16"/>
        <v>905851.63332953386</v>
      </c>
    </row>
    <row r="253" spans="2:9" x14ac:dyDescent="0.2">
      <c r="B253" s="43"/>
      <c r="C253" s="62">
        <v>237</v>
      </c>
      <c r="D253" s="158">
        <f t="shared" si="19"/>
        <v>905851.63332953386</v>
      </c>
      <c r="E253" s="158">
        <f t="shared" si="18"/>
        <v>16786.664652479867</v>
      </c>
      <c r="F253" s="158">
        <f t="shared" si="17"/>
        <v>4906.6963472016423</v>
      </c>
      <c r="G253" s="158">
        <f t="shared" si="15"/>
        <v>11879.968305278224</v>
      </c>
      <c r="H253" s="159">
        <f t="shared" si="16"/>
        <v>893971.66502425564</v>
      </c>
    </row>
    <row r="254" spans="2:9" x14ac:dyDescent="0.2">
      <c r="B254" s="43"/>
      <c r="C254" s="62">
        <v>238</v>
      </c>
      <c r="D254" s="158">
        <f t="shared" si="19"/>
        <v>893971.66502425564</v>
      </c>
      <c r="E254" s="158">
        <f t="shared" si="18"/>
        <v>16786.664652479867</v>
      </c>
      <c r="F254" s="158">
        <f t="shared" si="17"/>
        <v>4842.3465188813852</v>
      </c>
      <c r="G254" s="158">
        <f t="shared" si="15"/>
        <v>11944.318133598481</v>
      </c>
      <c r="H254" s="159">
        <f t="shared" si="16"/>
        <v>882027.34689065721</v>
      </c>
    </row>
    <row r="255" spans="2:9" x14ac:dyDescent="0.2">
      <c r="B255" s="43"/>
      <c r="C255" s="62">
        <v>239</v>
      </c>
      <c r="D255" s="158">
        <f t="shared" si="19"/>
        <v>882027.34689065721</v>
      </c>
      <c r="E255" s="158">
        <f t="shared" si="18"/>
        <v>16786.664652479867</v>
      </c>
      <c r="F255" s="158">
        <f t="shared" si="17"/>
        <v>4777.6481289910598</v>
      </c>
      <c r="G255" s="158">
        <f t="shared" si="15"/>
        <v>12009.016523488808</v>
      </c>
      <c r="H255" s="159">
        <f t="shared" si="16"/>
        <v>870018.33036716841</v>
      </c>
    </row>
    <row r="256" spans="2:9" x14ac:dyDescent="0.2">
      <c r="B256" s="49">
        <v>20</v>
      </c>
      <c r="C256" s="161">
        <v>240</v>
      </c>
      <c r="D256" s="172">
        <f t="shared" si="19"/>
        <v>870018.33036716841</v>
      </c>
      <c r="E256" s="172">
        <f t="shared" si="18"/>
        <v>16786.664652479867</v>
      </c>
      <c r="F256" s="172">
        <f t="shared" si="17"/>
        <v>4712.5992894888286</v>
      </c>
      <c r="G256" s="172">
        <f t="shared" si="15"/>
        <v>12074.065362991038</v>
      </c>
      <c r="H256" s="173">
        <f t="shared" si="16"/>
        <v>857944.26500417734</v>
      </c>
      <c r="I256" s="162">
        <f>+SUM(G245:G256)+SUM(F245:F256)</f>
        <v>201439.97582975839</v>
      </c>
    </row>
    <row r="257" spans="2:9" x14ac:dyDescent="0.2">
      <c r="B257" s="203"/>
      <c r="C257" s="204">
        <v>241</v>
      </c>
      <c r="D257" s="205">
        <f t="shared" si="19"/>
        <v>857944.26500417734</v>
      </c>
      <c r="E257" s="205">
        <f t="shared" si="18"/>
        <v>16786.664652479867</v>
      </c>
      <c r="F257" s="205">
        <f t="shared" si="17"/>
        <v>4647.198102105961</v>
      </c>
      <c r="G257" s="205">
        <f t="shared" si="15"/>
        <v>12139.466550373905</v>
      </c>
      <c r="H257" s="206">
        <f t="shared" si="16"/>
        <v>845804.79845380341</v>
      </c>
    </row>
    <row r="258" spans="2:9" x14ac:dyDescent="0.2">
      <c r="B258" s="43"/>
      <c r="C258" s="62">
        <v>242</v>
      </c>
      <c r="D258" s="158">
        <f t="shared" si="19"/>
        <v>845804.79845380341</v>
      </c>
      <c r="E258" s="158">
        <f t="shared" si="18"/>
        <v>16786.664652479867</v>
      </c>
      <c r="F258" s="158">
        <f t="shared" si="17"/>
        <v>4581.4426582914357</v>
      </c>
      <c r="G258" s="158">
        <f t="shared" si="15"/>
        <v>12205.221994188432</v>
      </c>
      <c r="H258" s="159">
        <f t="shared" si="16"/>
        <v>833599.57645961503</v>
      </c>
    </row>
    <row r="259" spans="2:9" x14ac:dyDescent="0.2">
      <c r="B259" s="43"/>
      <c r="C259" s="62">
        <v>243</v>
      </c>
      <c r="D259" s="158">
        <f t="shared" si="19"/>
        <v>833599.57645961503</v>
      </c>
      <c r="E259" s="158">
        <f t="shared" si="18"/>
        <v>16786.664652479867</v>
      </c>
      <c r="F259" s="158">
        <f t="shared" si="17"/>
        <v>4515.3310391562482</v>
      </c>
      <c r="G259" s="158">
        <f t="shared" si="15"/>
        <v>12271.333613323619</v>
      </c>
      <c r="H259" s="159">
        <f t="shared" si="16"/>
        <v>821328.2428462914</v>
      </c>
    </row>
    <row r="260" spans="2:9" x14ac:dyDescent="0.2">
      <c r="B260" s="43"/>
      <c r="C260" s="62">
        <v>244</v>
      </c>
      <c r="D260" s="158">
        <f t="shared" si="19"/>
        <v>821328.2428462914</v>
      </c>
      <c r="E260" s="158">
        <f t="shared" si="18"/>
        <v>16786.664652479867</v>
      </c>
      <c r="F260" s="158">
        <f t="shared" si="17"/>
        <v>4448.8613154174118</v>
      </c>
      <c r="G260" s="158">
        <f t="shared" si="15"/>
        <v>12337.803337062454</v>
      </c>
      <c r="H260" s="159">
        <f t="shared" si="16"/>
        <v>808990.43950922892</v>
      </c>
    </row>
    <row r="261" spans="2:9" x14ac:dyDescent="0.2">
      <c r="B261" s="43"/>
      <c r="C261" s="62">
        <v>245</v>
      </c>
      <c r="D261" s="158">
        <f t="shared" si="19"/>
        <v>808990.43950922892</v>
      </c>
      <c r="E261" s="158">
        <f t="shared" si="18"/>
        <v>16786.664652479867</v>
      </c>
      <c r="F261" s="158">
        <f t="shared" si="17"/>
        <v>4382.0315473416567</v>
      </c>
      <c r="G261" s="158">
        <f t="shared" si="15"/>
        <v>12404.633105138211</v>
      </c>
      <c r="H261" s="159">
        <f t="shared" si="16"/>
        <v>796585.80640409072</v>
      </c>
    </row>
    <row r="262" spans="2:9" x14ac:dyDescent="0.2">
      <c r="B262" s="43"/>
      <c r="C262" s="62">
        <v>246</v>
      </c>
      <c r="D262" s="158">
        <f t="shared" si="19"/>
        <v>796585.80640409072</v>
      </c>
      <c r="E262" s="158">
        <f t="shared" si="18"/>
        <v>16786.664652479867</v>
      </c>
      <c r="F262" s="158">
        <f t="shared" si="17"/>
        <v>4314.8397846888247</v>
      </c>
      <c r="G262" s="158">
        <f t="shared" si="15"/>
        <v>12471.824867791041</v>
      </c>
      <c r="H262" s="159">
        <f t="shared" si="16"/>
        <v>784113.98153629969</v>
      </c>
    </row>
    <row r="263" spans="2:9" x14ac:dyDescent="0.2">
      <c r="B263" s="43"/>
      <c r="C263" s="62">
        <v>247</v>
      </c>
      <c r="D263" s="158">
        <f t="shared" si="19"/>
        <v>784113.98153629969</v>
      </c>
      <c r="E263" s="158">
        <f t="shared" si="18"/>
        <v>16786.664652479867</v>
      </c>
      <c r="F263" s="158">
        <f t="shared" si="17"/>
        <v>4247.2840666549564</v>
      </c>
      <c r="G263" s="158">
        <f t="shared" si="15"/>
        <v>12539.380585824911</v>
      </c>
      <c r="H263" s="159">
        <f t="shared" si="16"/>
        <v>771574.60095047473</v>
      </c>
    </row>
    <row r="264" spans="2:9" x14ac:dyDescent="0.2">
      <c r="B264" s="43"/>
      <c r="C264" s="62">
        <v>248</v>
      </c>
      <c r="D264" s="158">
        <f t="shared" si="19"/>
        <v>771574.60095047473</v>
      </c>
      <c r="E264" s="158">
        <f t="shared" si="18"/>
        <v>16786.664652479867</v>
      </c>
      <c r="F264" s="158">
        <f t="shared" si="17"/>
        <v>4179.3624218150717</v>
      </c>
      <c r="G264" s="158">
        <f t="shared" si="15"/>
        <v>12607.302230664794</v>
      </c>
      <c r="H264" s="159">
        <f t="shared" si="16"/>
        <v>758967.29871980997</v>
      </c>
    </row>
    <row r="265" spans="2:9" x14ac:dyDescent="0.2">
      <c r="B265" s="43"/>
      <c r="C265" s="62">
        <v>249</v>
      </c>
      <c r="D265" s="158">
        <f t="shared" si="19"/>
        <v>758967.29871980997</v>
      </c>
      <c r="E265" s="158">
        <f t="shared" si="18"/>
        <v>16786.664652479867</v>
      </c>
      <c r="F265" s="158">
        <f t="shared" si="17"/>
        <v>4111.0728680656375</v>
      </c>
      <c r="G265" s="158">
        <f t="shared" si="15"/>
        <v>12675.59178441423</v>
      </c>
      <c r="H265" s="159">
        <f t="shared" si="16"/>
        <v>746291.70693539572</v>
      </c>
    </row>
    <row r="266" spans="2:9" x14ac:dyDescent="0.2">
      <c r="B266" s="43"/>
      <c r="C266" s="62">
        <v>250</v>
      </c>
      <c r="D266" s="158">
        <f t="shared" si="19"/>
        <v>746291.70693539572</v>
      </c>
      <c r="E266" s="158">
        <f t="shared" si="18"/>
        <v>16786.664652479867</v>
      </c>
      <c r="F266" s="158">
        <f t="shared" si="17"/>
        <v>4042.4134125667269</v>
      </c>
      <c r="G266" s="158">
        <f t="shared" si="15"/>
        <v>12744.251239913141</v>
      </c>
      <c r="H266" s="159">
        <f t="shared" si="16"/>
        <v>733547.45569548255</v>
      </c>
    </row>
    <row r="267" spans="2:9" x14ac:dyDescent="0.2">
      <c r="B267" s="43"/>
      <c r="C267" s="62">
        <v>251</v>
      </c>
      <c r="D267" s="158">
        <f t="shared" si="19"/>
        <v>733547.45569548255</v>
      </c>
      <c r="E267" s="158">
        <f t="shared" si="18"/>
        <v>16786.664652479867</v>
      </c>
      <c r="F267" s="158">
        <f t="shared" si="17"/>
        <v>3973.3820516838641</v>
      </c>
      <c r="G267" s="158">
        <f t="shared" si="15"/>
        <v>12813.282600796003</v>
      </c>
      <c r="H267" s="159">
        <f t="shared" si="16"/>
        <v>720734.17309468659</v>
      </c>
    </row>
    <row r="268" spans="2:9" x14ac:dyDescent="0.2">
      <c r="B268" s="49">
        <v>21</v>
      </c>
      <c r="C268" s="161">
        <v>252</v>
      </c>
      <c r="D268" s="172">
        <f t="shared" si="19"/>
        <v>720734.17309468659</v>
      </c>
      <c r="E268" s="172">
        <f t="shared" si="18"/>
        <v>16786.664652479867</v>
      </c>
      <c r="F268" s="172">
        <f t="shared" si="17"/>
        <v>3903.9767709295525</v>
      </c>
      <c r="G268" s="172">
        <f t="shared" si="15"/>
        <v>12882.687881550315</v>
      </c>
      <c r="H268" s="173">
        <f t="shared" si="16"/>
        <v>707851.4852131363</v>
      </c>
      <c r="I268" s="162">
        <f>+SUM(G257:G268)+SUM(F257:F268)</f>
        <v>201439.97582975839</v>
      </c>
    </row>
    <row r="269" spans="2:9" x14ac:dyDescent="0.2">
      <c r="B269" s="203"/>
      <c r="C269" s="204">
        <v>253</v>
      </c>
      <c r="D269" s="205">
        <f t="shared" si="19"/>
        <v>707851.4852131363</v>
      </c>
      <c r="E269" s="205">
        <f t="shared" si="18"/>
        <v>16786.664652479867</v>
      </c>
      <c r="F269" s="205">
        <f t="shared" si="17"/>
        <v>3834.1955449044885</v>
      </c>
      <c r="G269" s="205">
        <f t="shared" si="15"/>
        <v>12952.469107575378</v>
      </c>
      <c r="H269" s="206">
        <f t="shared" si="16"/>
        <v>694899.01610556094</v>
      </c>
    </row>
    <row r="270" spans="2:9" x14ac:dyDescent="0.2">
      <c r="B270" s="43"/>
      <c r="C270" s="62">
        <v>254</v>
      </c>
      <c r="D270" s="158">
        <f t="shared" si="19"/>
        <v>694899.01610556094</v>
      </c>
      <c r="E270" s="158">
        <f t="shared" si="18"/>
        <v>16786.664652479867</v>
      </c>
      <c r="F270" s="158">
        <f t="shared" si="17"/>
        <v>3764.0363372384554</v>
      </c>
      <c r="G270" s="158">
        <f t="shared" si="15"/>
        <v>13022.628315241411</v>
      </c>
      <c r="H270" s="159">
        <f t="shared" si="16"/>
        <v>681876.38779031951</v>
      </c>
    </row>
    <row r="271" spans="2:9" x14ac:dyDescent="0.2">
      <c r="B271" s="43"/>
      <c r="C271" s="62">
        <v>255</v>
      </c>
      <c r="D271" s="158">
        <f t="shared" si="19"/>
        <v>681876.38779031951</v>
      </c>
      <c r="E271" s="158">
        <f t="shared" si="18"/>
        <v>16786.664652479867</v>
      </c>
      <c r="F271" s="158">
        <f t="shared" si="17"/>
        <v>3693.4971005308976</v>
      </c>
      <c r="G271" s="158">
        <f t="shared" si="15"/>
        <v>13093.167551948969</v>
      </c>
      <c r="H271" s="159">
        <f t="shared" si="16"/>
        <v>668783.22023837059</v>
      </c>
    </row>
    <row r="272" spans="2:9" x14ac:dyDescent="0.2">
      <c r="B272" s="43"/>
      <c r="C272" s="62">
        <v>256</v>
      </c>
      <c r="D272" s="158">
        <f t="shared" si="19"/>
        <v>668783.22023837059</v>
      </c>
      <c r="E272" s="158">
        <f t="shared" si="18"/>
        <v>16786.664652479867</v>
      </c>
      <c r="F272" s="158">
        <f t="shared" si="17"/>
        <v>3622.575776291174</v>
      </c>
      <c r="G272" s="158">
        <f t="shared" si="15"/>
        <v>13164.088876188693</v>
      </c>
      <c r="H272" s="159">
        <f t="shared" si="16"/>
        <v>655619.13136218186</v>
      </c>
    </row>
    <row r="273" spans="2:9" x14ac:dyDescent="0.2">
      <c r="B273" s="43"/>
      <c r="C273" s="62">
        <v>257</v>
      </c>
      <c r="D273" s="158">
        <f t="shared" si="19"/>
        <v>655619.13136218186</v>
      </c>
      <c r="E273" s="158">
        <f t="shared" si="18"/>
        <v>16786.664652479867</v>
      </c>
      <c r="F273" s="158">
        <f t="shared" si="17"/>
        <v>3551.2702948784849</v>
      </c>
      <c r="G273" s="158">
        <f t="shared" ref="G273:G336" si="20">E273-F273</f>
        <v>13235.394357601383</v>
      </c>
      <c r="H273" s="159">
        <f t="shared" ref="H273:H336" si="21">D273-G273</f>
        <v>642383.73700458044</v>
      </c>
    </row>
    <row r="274" spans="2:9" x14ac:dyDescent="0.2">
      <c r="B274" s="43"/>
      <c r="C274" s="62">
        <v>258</v>
      </c>
      <c r="D274" s="158">
        <f t="shared" si="19"/>
        <v>642383.73700458044</v>
      </c>
      <c r="E274" s="158">
        <f t="shared" si="18"/>
        <v>16786.664652479867</v>
      </c>
      <c r="F274" s="158">
        <f t="shared" ref="F274:F337" si="22">IF(C274&gt;$C$10,0,($C$6/12)*H273)</f>
        <v>3479.5785754414774</v>
      </c>
      <c r="G274" s="158">
        <f t="shared" si="20"/>
        <v>13307.08607703839</v>
      </c>
      <c r="H274" s="159">
        <f t="shared" si="21"/>
        <v>629076.65092754201</v>
      </c>
    </row>
    <row r="275" spans="2:9" x14ac:dyDescent="0.2">
      <c r="B275" s="43"/>
      <c r="C275" s="62">
        <v>259</v>
      </c>
      <c r="D275" s="158">
        <f t="shared" si="19"/>
        <v>629076.65092754201</v>
      </c>
      <c r="E275" s="158">
        <f t="shared" si="18"/>
        <v>16786.664652479867</v>
      </c>
      <c r="F275" s="158">
        <f t="shared" si="22"/>
        <v>3407.4985258575193</v>
      </c>
      <c r="G275" s="158">
        <f t="shared" si="20"/>
        <v>13379.166126622347</v>
      </c>
      <c r="H275" s="159">
        <f t="shared" si="21"/>
        <v>615697.48480091966</v>
      </c>
    </row>
    <row r="276" spans="2:9" x14ac:dyDescent="0.2">
      <c r="B276" s="43"/>
      <c r="C276" s="62">
        <v>260</v>
      </c>
      <c r="D276" s="158">
        <f t="shared" si="19"/>
        <v>615697.48480091966</v>
      </c>
      <c r="E276" s="158">
        <f t="shared" si="18"/>
        <v>16786.664652479867</v>
      </c>
      <c r="F276" s="158">
        <f t="shared" si="22"/>
        <v>3335.0280426716481</v>
      </c>
      <c r="G276" s="158">
        <f t="shared" si="20"/>
        <v>13451.636609808218</v>
      </c>
      <c r="H276" s="159">
        <f t="shared" si="21"/>
        <v>602245.84819111146</v>
      </c>
    </row>
    <row r="277" spans="2:9" x14ac:dyDescent="0.2">
      <c r="B277" s="43"/>
      <c r="C277" s="62">
        <v>261</v>
      </c>
      <c r="D277" s="158">
        <f t="shared" si="19"/>
        <v>602245.84819111146</v>
      </c>
      <c r="E277" s="158">
        <f t="shared" ref="E277:E340" si="23">IF(C277&gt;$C$10,0,IF(C277&lt;=$C$8,F277,-PMT($C$6/12,$C$9,$C$5,0,0)))</f>
        <v>16786.664652479867</v>
      </c>
      <c r="F277" s="158">
        <f t="shared" si="22"/>
        <v>3262.165011035187</v>
      </c>
      <c r="G277" s="158">
        <f t="shared" si="20"/>
        <v>13524.49964144468</v>
      </c>
      <c r="H277" s="159">
        <f t="shared" si="21"/>
        <v>588721.34854966681</v>
      </c>
    </row>
    <row r="278" spans="2:9" x14ac:dyDescent="0.2">
      <c r="B278" s="43"/>
      <c r="C278" s="62">
        <v>262</v>
      </c>
      <c r="D278" s="158">
        <f t="shared" ref="D278:D341" si="24">IF(C278&gt;$C$10,0,H277)</f>
        <v>588721.34854966681</v>
      </c>
      <c r="E278" s="158">
        <f t="shared" si="23"/>
        <v>16786.664652479867</v>
      </c>
      <c r="F278" s="158">
        <f t="shared" si="22"/>
        <v>3188.9073046440285</v>
      </c>
      <c r="G278" s="158">
        <f t="shared" si="20"/>
        <v>13597.757347835839</v>
      </c>
      <c r="H278" s="159">
        <f t="shared" si="21"/>
        <v>575123.591201831</v>
      </c>
    </row>
    <row r="279" spans="2:9" x14ac:dyDescent="0.2">
      <c r="B279" s="43"/>
      <c r="C279" s="62">
        <v>263</v>
      </c>
      <c r="D279" s="158">
        <f t="shared" si="24"/>
        <v>575123.591201831</v>
      </c>
      <c r="E279" s="158">
        <f t="shared" si="23"/>
        <v>16786.664652479867</v>
      </c>
      <c r="F279" s="158">
        <f t="shared" si="22"/>
        <v>3115.2527856765846</v>
      </c>
      <c r="G279" s="158">
        <f t="shared" si="20"/>
        <v>13671.411866803282</v>
      </c>
      <c r="H279" s="159">
        <f t="shared" si="21"/>
        <v>561452.1793350277</v>
      </c>
    </row>
    <row r="280" spans="2:9" x14ac:dyDescent="0.2">
      <c r="B280" s="49">
        <v>22</v>
      </c>
      <c r="C280" s="161">
        <v>264</v>
      </c>
      <c r="D280" s="172">
        <f t="shared" si="24"/>
        <v>561452.1793350277</v>
      </c>
      <c r="E280" s="172">
        <f t="shared" si="23"/>
        <v>16786.664652479867</v>
      </c>
      <c r="F280" s="172">
        <f t="shared" si="22"/>
        <v>3041.1993047313999</v>
      </c>
      <c r="G280" s="172">
        <f t="shared" si="20"/>
        <v>13745.465347748468</v>
      </c>
      <c r="H280" s="173">
        <f t="shared" si="21"/>
        <v>547706.71398727922</v>
      </c>
      <c r="I280" s="162">
        <f>+SUM(G269:G280)+SUM(F269:F280)</f>
        <v>201439.97582975839</v>
      </c>
    </row>
    <row r="281" spans="2:9" x14ac:dyDescent="0.2">
      <c r="B281" s="203"/>
      <c r="C281" s="204">
        <v>265</v>
      </c>
      <c r="D281" s="205">
        <f t="shared" si="24"/>
        <v>547706.71398727922</v>
      </c>
      <c r="E281" s="205">
        <f t="shared" si="23"/>
        <v>16786.664652479867</v>
      </c>
      <c r="F281" s="205">
        <f t="shared" si="22"/>
        <v>2966.7447007644291</v>
      </c>
      <c r="G281" s="205">
        <f t="shared" si="20"/>
        <v>13819.919951715437</v>
      </c>
      <c r="H281" s="206">
        <f t="shared" si="21"/>
        <v>533886.79403556383</v>
      </c>
    </row>
    <row r="282" spans="2:9" x14ac:dyDescent="0.2">
      <c r="B282" s="43"/>
      <c r="C282" s="62">
        <v>266</v>
      </c>
      <c r="D282" s="158">
        <f t="shared" si="24"/>
        <v>533886.79403556383</v>
      </c>
      <c r="E282" s="158">
        <f t="shared" si="23"/>
        <v>16786.664652479867</v>
      </c>
      <c r="F282" s="158">
        <f t="shared" si="22"/>
        <v>2891.8868010259707</v>
      </c>
      <c r="G282" s="158">
        <f t="shared" si="20"/>
        <v>13894.777851453897</v>
      </c>
      <c r="H282" s="159">
        <f t="shared" si="21"/>
        <v>519992.0161841099</v>
      </c>
    </row>
    <row r="283" spans="2:9" x14ac:dyDescent="0.2">
      <c r="B283" s="43"/>
      <c r="C283" s="62">
        <v>267</v>
      </c>
      <c r="D283" s="158">
        <f t="shared" si="24"/>
        <v>519992.0161841099</v>
      </c>
      <c r="E283" s="158">
        <f t="shared" si="23"/>
        <v>16786.664652479867</v>
      </c>
      <c r="F283" s="158">
        <f t="shared" si="22"/>
        <v>2816.6234209972622</v>
      </c>
      <c r="G283" s="158">
        <f t="shared" si="20"/>
        <v>13970.041231482604</v>
      </c>
      <c r="H283" s="159">
        <f t="shared" si="21"/>
        <v>506021.97495262732</v>
      </c>
    </row>
    <row r="284" spans="2:9" x14ac:dyDescent="0.2">
      <c r="B284" s="43"/>
      <c r="C284" s="62">
        <v>268</v>
      </c>
      <c r="D284" s="158">
        <f t="shared" si="24"/>
        <v>506021.97495262732</v>
      </c>
      <c r="E284" s="158">
        <f t="shared" si="23"/>
        <v>16786.664652479867</v>
      </c>
      <c r="F284" s="158">
        <f t="shared" si="22"/>
        <v>2740.9523643267316</v>
      </c>
      <c r="G284" s="158">
        <f t="shared" si="20"/>
        <v>14045.712288153136</v>
      </c>
      <c r="H284" s="159">
        <f t="shared" si="21"/>
        <v>491976.2626644742</v>
      </c>
    </row>
    <row r="285" spans="2:9" x14ac:dyDescent="0.2">
      <c r="B285" s="43"/>
      <c r="C285" s="62">
        <v>269</v>
      </c>
      <c r="D285" s="158">
        <f t="shared" si="24"/>
        <v>491976.2626644742</v>
      </c>
      <c r="E285" s="158">
        <f t="shared" si="23"/>
        <v>16786.664652479867</v>
      </c>
      <c r="F285" s="158">
        <f t="shared" si="22"/>
        <v>2664.871422765902</v>
      </c>
      <c r="G285" s="158">
        <f t="shared" si="20"/>
        <v>14121.793229713965</v>
      </c>
      <c r="H285" s="159">
        <f t="shared" si="21"/>
        <v>477854.46943476022</v>
      </c>
    </row>
    <row r="286" spans="2:9" x14ac:dyDescent="0.2">
      <c r="B286" s="43"/>
      <c r="C286" s="62">
        <v>270</v>
      </c>
      <c r="D286" s="158">
        <f t="shared" si="24"/>
        <v>477854.46943476022</v>
      </c>
      <c r="E286" s="158">
        <f t="shared" si="23"/>
        <v>16786.664652479867</v>
      </c>
      <c r="F286" s="158">
        <f t="shared" si="22"/>
        <v>2588.3783761049513</v>
      </c>
      <c r="G286" s="158">
        <f t="shared" si="20"/>
        <v>14198.286276374916</v>
      </c>
      <c r="H286" s="159">
        <f t="shared" si="21"/>
        <v>463656.18315838528</v>
      </c>
    </row>
    <row r="287" spans="2:9" x14ac:dyDescent="0.2">
      <c r="B287" s="43"/>
      <c r="C287" s="62">
        <v>271</v>
      </c>
      <c r="D287" s="158">
        <f t="shared" si="24"/>
        <v>463656.18315838528</v>
      </c>
      <c r="E287" s="158">
        <f t="shared" si="23"/>
        <v>16786.664652479867</v>
      </c>
      <c r="F287" s="158">
        <f t="shared" si="22"/>
        <v>2511.4709921079202</v>
      </c>
      <c r="G287" s="158">
        <f t="shared" si="20"/>
        <v>14275.193660371948</v>
      </c>
      <c r="H287" s="159">
        <f t="shared" si="21"/>
        <v>449380.98949801334</v>
      </c>
    </row>
    <row r="288" spans="2:9" x14ac:dyDescent="0.2">
      <c r="B288" s="43"/>
      <c r="C288" s="62">
        <v>272</v>
      </c>
      <c r="D288" s="158">
        <f t="shared" si="24"/>
        <v>449380.98949801334</v>
      </c>
      <c r="E288" s="158">
        <f t="shared" si="23"/>
        <v>16786.664652479867</v>
      </c>
      <c r="F288" s="158">
        <f t="shared" si="22"/>
        <v>2434.1470264475724</v>
      </c>
      <c r="G288" s="158">
        <f t="shared" si="20"/>
        <v>14352.517626032295</v>
      </c>
      <c r="H288" s="159">
        <f t="shared" si="21"/>
        <v>435028.47187198105</v>
      </c>
    </row>
    <row r="289" spans="2:9" x14ac:dyDescent="0.2">
      <c r="B289" s="43"/>
      <c r="C289" s="62">
        <v>273</v>
      </c>
      <c r="D289" s="158">
        <f t="shared" si="24"/>
        <v>435028.47187198105</v>
      </c>
      <c r="E289" s="158">
        <f t="shared" si="23"/>
        <v>16786.664652479867</v>
      </c>
      <c r="F289" s="158">
        <f t="shared" si="22"/>
        <v>2356.4042226398974</v>
      </c>
      <c r="G289" s="158">
        <f t="shared" si="20"/>
        <v>14430.260429839969</v>
      </c>
      <c r="H289" s="159">
        <f t="shared" si="21"/>
        <v>420598.2114421411</v>
      </c>
    </row>
    <row r="290" spans="2:9" x14ac:dyDescent="0.2">
      <c r="B290" s="43"/>
      <c r="C290" s="62">
        <v>274</v>
      </c>
      <c r="D290" s="158">
        <f t="shared" si="24"/>
        <v>420598.2114421411</v>
      </c>
      <c r="E290" s="158">
        <f t="shared" si="23"/>
        <v>16786.664652479867</v>
      </c>
      <c r="F290" s="158">
        <f t="shared" si="22"/>
        <v>2278.2403119782643</v>
      </c>
      <c r="G290" s="158">
        <f t="shared" si="20"/>
        <v>14508.424340501602</v>
      </c>
      <c r="H290" s="159">
        <f t="shared" si="21"/>
        <v>406089.78710163949</v>
      </c>
    </row>
    <row r="291" spans="2:9" x14ac:dyDescent="0.2">
      <c r="B291" s="43"/>
      <c r="C291" s="62">
        <v>275</v>
      </c>
      <c r="D291" s="158">
        <f t="shared" si="24"/>
        <v>406089.78710163949</v>
      </c>
      <c r="E291" s="158">
        <f t="shared" si="23"/>
        <v>16786.664652479867</v>
      </c>
      <c r="F291" s="158">
        <f t="shared" si="22"/>
        <v>2199.6530134672139</v>
      </c>
      <c r="G291" s="158">
        <f t="shared" si="20"/>
        <v>14587.011639012653</v>
      </c>
      <c r="H291" s="159">
        <f t="shared" si="21"/>
        <v>391502.77546262683</v>
      </c>
    </row>
    <row r="292" spans="2:9" x14ac:dyDescent="0.2">
      <c r="B292" s="49">
        <v>23</v>
      </c>
      <c r="C292" s="161">
        <v>276</v>
      </c>
      <c r="D292" s="172">
        <f t="shared" si="24"/>
        <v>391502.77546262683</v>
      </c>
      <c r="E292" s="172">
        <f t="shared" si="23"/>
        <v>16786.664652479867</v>
      </c>
      <c r="F292" s="172">
        <f t="shared" si="22"/>
        <v>2120.6400337558953</v>
      </c>
      <c r="G292" s="172">
        <f t="shared" si="20"/>
        <v>14666.024618723972</v>
      </c>
      <c r="H292" s="173">
        <f t="shared" si="21"/>
        <v>376836.75084390288</v>
      </c>
      <c r="I292" s="162">
        <f>+SUM(G281:G292)+SUM(F281:F292)</f>
        <v>201439.97582975845</v>
      </c>
    </row>
    <row r="293" spans="2:9" x14ac:dyDescent="0.2">
      <c r="B293" s="203"/>
      <c r="C293" s="204">
        <v>277</v>
      </c>
      <c r="D293" s="205">
        <f t="shared" si="24"/>
        <v>376836.75084390288</v>
      </c>
      <c r="E293" s="205">
        <f t="shared" si="23"/>
        <v>16786.664652479867</v>
      </c>
      <c r="F293" s="205">
        <f t="shared" si="22"/>
        <v>2041.1990670711407</v>
      </c>
      <c r="G293" s="205">
        <f t="shared" si="20"/>
        <v>14745.465585408727</v>
      </c>
      <c r="H293" s="206">
        <f t="shared" si="21"/>
        <v>362091.28525849414</v>
      </c>
    </row>
    <row r="294" spans="2:9" x14ac:dyDescent="0.2">
      <c r="B294" s="43"/>
      <c r="C294" s="62">
        <v>278</v>
      </c>
      <c r="D294" s="158">
        <f t="shared" si="24"/>
        <v>362091.28525849414</v>
      </c>
      <c r="E294" s="158">
        <f t="shared" si="23"/>
        <v>16786.664652479867</v>
      </c>
      <c r="F294" s="158">
        <f t="shared" si="22"/>
        <v>1961.3277951501766</v>
      </c>
      <c r="G294" s="158">
        <f t="shared" si="20"/>
        <v>14825.33685732969</v>
      </c>
      <c r="H294" s="159">
        <f t="shared" si="21"/>
        <v>347265.94840116444</v>
      </c>
    </row>
    <row r="295" spans="2:9" x14ac:dyDescent="0.2">
      <c r="B295" s="43"/>
      <c r="C295" s="62">
        <v>279</v>
      </c>
      <c r="D295" s="158">
        <f t="shared" si="24"/>
        <v>347265.94840116444</v>
      </c>
      <c r="E295" s="158">
        <f t="shared" si="23"/>
        <v>16786.664652479867</v>
      </c>
      <c r="F295" s="158">
        <f t="shared" si="22"/>
        <v>1881.0238871729741</v>
      </c>
      <c r="G295" s="158">
        <f t="shared" si="20"/>
        <v>14905.640765306893</v>
      </c>
      <c r="H295" s="159">
        <f t="shared" si="21"/>
        <v>332360.30763585755</v>
      </c>
    </row>
    <row r="296" spans="2:9" x14ac:dyDescent="0.2">
      <c r="B296" s="43"/>
      <c r="C296" s="62">
        <v>280</v>
      </c>
      <c r="D296" s="158">
        <f t="shared" si="24"/>
        <v>332360.30763585755</v>
      </c>
      <c r="E296" s="158">
        <f t="shared" si="23"/>
        <v>16786.664652479867</v>
      </c>
      <c r="F296" s="158">
        <f t="shared" si="22"/>
        <v>1800.2849996942284</v>
      </c>
      <c r="G296" s="158">
        <f t="shared" si="20"/>
        <v>14986.379652785639</v>
      </c>
      <c r="H296" s="159">
        <f t="shared" si="21"/>
        <v>317373.92798307189</v>
      </c>
    </row>
    <row r="297" spans="2:9" x14ac:dyDescent="0.2">
      <c r="B297" s="43"/>
      <c r="C297" s="62">
        <v>281</v>
      </c>
      <c r="D297" s="158">
        <f t="shared" si="24"/>
        <v>317373.92798307189</v>
      </c>
      <c r="E297" s="158">
        <f t="shared" si="23"/>
        <v>16786.664652479867</v>
      </c>
      <c r="F297" s="158">
        <f t="shared" si="22"/>
        <v>1719.1087765749728</v>
      </c>
      <c r="G297" s="158">
        <f t="shared" si="20"/>
        <v>15067.555875904894</v>
      </c>
      <c r="H297" s="159">
        <f t="shared" si="21"/>
        <v>302306.37210716697</v>
      </c>
    </row>
    <row r="298" spans="2:9" x14ac:dyDescent="0.2">
      <c r="B298" s="43"/>
      <c r="C298" s="62">
        <v>282</v>
      </c>
      <c r="D298" s="158">
        <f t="shared" si="24"/>
        <v>302306.37210716697</v>
      </c>
      <c r="E298" s="158">
        <f t="shared" si="23"/>
        <v>16786.664652479867</v>
      </c>
      <c r="F298" s="158">
        <f t="shared" si="22"/>
        <v>1637.4928489138213</v>
      </c>
      <c r="G298" s="158">
        <f t="shared" si="20"/>
        <v>15149.171803566045</v>
      </c>
      <c r="H298" s="159">
        <f t="shared" si="21"/>
        <v>287157.20030360093</v>
      </c>
    </row>
    <row r="299" spans="2:9" x14ac:dyDescent="0.2">
      <c r="B299" s="43"/>
      <c r="C299" s="62">
        <v>283</v>
      </c>
      <c r="D299" s="158">
        <f t="shared" si="24"/>
        <v>287157.20030360093</v>
      </c>
      <c r="E299" s="158">
        <f t="shared" si="23"/>
        <v>16786.664652479867</v>
      </c>
      <c r="F299" s="158">
        <f t="shared" si="22"/>
        <v>1555.4348349778384</v>
      </c>
      <c r="G299" s="158">
        <f t="shared" si="20"/>
        <v>15231.22981750203</v>
      </c>
      <c r="H299" s="159">
        <f t="shared" si="21"/>
        <v>271925.9704860989</v>
      </c>
    </row>
    <row r="300" spans="2:9" x14ac:dyDescent="0.2">
      <c r="B300" s="43"/>
      <c r="C300" s="62">
        <v>284</v>
      </c>
      <c r="D300" s="158">
        <f t="shared" si="24"/>
        <v>271925.9704860989</v>
      </c>
      <c r="E300" s="158">
        <f t="shared" si="23"/>
        <v>16786.664652479867</v>
      </c>
      <c r="F300" s="158">
        <f t="shared" si="22"/>
        <v>1472.9323401330357</v>
      </c>
      <c r="G300" s="158">
        <f t="shared" si="20"/>
        <v>15313.73231234683</v>
      </c>
      <c r="H300" s="159">
        <f t="shared" si="21"/>
        <v>256612.23817375206</v>
      </c>
    </row>
    <row r="301" spans="2:9" x14ac:dyDescent="0.2">
      <c r="B301" s="43"/>
      <c r="C301" s="62">
        <v>285</v>
      </c>
      <c r="D301" s="158">
        <f t="shared" si="24"/>
        <v>256612.23817375206</v>
      </c>
      <c r="E301" s="158">
        <f t="shared" si="23"/>
        <v>16786.664652479867</v>
      </c>
      <c r="F301" s="158">
        <f t="shared" si="22"/>
        <v>1389.9829567744903</v>
      </c>
      <c r="G301" s="158">
        <f t="shared" si="20"/>
        <v>15396.681695705376</v>
      </c>
      <c r="H301" s="159">
        <f t="shared" si="21"/>
        <v>241215.5564780467</v>
      </c>
    </row>
    <row r="302" spans="2:9" x14ac:dyDescent="0.2">
      <c r="B302" s="43"/>
      <c r="C302" s="62">
        <v>286</v>
      </c>
      <c r="D302" s="158">
        <f t="shared" si="24"/>
        <v>241215.5564780467</v>
      </c>
      <c r="E302" s="158">
        <f t="shared" si="23"/>
        <v>16786.664652479867</v>
      </c>
      <c r="F302" s="158">
        <f t="shared" si="22"/>
        <v>1306.5842642560863</v>
      </c>
      <c r="G302" s="158">
        <f t="shared" si="20"/>
        <v>15480.080388223781</v>
      </c>
      <c r="H302" s="159">
        <f t="shared" si="21"/>
        <v>225735.47608982291</v>
      </c>
    </row>
    <row r="303" spans="2:9" x14ac:dyDescent="0.2">
      <c r="B303" s="43"/>
      <c r="C303" s="62">
        <v>287</v>
      </c>
      <c r="D303" s="158">
        <f t="shared" si="24"/>
        <v>225735.47608982291</v>
      </c>
      <c r="E303" s="158">
        <f t="shared" si="23"/>
        <v>16786.664652479867</v>
      </c>
      <c r="F303" s="158">
        <f t="shared" si="22"/>
        <v>1222.7338288198741</v>
      </c>
      <c r="G303" s="158">
        <f t="shared" si="20"/>
        <v>15563.930823659994</v>
      </c>
      <c r="H303" s="159">
        <f t="shared" si="21"/>
        <v>210171.54526616292</v>
      </c>
    </row>
    <row r="304" spans="2:9" x14ac:dyDescent="0.2">
      <c r="B304" s="49">
        <v>24</v>
      </c>
      <c r="C304" s="161">
        <v>288</v>
      </c>
      <c r="D304" s="172">
        <f t="shared" si="24"/>
        <v>210171.54526616292</v>
      </c>
      <c r="E304" s="172">
        <f t="shared" si="23"/>
        <v>16786.664652479867</v>
      </c>
      <c r="F304" s="172">
        <f t="shared" si="22"/>
        <v>1138.4292035250492</v>
      </c>
      <c r="G304" s="172">
        <f t="shared" si="20"/>
        <v>15648.235448954818</v>
      </c>
      <c r="H304" s="173">
        <f t="shared" si="21"/>
        <v>194523.30981720809</v>
      </c>
      <c r="I304" s="162">
        <f>+SUM(G293:G304)+SUM(F293:F304)</f>
        <v>201439.97582975842</v>
      </c>
    </row>
    <row r="305" spans="2:9" x14ac:dyDescent="0.2">
      <c r="B305" s="203"/>
      <c r="C305" s="204">
        <v>289</v>
      </c>
      <c r="D305" s="205">
        <f t="shared" si="24"/>
        <v>194523.30981720809</v>
      </c>
      <c r="E305" s="205">
        <f t="shared" si="23"/>
        <v>16786.664652479867</v>
      </c>
      <c r="F305" s="205">
        <f t="shared" si="22"/>
        <v>1053.6679281765439</v>
      </c>
      <c r="G305" s="205">
        <f t="shared" si="20"/>
        <v>15732.996724303322</v>
      </c>
      <c r="H305" s="206">
        <f t="shared" si="21"/>
        <v>178790.31309290478</v>
      </c>
    </row>
    <row r="306" spans="2:9" x14ac:dyDescent="0.2">
      <c r="B306" s="43"/>
      <c r="C306" s="62">
        <v>290</v>
      </c>
      <c r="D306" s="158">
        <f t="shared" si="24"/>
        <v>178790.31309290478</v>
      </c>
      <c r="E306" s="158">
        <f t="shared" si="23"/>
        <v>16786.664652479867</v>
      </c>
      <c r="F306" s="158">
        <f t="shared" si="22"/>
        <v>968.44752925323428</v>
      </c>
      <c r="G306" s="158">
        <f t="shared" si="20"/>
        <v>15818.217123226634</v>
      </c>
      <c r="H306" s="159">
        <f t="shared" si="21"/>
        <v>162972.09596967814</v>
      </c>
    </row>
    <row r="307" spans="2:9" x14ac:dyDescent="0.2">
      <c r="B307" s="43"/>
      <c r="C307" s="62">
        <v>291</v>
      </c>
      <c r="D307" s="158">
        <f t="shared" si="24"/>
        <v>162972.09596967814</v>
      </c>
      <c r="E307" s="158">
        <f t="shared" si="23"/>
        <v>16786.664652479867</v>
      </c>
      <c r="F307" s="158">
        <f t="shared" si="22"/>
        <v>882.76551983575655</v>
      </c>
      <c r="G307" s="158">
        <f t="shared" si="20"/>
        <v>15903.89913264411</v>
      </c>
      <c r="H307" s="159">
        <f t="shared" si="21"/>
        <v>147068.19683703402</v>
      </c>
    </row>
    <row r="308" spans="2:9" x14ac:dyDescent="0.2">
      <c r="B308" s="43"/>
      <c r="C308" s="62">
        <v>292</v>
      </c>
      <c r="D308" s="158">
        <f t="shared" si="24"/>
        <v>147068.19683703402</v>
      </c>
      <c r="E308" s="158">
        <f t="shared" si="23"/>
        <v>16786.664652479867</v>
      </c>
      <c r="F308" s="158">
        <f t="shared" si="22"/>
        <v>796.61939953393426</v>
      </c>
      <c r="G308" s="158">
        <f t="shared" si="20"/>
        <v>15990.045252945933</v>
      </c>
      <c r="H308" s="159">
        <f t="shared" si="21"/>
        <v>131078.15158408807</v>
      </c>
    </row>
    <row r="309" spans="2:9" x14ac:dyDescent="0.2">
      <c r="B309" s="43"/>
      <c r="C309" s="62">
        <v>293</v>
      </c>
      <c r="D309" s="158">
        <f t="shared" si="24"/>
        <v>131078.15158408807</v>
      </c>
      <c r="E309" s="158">
        <f t="shared" si="23"/>
        <v>16786.664652479867</v>
      </c>
      <c r="F309" s="158">
        <f t="shared" si="22"/>
        <v>710.00665441381045</v>
      </c>
      <c r="G309" s="158">
        <f t="shared" si="20"/>
        <v>16076.657998066057</v>
      </c>
      <c r="H309" s="159">
        <f t="shared" si="21"/>
        <v>115001.49358602201</v>
      </c>
    </row>
    <row r="310" spans="2:9" x14ac:dyDescent="0.2">
      <c r="B310" s="43"/>
      <c r="C310" s="62">
        <v>294</v>
      </c>
      <c r="D310" s="158">
        <f t="shared" si="24"/>
        <v>115001.49358602201</v>
      </c>
      <c r="E310" s="158">
        <f t="shared" si="23"/>
        <v>16786.664652479867</v>
      </c>
      <c r="F310" s="158">
        <f t="shared" si="22"/>
        <v>622.92475692428593</v>
      </c>
      <c r="G310" s="158">
        <f t="shared" si="20"/>
        <v>16163.739895555582</v>
      </c>
      <c r="H310" s="159">
        <f t="shared" si="21"/>
        <v>98837.75369046643</v>
      </c>
    </row>
    <row r="311" spans="2:9" x14ac:dyDescent="0.2">
      <c r="B311" s="43"/>
      <c r="C311" s="62">
        <v>295</v>
      </c>
      <c r="D311" s="158">
        <f t="shared" si="24"/>
        <v>98837.75369046643</v>
      </c>
      <c r="E311" s="158">
        <f t="shared" si="23"/>
        <v>16786.664652479867</v>
      </c>
      <c r="F311" s="158">
        <f t="shared" si="22"/>
        <v>535.37116582335989</v>
      </c>
      <c r="G311" s="158">
        <f t="shared" si="20"/>
        <v>16251.293486656507</v>
      </c>
      <c r="H311" s="159">
        <f t="shared" si="21"/>
        <v>82586.460203809926</v>
      </c>
    </row>
    <row r="312" spans="2:9" x14ac:dyDescent="0.2">
      <c r="B312" s="43"/>
      <c r="C312" s="62">
        <v>296</v>
      </c>
      <c r="D312" s="158">
        <f t="shared" si="24"/>
        <v>82586.460203809926</v>
      </c>
      <c r="E312" s="158">
        <f t="shared" si="23"/>
        <v>16786.664652479867</v>
      </c>
      <c r="F312" s="158">
        <f t="shared" si="22"/>
        <v>447.34332610397047</v>
      </c>
      <c r="G312" s="158">
        <f t="shared" si="20"/>
        <v>16339.321326375897</v>
      </c>
      <c r="H312" s="159">
        <f t="shared" si="21"/>
        <v>66247.13887743403</v>
      </c>
    </row>
    <row r="313" spans="2:9" x14ac:dyDescent="0.2">
      <c r="B313" s="43"/>
      <c r="C313" s="62">
        <v>297</v>
      </c>
      <c r="D313" s="158">
        <f t="shared" si="24"/>
        <v>66247.13887743403</v>
      </c>
      <c r="E313" s="158">
        <f t="shared" si="23"/>
        <v>16786.664652479867</v>
      </c>
      <c r="F313" s="158">
        <f t="shared" si="22"/>
        <v>358.83866891943433</v>
      </c>
      <c r="G313" s="158">
        <f t="shared" si="20"/>
        <v>16427.825983560433</v>
      </c>
      <c r="H313" s="159">
        <f t="shared" si="21"/>
        <v>49819.312893873597</v>
      </c>
    </row>
    <row r="314" spans="2:9" x14ac:dyDescent="0.2">
      <c r="B314" s="43"/>
      <c r="C314" s="62">
        <v>298</v>
      </c>
      <c r="D314" s="158">
        <f t="shared" si="24"/>
        <v>49819.312893873597</v>
      </c>
      <c r="E314" s="158">
        <f t="shared" si="23"/>
        <v>16786.664652479867</v>
      </c>
      <c r="F314" s="158">
        <f t="shared" si="22"/>
        <v>269.85461150848198</v>
      </c>
      <c r="G314" s="158">
        <f t="shared" si="20"/>
        <v>16516.810040971384</v>
      </c>
      <c r="H314" s="159">
        <f t="shared" si="21"/>
        <v>33302.502852902209</v>
      </c>
    </row>
    <row r="315" spans="2:9" x14ac:dyDescent="0.2">
      <c r="B315" s="43"/>
      <c r="C315" s="62">
        <v>299</v>
      </c>
      <c r="D315" s="158">
        <f t="shared" si="24"/>
        <v>33302.502852902209</v>
      </c>
      <c r="E315" s="158">
        <f t="shared" si="23"/>
        <v>16786.664652479867</v>
      </c>
      <c r="F315" s="158">
        <f t="shared" si="22"/>
        <v>180.38855711988697</v>
      </c>
      <c r="G315" s="158">
        <f t="shared" si="20"/>
        <v>16606.276095359979</v>
      </c>
      <c r="H315" s="159">
        <f t="shared" si="21"/>
        <v>16696.22675754223</v>
      </c>
    </row>
    <row r="316" spans="2:9" x14ac:dyDescent="0.2">
      <c r="B316" s="49">
        <v>25</v>
      </c>
      <c r="C316" s="161">
        <v>300</v>
      </c>
      <c r="D316" s="172">
        <f t="shared" si="24"/>
        <v>16696.22675754223</v>
      </c>
      <c r="E316" s="172">
        <f t="shared" si="23"/>
        <v>16786.664652479867</v>
      </c>
      <c r="F316" s="172">
        <f t="shared" si="22"/>
        <v>90.437894936687087</v>
      </c>
      <c r="G316" s="172">
        <f t="shared" si="20"/>
        <v>16696.22675754318</v>
      </c>
      <c r="H316" s="173">
        <f t="shared" si="21"/>
        <v>-9.4951246865093708E-10</v>
      </c>
      <c r="I316" s="162">
        <f>+SUM(G305:G316)+SUM(F305:F316)</f>
        <v>201439.97582975845</v>
      </c>
    </row>
    <row r="317" spans="2:9" x14ac:dyDescent="0.2">
      <c r="B317" s="203"/>
      <c r="C317" s="204">
        <v>301</v>
      </c>
      <c r="D317" s="205">
        <f t="shared" si="24"/>
        <v>0</v>
      </c>
      <c r="E317" s="205">
        <f t="shared" si="23"/>
        <v>0</v>
      </c>
      <c r="F317" s="205">
        <f t="shared" si="22"/>
        <v>0</v>
      </c>
      <c r="G317" s="205">
        <f t="shared" si="20"/>
        <v>0</v>
      </c>
      <c r="H317" s="206">
        <f t="shared" si="21"/>
        <v>0</v>
      </c>
    </row>
    <row r="318" spans="2:9" x14ac:dyDescent="0.2">
      <c r="B318" s="43"/>
      <c r="C318" s="62">
        <v>302</v>
      </c>
      <c r="D318" s="158">
        <f t="shared" si="24"/>
        <v>0</v>
      </c>
      <c r="E318" s="158">
        <f t="shared" si="23"/>
        <v>0</v>
      </c>
      <c r="F318" s="158">
        <f t="shared" si="22"/>
        <v>0</v>
      </c>
      <c r="G318" s="158">
        <f t="shared" si="20"/>
        <v>0</v>
      </c>
      <c r="H318" s="159">
        <f t="shared" si="21"/>
        <v>0</v>
      </c>
    </row>
    <row r="319" spans="2:9" x14ac:dyDescent="0.2">
      <c r="B319" s="43"/>
      <c r="C319" s="62">
        <v>303</v>
      </c>
      <c r="D319" s="158">
        <f t="shared" si="24"/>
        <v>0</v>
      </c>
      <c r="E319" s="158">
        <f t="shared" si="23"/>
        <v>0</v>
      </c>
      <c r="F319" s="158">
        <f t="shared" si="22"/>
        <v>0</v>
      </c>
      <c r="G319" s="158">
        <f t="shared" si="20"/>
        <v>0</v>
      </c>
      <c r="H319" s="159">
        <f t="shared" si="21"/>
        <v>0</v>
      </c>
    </row>
    <row r="320" spans="2:9" x14ac:dyDescent="0.2">
      <c r="B320" s="43"/>
      <c r="C320" s="62">
        <v>304</v>
      </c>
      <c r="D320" s="158">
        <f t="shared" si="24"/>
        <v>0</v>
      </c>
      <c r="E320" s="158">
        <f t="shared" si="23"/>
        <v>0</v>
      </c>
      <c r="F320" s="158">
        <f t="shared" si="22"/>
        <v>0</v>
      </c>
      <c r="G320" s="158">
        <f t="shared" si="20"/>
        <v>0</v>
      </c>
      <c r="H320" s="159">
        <f t="shared" si="21"/>
        <v>0</v>
      </c>
    </row>
    <row r="321" spans="2:9" x14ac:dyDescent="0.2">
      <c r="B321" s="43"/>
      <c r="C321" s="62">
        <v>305</v>
      </c>
      <c r="D321" s="158">
        <f t="shared" si="24"/>
        <v>0</v>
      </c>
      <c r="E321" s="158">
        <f t="shared" si="23"/>
        <v>0</v>
      </c>
      <c r="F321" s="158">
        <f t="shared" si="22"/>
        <v>0</v>
      </c>
      <c r="G321" s="158">
        <f t="shared" si="20"/>
        <v>0</v>
      </c>
      <c r="H321" s="159">
        <f t="shared" si="21"/>
        <v>0</v>
      </c>
    </row>
    <row r="322" spans="2:9" x14ac:dyDescent="0.2">
      <c r="B322" s="43"/>
      <c r="C322" s="62">
        <v>306</v>
      </c>
      <c r="D322" s="158">
        <f t="shared" si="24"/>
        <v>0</v>
      </c>
      <c r="E322" s="158">
        <f t="shared" si="23"/>
        <v>0</v>
      </c>
      <c r="F322" s="158">
        <f t="shared" si="22"/>
        <v>0</v>
      </c>
      <c r="G322" s="158">
        <f t="shared" si="20"/>
        <v>0</v>
      </c>
      <c r="H322" s="159">
        <f t="shared" si="21"/>
        <v>0</v>
      </c>
    </row>
    <row r="323" spans="2:9" x14ac:dyDescent="0.2">
      <c r="B323" s="43"/>
      <c r="C323" s="62">
        <v>307</v>
      </c>
      <c r="D323" s="158">
        <f t="shared" si="24"/>
        <v>0</v>
      </c>
      <c r="E323" s="158">
        <f t="shared" si="23"/>
        <v>0</v>
      </c>
      <c r="F323" s="158">
        <f t="shared" si="22"/>
        <v>0</v>
      </c>
      <c r="G323" s="158">
        <f t="shared" si="20"/>
        <v>0</v>
      </c>
      <c r="H323" s="159">
        <f t="shared" si="21"/>
        <v>0</v>
      </c>
    </row>
    <row r="324" spans="2:9" x14ac:dyDescent="0.2">
      <c r="B324" s="43"/>
      <c r="C324" s="62">
        <v>308</v>
      </c>
      <c r="D324" s="158">
        <f t="shared" si="24"/>
        <v>0</v>
      </c>
      <c r="E324" s="158">
        <f t="shared" si="23"/>
        <v>0</v>
      </c>
      <c r="F324" s="158">
        <f t="shared" si="22"/>
        <v>0</v>
      </c>
      <c r="G324" s="158">
        <f t="shared" si="20"/>
        <v>0</v>
      </c>
      <c r="H324" s="159">
        <f t="shared" si="21"/>
        <v>0</v>
      </c>
    </row>
    <row r="325" spans="2:9" x14ac:dyDescent="0.2">
      <c r="B325" s="43"/>
      <c r="C325" s="62">
        <v>309</v>
      </c>
      <c r="D325" s="158">
        <f t="shared" si="24"/>
        <v>0</v>
      </c>
      <c r="E325" s="158">
        <f t="shared" si="23"/>
        <v>0</v>
      </c>
      <c r="F325" s="158">
        <f t="shared" si="22"/>
        <v>0</v>
      </c>
      <c r="G325" s="158">
        <f t="shared" si="20"/>
        <v>0</v>
      </c>
      <c r="H325" s="159">
        <f t="shared" si="21"/>
        <v>0</v>
      </c>
    </row>
    <row r="326" spans="2:9" x14ac:dyDescent="0.2">
      <c r="B326" s="43"/>
      <c r="C326" s="62">
        <v>310</v>
      </c>
      <c r="D326" s="158">
        <f t="shared" si="24"/>
        <v>0</v>
      </c>
      <c r="E326" s="158">
        <f t="shared" si="23"/>
        <v>0</v>
      </c>
      <c r="F326" s="158">
        <f t="shared" si="22"/>
        <v>0</v>
      </c>
      <c r="G326" s="158">
        <f t="shared" si="20"/>
        <v>0</v>
      </c>
      <c r="H326" s="159">
        <f t="shared" si="21"/>
        <v>0</v>
      </c>
    </row>
    <row r="327" spans="2:9" x14ac:dyDescent="0.2">
      <c r="B327" s="43"/>
      <c r="C327" s="62">
        <v>311</v>
      </c>
      <c r="D327" s="158">
        <f t="shared" si="24"/>
        <v>0</v>
      </c>
      <c r="E327" s="158">
        <f t="shared" si="23"/>
        <v>0</v>
      </c>
      <c r="F327" s="158">
        <f t="shared" si="22"/>
        <v>0</v>
      </c>
      <c r="G327" s="158">
        <f t="shared" si="20"/>
        <v>0</v>
      </c>
      <c r="H327" s="159">
        <f t="shared" si="21"/>
        <v>0</v>
      </c>
    </row>
    <row r="328" spans="2:9" x14ac:dyDescent="0.2">
      <c r="B328" s="49">
        <v>26</v>
      </c>
      <c r="C328" s="161">
        <v>312</v>
      </c>
      <c r="D328" s="172">
        <f t="shared" si="24"/>
        <v>0</v>
      </c>
      <c r="E328" s="172">
        <f t="shared" si="23"/>
        <v>0</v>
      </c>
      <c r="F328" s="172">
        <f t="shared" si="22"/>
        <v>0</v>
      </c>
      <c r="G328" s="172">
        <f t="shared" si="20"/>
        <v>0</v>
      </c>
      <c r="H328" s="173">
        <f t="shared" si="21"/>
        <v>0</v>
      </c>
      <c r="I328" s="162">
        <f>+SUM(G317:G328)+SUM(F317:F328)</f>
        <v>0</v>
      </c>
    </row>
    <row r="329" spans="2:9" x14ac:dyDescent="0.2">
      <c r="B329" s="203"/>
      <c r="C329" s="204">
        <v>313</v>
      </c>
      <c r="D329" s="205">
        <f t="shared" si="24"/>
        <v>0</v>
      </c>
      <c r="E329" s="205">
        <f t="shared" si="23"/>
        <v>0</v>
      </c>
      <c r="F329" s="205">
        <f t="shared" si="22"/>
        <v>0</v>
      </c>
      <c r="G329" s="205">
        <f t="shared" si="20"/>
        <v>0</v>
      </c>
      <c r="H329" s="206">
        <f t="shared" si="21"/>
        <v>0</v>
      </c>
    </row>
    <row r="330" spans="2:9" x14ac:dyDescent="0.2">
      <c r="B330" s="43"/>
      <c r="C330" s="62">
        <v>314</v>
      </c>
      <c r="D330" s="158">
        <f t="shared" si="24"/>
        <v>0</v>
      </c>
      <c r="E330" s="158">
        <f t="shared" si="23"/>
        <v>0</v>
      </c>
      <c r="F330" s="158">
        <f t="shared" si="22"/>
        <v>0</v>
      </c>
      <c r="G330" s="158">
        <f t="shared" si="20"/>
        <v>0</v>
      </c>
      <c r="H330" s="159">
        <f t="shared" si="21"/>
        <v>0</v>
      </c>
    </row>
    <row r="331" spans="2:9" x14ac:dyDescent="0.2">
      <c r="B331" s="43"/>
      <c r="C331" s="62">
        <v>315</v>
      </c>
      <c r="D331" s="158">
        <f t="shared" si="24"/>
        <v>0</v>
      </c>
      <c r="E331" s="158">
        <f t="shared" si="23"/>
        <v>0</v>
      </c>
      <c r="F331" s="158">
        <f t="shared" si="22"/>
        <v>0</v>
      </c>
      <c r="G331" s="158">
        <f t="shared" si="20"/>
        <v>0</v>
      </c>
      <c r="H331" s="159">
        <f t="shared" si="21"/>
        <v>0</v>
      </c>
    </row>
    <row r="332" spans="2:9" x14ac:dyDescent="0.2">
      <c r="B332" s="43"/>
      <c r="C332" s="62">
        <v>316</v>
      </c>
      <c r="D332" s="158">
        <f t="shared" si="24"/>
        <v>0</v>
      </c>
      <c r="E332" s="158">
        <f t="shared" si="23"/>
        <v>0</v>
      </c>
      <c r="F332" s="158">
        <f t="shared" si="22"/>
        <v>0</v>
      </c>
      <c r="G332" s="158">
        <f t="shared" si="20"/>
        <v>0</v>
      </c>
      <c r="H332" s="159">
        <f t="shared" si="21"/>
        <v>0</v>
      </c>
    </row>
    <row r="333" spans="2:9" x14ac:dyDescent="0.2">
      <c r="B333" s="43"/>
      <c r="C333" s="62">
        <v>317</v>
      </c>
      <c r="D333" s="158">
        <f t="shared" si="24"/>
        <v>0</v>
      </c>
      <c r="E333" s="158">
        <f t="shared" si="23"/>
        <v>0</v>
      </c>
      <c r="F333" s="158">
        <f t="shared" si="22"/>
        <v>0</v>
      </c>
      <c r="G333" s="158">
        <f t="shared" si="20"/>
        <v>0</v>
      </c>
      <c r="H333" s="159">
        <f t="shared" si="21"/>
        <v>0</v>
      </c>
    </row>
    <row r="334" spans="2:9" x14ac:dyDescent="0.2">
      <c r="B334" s="43"/>
      <c r="C334" s="62">
        <v>318</v>
      </c>
      <c r="D334" s="158">
        <f t="shared" si="24"/>
        <v>0</v>
      </c>
      <c r="E334" s="158">
        <f t="shared" si="23"/>
        <v>0</v>
      </c>
      <c r="F334" s="158">
        <f t="shared" si="22"/>
        <v>0</v>
      </c>
      <c r="G334" s="158">
        <f t="shared" si="20"/>
        <v>0</v>
      </c>
      <c r="H334" s="159">
        <f t="shared" si="21"/>
        <v>0</v>
      </c>
    </row>
    <row r="335" spans="2:9" x14ac:dyDescent="0.2">
      <c r="B335" s="43"/>
      <c r="C335" s="62">
        <v>319</v>
      </c>
      <c r="D335" s="158">
        <f t="shared" si="24"/>
        <v>0</v>
      </c>
      <c r="E335" s="158">
        <f t="shared" si="23"/>
        <v>0</v>
      </c>
      <c r="F335" s="158">
        <f t="shared" si="22"/>
        <v>0</v>
      </c>
      <c r="G335" s="158">
        <f t="shared" si="20"/>
        <v>0</v>
      </c>
      <c r="H335" s="159">
        <f t="shared" si="21"/>
        <v>0</v>
      </c>
    </row>
    <row r="336" spans="2:9" x14ac:dyDescent="0.2">
      <c r="B336" s="43"/>
      <c r="C336" s="62">
        <v>320</v>
      </c>
      <c r="D336" s="158">
        <f t="shared" si="24"/>
        <v>0</v>
      </c>
      <c r="E336" s="158">
        <f t="shared" si="23"/>
        <v>0</v>
      </c>
      <c r="F336" s="158">
        <f t="shared" si="22"/>
        <v>0</v>
      </c>
      <c r="G336" s="158">
        <f t="shared" si="20"/>
        <v>0</v>
      </c>
      <c r="H336" s="159">
        <f t="shared" si="21"/>
        <v>0</v>
      </c>
    </row>
    <row r="337" spans="2:9" x14ac:dyDescent="0.2">
      <c r="B337" s="43"/>
      <c r="C337" s="62">
        <v>321</v>
      </c>
      <c r="D337" s="158">
        <f t="shared" si="24"/>
        <v>0</v>
      </c>
      <c r="E337" s="158">
        <f t="shared" si="23"/>
        <v>0</v>
      </c>
      <c r="F337" s="158">
        <f t="shared" si="22"/>
        <v>0</v>
      </c>
      <c r="G337" s="158">
        <f t="shared" ref="G337:G376" si="25">E337-F337</f>
        <v>0</v>
      </c>
      <c r="H337" s="159">
        <f t="shared" ref="H337:H376" si="26">D337-G337</f>
        <v>0</v>
      </c>
    </row>
    <row r="338" spans="2:9" x14ac:dyDescent="0.2">
      <c r="B338" s="43"/>
      <c r="C338" s="62">
        <v>322</v>
      </c>
      <c r="D338" s="158">
        <f t="shared" si="24"/>
        <v>0</v>
      </c>
      <c r="E338" s="158">
        <f t="shared" si="23"/>
        <v>0</v>
      </c>
      <c r="F338" s="158">
        <f t="shared" ref="F338:F376" si="27">IF(C338&gt;$C$10,0,($C$6/12)*H337)</f>
        <v>0</v>
      </c>
      <c r="G338" s="158">
        <f t="shared" si="25"/>
        <v>0</v>
      </c>
      <c r="H338" s="159">
        <f t="shared" si="26"/>
        <v>0</v>
      </c>
    </row>
    <row r="339" spans="2:9" x14ac:dyDescent="0.2">
      <c r="B339" s="43"/>
      <c r="C339" s="62">
        <v>323</v>
      </c>
      <c r="D339" s="158">
        <f t="shared" si="24"/>
        <v>0</v>
      </c>
      <c r="E339" s="158">
        <f t="shared" si="23"/>
        <v>0</v>
      </c>
      <c r="F339" s="158">
        <f t="shared" si="27"/>
        <v>0</v>
      </c>
      <c r="G339" s="158">
        <f t="shared" si="25"/>
        <v>0</v>
      </c>
      <c r="H339" s="159">
        <f t="shared" si="26"/>
        <v>0</v>
      </c>
    </row>
    <row r="340" spans="2:9" x14ac:dyDescent="0.2">
      <c r="B340" s="49">
        <v>27</v>
      </c>
      <c r="C340" s="161">
        <v>324</v>
      </c>
      <c r="D340" s="172">
        <f t="shared" si="24"/>
        <v>0</v>
      </c>
      <c r="E340" s="172">
        <f t="shared" si="23"/>
        <v>0</v>
      </c>
      <c r="F340" s="172">
        <f t="shared" si="27"/>
        <v>0</v>
      </c>
      <c r="G340" s="172">
        <f t="shared" si="25"/>
        <v>0</v>
      </c>
      <c r="H340" s="173">
        <f t="shared" si="26"/>
        <v>0</v>
      </c>
      <c r="I340" s="162">
        <f>+SUM(G329:G340)+SUM(F329:F340)</f>
        <v>0</v>
      </c>
    </row>
    <row r="341" spans="2:9" x14ac:dyDescent="0.2">
      <c r="B341" s="203"/>
      <c r="C341" s="204">
        <v>325</v>
      </c>
      <c r="D341" s="205">
        <f t="shared" si="24"/>
        <v>0</v>
      </c>
      <c r="E341" s="205">
        <f t="shared" ref="E341:E376" si="28">IF(C341&gt;$C$10,0,IF(C341&lt;=$C$8,F341,-PMT($C$6/12,$C$9,$C$5,0,0)))</f>
        <v>0</v>
      </c>
      <c r="F341" s="205">
        <f t="shared" si="27"/>
        <v>0</v>
      </c>
      <c r="G341" s="205">
        <f t="shared" si="25"/>
        <v>0</v>
      </c>
      <c r="H341" s="206">
        <f t="shared" si="26"/>
        <v>0</v>
      </c>
    </row>
    <row r="342" spans="2:9" x14ac:dyDescent="0.2">
      <c r="B342" s="43"/>
      <c r="C342" s="62">
        <v>326</v>
      </c>
      <c r="D342" s="158">
        <f t="shared" ref="D342:D376" si="29">IF(C342&gt;$C$10,0,H341)</f>
        <v>0</v>
      </c>
      <c r="E342" s="158">
        <f t="shared" si="28"/>
        <v>0</v>
      </c>
      <c r="F342" s="158">
        <f t="shared" si="27"/>
        <v>0</v>
      </c>
      <c r="G342" s="158">
        <f t="shared" si="25"/>
        <v>0</v>
      </c>
      <c r="H342" s="159">
        <f t="shared" si="26"/>
        <v>0</v>
      </c>
    </row>
    <row r="343" spans="2:9" x14ac:dyDescent="0.2">
      <c r="B343" s="43"/>
      <c r="C343" s="62">
        <v>327</v>
      </c>
      <c r="D343" s="158">
        <f t="shared" si="29"/>
        <v>0</v>
      </c>
      <c r="E343" s="158">
        <f t="shared" si="28"/>
        <v>0</v>
      </c>
      <c r="F343" s="158">
        <f t="shared" si="27"/>
        <v>0</v>
      </c>
      <c r="G343" s="158">
        <f t="shared" si="25"/>
        <v>0</v>
      </c>
      <c r="H343" s="159">
        <f t="shared" si="26"/>
        <v>0</v>
      </c>
    </row>
    <row r="344" spans="2:9" x14ac:dyDescent="0.2">
      <c r="B344" s="43"/>
      <c r="C344" s="62">
        <v>328</v>
      </c>
      <c r="D344" s="158">
        <f t="shared" si="29"/>
        <v>0</v>
      </c>
      <c r="E344" s="158">
        <f t="shared" si="28"/>
        <v>0</v>
      </c>
      <c r="F344" s="158">
        <f t="shared" si="27"/>
        <v>0</v>
      </c>
      <c r="G344" s="158">
        <f t="shared" si="25"/>
        <v>0</v>
      </c>
      <c r="H344" s="159">
        <f t="shared" si="26"/>
        <v>0</v>
      </c>
    </row>
    <row r="345" spans="2:9" x14ac:dyDescent="0.2">
      <c r="B345" s="43"/>
      <c r="C345" s="62">
        <v>329</v>
      </c>
      <c r="D345" s="158">
        <f t="shared" si="29"/>
        <v>0</v>
      </c>
      <c r="E345" s="158">
        <f t="shared" si="28"/>
        <v>0</v>
      </c>
      <c r="F345" s="158">
        <f t="shared" si="27"/>
        <v>0</v>
      </c>
      <c r="G345" s="158">
        <f t="shared" si="25"/>
        <v>0</v>
      </c>
      <c r="H345" s="159">
        <f t="shared" si="26"/>
        <v>0</v>
      </c>
    </row>
    <row r="346" spans="2:9" x14ac:dyDescent="0.2">
      <c r="B346" s="43"/>
      <c r="C346" s="62">
        <v>330</v>
      </c>
      <c r="D346" s="158">
        <f t="shared" si="29"/>
        <v>0</v>
      </c>
      <c r="E346" s="158">
        <f t="shared" si="28"/>
        <v>0</v>
      </c>
      <c r="F346" s="158">
        <f t="shared" si="27"/>
        <v>0</v>
      </c>
      <c r="G346" s="158">
        <f t="shared" si="25"/>
        <v>0</v>
      </c>
      <c r="H346" s="159">
        <f t="shared" si="26"/>
        <v>0</v>
      </c>
    </row>
    <row r="347" spans="2:9" x14ac:dyDescent="0.2">
      <c r="B347" s="43"/>
      <c r="C347" s="62">
        <v>331</v>
      </c>
      <c r="D347" s="158">
        <f t="shared" si="29"/>
        <v>0</v>
      </c>
      <c r="E347" s="158">
        <f t="shared" si="28"/>
        <v>0</v>
      </c>
      <c r="F347" s="158">
        <f t="shared" si="27"/>
        <v>0</v>
      </c>
      <c r="G347" s="158">
        <f t="shared" si="25"/>
        <v>0</v>
      </c>
      <c r="H347" s="159">
        <f t="shared" si="26"/>
        <v>0</v>
      </c>
    </row>
    <row r="348" spans="2:9" x14ac:dyDescent="0.2">
      <c r="B348" s="43"/>
      <c r="C348" s="62">
        <v>332</v>
      </c>
      <c r="D348" s="158">
        <f t="shared" si="29"/>
        <v>0</v>
      </c>
      <c r="E348" s="158">
        <f t="shared" si="28"/>
        <v>0</v>
      </c>
      <c r="F348" s="158">
        <f t="shared" si="27"/>
        <v>0</v>
      </c>
      <c r="G348" s="158">
        <f t="shared" si="25"/>
        <v>0</v>
      </c>
      <c r="H348" s="159">
        <f t="shared" si="26"/>
        <v>0</v>
      </c>
    </row>
    <row r="349" spans="2:9" x14ac:dyDescent="0.2">
      <c r="B349" s="43"/>
      <c r="C349" s="62">
        <v>333</v>
      </c>
      <c r="D349" s="158">
        <f t="shared" si="29"/>
        <v>0</v>
      </c>
      <c r="E349" s="158">
        <f t="shared" si="28"/>
        <v>0</v>
      </c>
      <c r="F349" s="158">
        <f t="shared" si="27"/>
        <v>0</v>
      </c>
      <c r="G349" s="158">
        <f t="shared" si="25"/>
        <v>0</v>
      </c>
      <c r="H349" s="159">
        <f t="shared" si="26"/>
        <v>0</v>
      </c>
    </row>
    <row r="350" spans="2:9" x14ac:dyDescent="0.2">
      <c r="B350" s="43"/>
      <c r="C350" s="62">
        <v>334</v>
      </c>
      <c r="D350" s="158">
        <f t="shared" si="29"/>
        <v>0</v>
      </c>
      <c r="E350" s="158">
        <f t="shared" si="28"/>
        <v>0</v>
      </c>
      <c r="F350" s="158">
        <f t="shared" si="27"/>
        <v>0</v>
      </c>
      <c r="G350" s="158">
        <f t="shared" si="25"/>
        <v>0</v>
      </c>
      <c r="H350" s="159">
        <f t="shared" si="26"/>
        <v>0</v>
      </c>
    </row>
    <row r="351" spans="2:9" x14ac:dyDescent="0.2">
      <c r="B351" s="43"/>
      <c r="C351" s="62">
        <v>335</v>
      </c>
      <c r="D351" s="158">
        <f t="shared" si="29"/>
        <v>0</v>
      </c>
      <c r="E351" s="158">
        <f t="shared" si="28"/>
        <v>0</v>
      </c>
      <c r="F351" s="158">
        <f t="shared" si="27"/>
        <v>0</v>
      </c>
      <c r="G351" s="158">
        <f t="shared" si="25"/>
        <v>0</v>
      </c>
      <c r="H351" s="159">
        <f t="shared" si="26"/>
        <v>0</v>
      </c>
    </row>
    <row r="352" spans="2:9" x14ac:dyDescent="0.2">
      <c r="B352" s="49">
        <v>28</v>
      </c>
      <c r="C352" s="161">
        <v>336</v>
      </c>
      <c r="D352" s="172">
        <f t="shared" si="29"/>
        <v>0</v>
      </c>
      <c r="E352" s="172">
        <f t="shared" si="28"/>
        <v>0</v>
      </c>
      <c r="F352" s="172">
        <f t="shared" si="27"/>
        <v>0</v>
      </c>
      <c r="G352" s="172">
        <f t="shared" si="25"/>
        <v>0</v>
      </c>
      <c r="H352" s="173">
        <f t="shared" si="26"/>
        <v>0</v>
      </c>
      <c r="I352" s="162">
        <f>+SUM(G341:G352)+SUM(F341:F352)</f>
        <v>0</v>
      </c>
    </row>
    <row r="353" spans="2:9" x14ac:dyDescent="0.2">
      <c r="B353" s="203"/>
      <c r="C353" s="204">
        <v>337</v>
      </c>
      <c r="D353" s="205">
        <f t="shared" si="29"/>
        <v>0</v>
      </c>
      <c r="E353" s="205">
        <f t="shared" si="28"/>
        <v>0</v>
      </c>
      <c r="F353" s="205">
        <f t="shared" si="27"/>
        <v>0</v>
      </c>
      <c r="G353" s="205">
        <f t="shared" si="25"/>
        <v>0</v>
      </c>
      <c r="H353" s="206">
        <f t="shared" si="26"/>
        <v>0</v>
      </c>
    </row>
    <row r="354" spans="2:9" x14ac:dyDescent="0.2">
      <c r="B354" s="43"/>
      <c r="C354" s="62">
        <v>338</v>
      </c>
      <c r="D354" s="158">
        <f t="shared" si="29"/>
        <v>0</v>
      </c>
      <c r="E354" s="158">
        <f t="shared" si="28"/>
        <v>0</v>
      </c>
      <c r="F354" s="158">
        <f t="shared" si="27"/>
        <v>0</v>
      </c>
      <c r="G354" s="158">
        <f t="shared" si="25"/>
        <v>0</v>
      </c>
      <c r="H354" s="159">
        <f t="shared" si="26"/>
        <v>0</v>
      </c>
    </row>
    <row r="355" spans="2:9" x14ac:dyDescent="0.2">
      <c r="B355" s="43"/>
      <c r="C355" s="62">
        <v>339</v>
      </c>
      <c r="D355" s="158">
        <f t="shared" si="29"/>
        <v>0</v>
      </c>
      <c r="E355" s="158">
        <f t="shared" si="28"/>
        <v>0</v>
      </c>
      <c r="F355" s="158">
        <f t="shared" si="27"/>
        <v>0</v>
      </c>
      <c r="G355" s="158">
        <f t="shared" si="25"/>
        <v>0</v>
      </c>
      <c r="H355" s="159">
        <f t="shared" si="26"/>
        <v>0</v>
      </c>
    </row>
    <row r="356" spans="2:9" x14ac:dyDescent="0.2">
      <c r="B356" s="43"/>
      <c r="C356" s="62">
        <v>340</v>
      </c>
      <c r="D356" s="158">
        <f t="shared" si="29"/>
        <v>0</v>
      </c>
      <c r="E356" s="158">
        <f t="shared" si="28"/>
        <v>0</v>
      </c>
      <c r="F356" s="158">
        <f t="shared" si="27"/>
        <v>0</v>
      </c>
      <c r="G356" s="158">
        <f t="shared" si="25"/>
        <v>0</v>
      </c>
      <c r="H356" s="159">
        <f t="shared" si="26"/>
        <v>0</v>
      </c>
    </row>
    <row r="357" spans="2:9" x14ac:dyDescent="0.2">
      <c r="B357" s="43"/>
      <c r="C357" s="62">
        <v>341</v>
      </c>
      <c r="D357" s="158">
        <f t="shared" si="29"/>
        <v>0</v>
      </c>
      <c r="E357" s="158">
        <f t="shared" si="28"/>
        <v>0</v>
      </c>
      <c r="F357" s="158">
        <f t="shared" si="27"/>
        <v>0</v>
      </c>
      <c r="G357" s="158">
        <f t="shared" si="25"/>
        <v>0</v>
      </c>
      <c r="H357" s="159">
        <f t="shared" si="26"/>
        <v>0</v>
      </c>
    </row>
    <row r="358" spans="2:9" x14ac:dyDescent="0.2">
      <c r="B358" s="43"/>
      <c r="C358" s="62">
        <v>342</v>
      </c>
      <c r="D358" s="158">
        <f t="shared" si="29"/>
        <v>0</v>
      </c>
      <c r="E358" s="158">
        <f t="shared" si="28"/>
        <v>0</v>
      </c>
      <c r="F358" s="158">
        <f t="shared" si="27"/>
        <v>0</v>
      </c>
      <c r="G358" s="158">
        <f t="shared" si="25"/>
        <v>0</v>
      </c>
      <c r="H358" s="159">
        <f t="shared" si="26"/>
        <v>0</v>
      </c>
    </row>
    <row r="359" spans="2:9" x14ac:dyDescent="0.2">
      <c r="B359" s="43"/>
      <c r="C359" s="62">
        <v>343</v>
      </c>
      <c r="D359" s="158">
        <f t="shared" si="29"/>
        <v>0</v>
      </c>
      <c r="E359" s="158">
        <f t="shared" si="28"/>
        <v>0</v>
      </c>
      <c r="F359" s="158">
        <f t="shared" si="27"/>
        <v>0</v>
      </c>
      <c r="G359" s="158">
        <f t="shared" si="25"/>
        <v>0</v>
      </c>
      <c r="H359" s="159">
        <f t="shared" si="26"/>
        <v>0</v>
      </c>
    </row>
    <row r="360" spans="2:9" x14ac:dyDescent="0.2">
      <c r="B360" s="43"/>
      <c r="C360" s="62">
        <v>344</v>
      </c>
      <c r="D360" s="158">
        <f t="shared" si="29"/>
        <v>0</v>
      </c>
      <c r="E360" s="158">
        <f t="shared" si="28"/>
        <v>0</v>
      </c>
      <c r="F360" s="158">
        <f t="shared" si="27"/>
        <v>0</v>
      </c>
      <c r="G360" s="158">
        <f t="shared" si="25"/>
        <v>0</v>
      </c>
      <c r="H360" s="159">
        <f t="shared" si="26"/>
        <v>0</v>
      </c>
    </row>
    <row r="361" spans="2:9" x14ac:dyDescent="0.2">
      <c r="B361" s="43"/>
      <c r="C361" s="62">
        <v>345</v>
      </c>
      <c r="D361" s="158">
        <f t="shared" si="29"/>
        <v>0</v>
      </c>
      <c r="E361" s="158">
        <f t="shared" si="28"/>
        <v>0</v>
      </c>
      <c r="F361" s="158">
        <f t="shared" si="27"/>
        <v>0</v>
      </c>
      <c r="G361" s="158">
        <f t="shared" si="25"/>
        <v>0</v>
      </c>
      <c r="H361" s="159">
        <f t="shared" si="26"/>
        <v>0</v>
      </c>
    </row>
    <row r="362" spans="2:9" x14ac:dyDescent="0.2">
      <c r="B362" s="43"/>
      <c r="C362" s="62">
        <v>346</v>
      </c>
      <c r="D362" s="158">
        <f t="shared" si="29"/>
        <v>0</v>
      </c>
      <c r="E362" s="158">
        <f t="shared" si="28"/>
        <v>0</v>
      </c>
      <c r="F362" s="158">
        <f t="shared" si="27"/>
        <v>0</v>
      </c>
      <c r="G362" s="158">
        <f t="shared" si="25"/>
        <v>0</v>
      </c>
      <c r="H362" s="159">
        <f t="shared" si="26"/>
        <v>0</v>
      </c>
    </row>
    <row r="363" spans="2:9" x14ac:dyDescent="0.2">
      <c r="B363" s="43"/>
      <c r="C363" s="62">
        <v>347</v>
      </c>
      <c r="D363" s="158">
        <f t="shared" si="29"/>
        <v>0</v>
      </c>
      <c r="E363" s="158">
        <f t="shared" si="28"/>
        <v>0</v>
      </c>
      <c r="F363" s="158">
        <f t="shared" si="27"/>
        <v>0</v>
      </c>
      <c r="G363" s="158">
        <f t="shared" si="25"/>
        <v>0</v>
      </c>
      <c r="H363" s="159">
        <f t="shared" si="26"/>
        <v>0</v>
      </c>
    </row>
    <row r="364" spans="2:9" x14ac:dyDescent="0.2">
      <c r="B364" s="49">
        <v>29</v>
      </c>
      <c r="C364" s="161">
        <v>348</v>
      </c>
      <c r="D364" s="172">
        <f t="shared" si="29"/>
        <v>0</v>
      </c>
      <c r="E364" s="172">
        <f t="shared" si="28"/>
        <v>0</v>
      </c>
      <c r="F364" s="172">
        <f t="shared" si="27"/>
        <v>0</v>
      </c>
      <c r="G364" s="172">
        <f t="shared" si="25"/>
        <v>0</v>
      </c>
      <c r="H364" s="173">
        <f t="shared" si="26"/>
        <v>0</v>
      </c>
      <c r="I364" s="162">
        <f>+SUM(G353:G364)+SUM(F353:F364)</f>
        <v>0</v>
      </c>
    </row>
    <row r="365" spans="2:9" x14ac:dyDescent="0.2">
      <c r="B365" s="43"/>
      <c r="C365" s="62">
        <v>349</v>
      </c>
      <c r="D365" s="158">
        <f t="shared" si="29"/>
        <v>0</v>
      </c>
      <c r="E365" s="158">
        <f t="shared" si="28"/>
        <v>0</v>
      </c>
      <c r="F365" s="158">
        <f t="shared" si="27"/>
        <v>0</v>
      </c>
      <c r="G365" s="158">
        <f t="shared" si="25"/>
        <v>0</v>
      </c>
      <c r="H365" s="159">
        <f t="shared" si="26"/>
        <v>0</v>
      </c>
    </row>
    <row r="366" spans="2:9" x14ac:dyDescent="0.2">
      <c r="B366" s="43"/>
      <c r="C366" s="62">
        <v>350</v>
      </c>
      <c r="D366" s="158">
        <f t="shared" si="29"/>
        <v>0</v>
      </c>
      <c r="E366" s="158">
        <f t="shared" si="28"/>
        <v>0</v>
      </c>
      <c r="F366" s="158">
        <f t="shared" si="27"/>
        <v>0</v>
      </c>
      <c r="G366" s="158">
        <f t="shared" si="25"/>
        <v>0</v>
      </c>
      <c r="H366" s="159">
        <f t="shared" si="26"/>
        <v>0</v>
      </c>
    </row>
    <row r="367" spans="2:9" x14ac:dyDescent="0.2">
      <c r="B367" s="43"/>
      <c r="C367" s="62">
        <v>351</v>
      </c>
      <c r="D367" s="158">
        <f t="shared" si="29"/>
        <v>0</v>
      </c>
      <c r="E367" s="158">
        <f t="shared" si="28"/>
        <v>0</v>
      </c>
      <c r="F367" s="158">
        <f t="shared" si="27"/>
        <v>0</v>
      </c>
      <c r="G367" s="158">
        <f t="shared" si="25"/>
        <v>0</v>
      </c>
      <c r="H367" s="159">
        <f t="shared" si="26"/>
        <v>0</v>
      </c>
    </row>
    <row r="368" spans="2:9" x14ac:dyDescent="0.2">
      <c r="B368" s="43"/>
      <c r="C368" s="62">
        <v>352</v>
      </c>
      <c r="D368" s="158">
        <f t="shared" si="29"/>
        <v>0</v>
      </c>
      <c r="E368" s="158">
        <f t="shared" si="28"/>
        <v>0</v>
      </c>
      <c r="F368" s="158">
        <f t="shared" si="27"/>
        <v>0</v>
      </c>
      <c r="G368" s="158">
        <f t="shared" si="25"/>
        <v>0</v>
      </c>
      <c r="H368" s="159">
        <f t="shared" si="26"/>
        <v>0</v>
      </c>
    </row>
    <row r="369" spans="2:9" x14ac:dyDescent="0.2">
      <c r="B369" s="43"/>
      <c r="C369" s="62">
        <v>353</v>
      </c>
      <c r="D369" s="158">
        <f t="shared" si="29"/>
        <v>0</v>
      </c>
      <c r="E369" s="158">
        <f t="shared" si="28"/>
        <v>0</v>
      </c>
      <c r="F369" s="158">
        <f t="shared" si="27"/>
        <v>0</v>
      </c>
      <c r="G369" s="158">
        <f t="shared" si="25"/>
        <v>0</v>
      </c>
      <c r="H369" s="159">
        <f t="shared" si="26"/>
        <v>0</v>
      </c>
    </row>
    <row r="370" spans="2:9" x14ac:dyDescent="0.2">
      <c r="B370" s="43"/>
      <c r="C370" s="62">
        <v>354</v>
      </c>
      <c r="D370" s="158">
        <f t="shared" si="29"/>
        <v>0</v>
      </c>
      <c r="E370" s="158">
        <f t="shared" si="28"/>
        <v>0</v>
      </c>
      <c r="F370" s="158">
        <f t="shared" si="27"/>
        <v>0</v>
      </c>
      <c r="G370" s="158">
        <f t="shared" si="25"/>
        <v>0</v>
      </c>
      <c r="H370" s="159">
        <f t="shared" si="26"/>
        <v>0</v>
      </c>
    </row>
    <row r="371" spans="2:9" x14ac:dyDescent="0.2">
      <c r="B371" s="43"/>
      <c r="C371" s="62">
        <v>355</v>
      </c>
      <c r="D371" s="158">
        <f t="shared" si="29"/>
        <v>0</v>
      </c>
      <c r="E371" s="158">
        <f t="shared" si="28"/>
        <v>0</v>
      </c>
      <c r="F371" s="158">
        <f t="shared" si="27"/>
        <v>0</v>
      </c>
      <c r="G371" s="158">
        <f t="shared" si="25"/>
        <v>0</v>
      </c>
      <c r="H371" s="159">
        <f t="shared" si="26"/>
        <v>0</v>
      </c>
    </row>
    <row r="372" spans="2:9" x14ac:dyDescent="0.2">
      <c r="B372" s="43"/>
      <c r="C372" s="62">
        <v>356</v>
      </c>
      <c r="D372" s="158">
        <f t="shared" si="29"/>
        <v>0</v>
      </c>
      <c r="E372" s="158">
        <f t="shared" si="28"/>
        <v>0</v>
      </c>
      <c r="F372" s="158">
        <f t="shared" si="27"/>
        <v>0</v>
      </c>
      <c r="G372" s="158">
        <f t="shared" si="25"/>
        <v>0</v>
      </c>
      <c r="H372" s="159">
        <f t="shared" si="26"/>
        <v>0</v>
      </c>
    </row>
    <row r="373" spans="2:9" x14ac:dyDescent="0.2">
      <c r="B373" s="43"/>
      <c r="C373" s="62">
        <v>357</v>
      </c>
      <c r="D373" s="158">
        <f t="shared" si="29"/>
        <v>0</v>
      </c>
      <c r="E373" s="158">
        <f t="shared" si="28"/>
        <v>0</v>
      </c>
      <c r="F373" s="158">
        <f t="shared" si="27"/>
        <v>0</v>
      </c>
      <c r="G373" s="158">
        <f t="shared" si="25"/>
        <v>0</v>
      </c>
      <c r="H373" s="159">
        <f t="shared" si="26"/>
        <v>0</v>
      </c>
    </row>
    <row r="374" spans="2:9" x14ac:dyDescent="0.2">
      <c r="B374" s="43"/>
      <c r="C374" s="62">
        <v>358</v>
      </c>
      <c r="D374" s="158">
        <f t="shared" si="29"/>
        <v>0</v>
      </c>
      <c r="E374" s="158">
        <f t="shared" si="28"/>
        <v>0</v>
      </c>
      <c r="F374" s="158">
        <f t="shared" si="27"/>
        <v>0</v>
      </c>
      <c r="G374" s="158">
        <f t="shared" si="25"/>
        <v>0</v>
      </c>
      <c r="H374" s="159">
        <f t="shared" si="26"/>
        <v>0</v>
      </c>
    </row>
    <row r="375" spans="2:9" x14ac:dyDescent="0.2">
      <c r="B375" s="43"/>
      <c r="C375" s="62">
        <v>359</v>
      </c>
      <c r="D375" s="158">
        <f t="shared" si="29"/>
        <v>0</v>
      </c>
      <c r="E375" s="158">
        <f t="shared" si="28"/>
        <v>0</v>
      </c>
      <c r="F375" s="158">
        <f t="shared" si="27"/>
        <v>0</v>
      </c>
      <c r="G375" s="158">
        <f t="shared" si="25"/>
        <v>0</v>
      </c>
      <c r="H375" s="159">
        <f t="shared" si="26"/>
        <v>0</v>
      </c>
    </row>
    <row r="376" spans="2:9" ht="16" thickBot="1" x14ac:dyDescent="0.25">
      <c r="B376" s="163">
        <v>30</v>
      </c>
      <c r="C376" s="164">
        <v>360</v>
      </c>
      <c r="D376" s="165">
        <f t="shared" si="29"/>
        <v>0</v>
      </c>
      <c r="E376" s="165">
        <f t="shared" si="28"/>
        <v>0</v>
      </c>
      <c r="F376" s="165">
        <f t="shared" si="27"/>
        <v>0</v>
      </c>
      <c r="G376" s="165">
        <f t="shared" si="25"/>
        <v>0</v>
      </c>
      <c r="H376" s="166">
        <f t="shared" si="26"/>
        <v>0</v>
      </c>
      <c r="I376" s="162">
        <f>+SUM(G365:G376)+SUM(F365:F376)</f>
        <v>0</v>
      </c>
    </row>
  </sheetData>
  <sheetProtection sheet="1" objects="1" scenarios="1" formatCells="0" sort="0" autoFilter="0" pivotTables="0"/>
  <mergeCells count="3">
    <mergeCell ref="B4:C4"/>
    <mergeCell ref="D14:F14"/>
    <mergeCell ref="E4:F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D9D82-BD65-4277-8AA6-2FB13AE8FCE4}">
  <sheetPr codeName="Sheet6">
    <tabColor rgb="FFABBDBA"/>
  </sheetPr>
  <dimension ref="B1:E22"/>
  <sheetViews>
    <sheetView showGridLines="0" workbookViewId="0">
      <selection activeCell="N30" sqref="N30"/>
    </sheetView>
  </sheetViews>
  <sheetFormatPr baseColWidth="10" defaultColWidth="8.83203125" defaultRowHeight="15" x14ac:dyDescent="0.2"/>
  <cols>
    <col min="2" max="2" width="42.33203125" bestFit="1" customWidth="1"/>
    <col min="3" max="3" width="11.1640625" bestFit="1" customWidth="1"/>
    <col min="4" max="4" width="15.1640625" customWidth="1"/>
  </cols>
  <sheetData>
    <row r="1" spans="2:4" ht="16" thickBot="1" x14ac:dyDescent="0.25"/>
    <row r="2" spans="2:4" x14ac:dyDescent="0.2">
      <c r="B2" s="297" t="s">
        <v>172</v>
      </c>
      <c r="C2" s="298"/>
      <c r="D2" s="299"/>
    </row>
    <row r="3" spans="2:4" x14ac:dyDescent="0.2">
      <c r="B3" s="7" t="s">
        <v>173</v>
      </c>
      <c r="D3" s="8">
        <f>Costs!F32</f>
        <v>0</v>
      </c>
    </row>
    <row r="4" spans="2:4" x14ac:dyDescent="0.2">
      <c r="B4" s="7" t="s">
        <v>156</v>
      </c>
      <c r="D4" s="8">
        <f>'Deal Summary'!D19</f>
        <v>25000</v>
      </c>
    </row>
    <row r="5" spans="2:4" x14ac:dyDescent="0.2">
      <c r="B5" s="7" t="s">
        <v>174</v>
      </c>
      <c r="D5" s="8">
        <f>Costs!N10+Costs!N14</f>
        <v>0</v>
      </c>
    </row>
    <row r="6" spans="2:4" x14ac:dyDescent="0.2">
      <c r="B6" s="7" t="s">
        <v>175</v>
      </c>
      <c r="D6" s="8">
        <f>'Deal Summary'!D24</f>
        <v>2500</v>
      </c>
    </row>
    <row r="7" spans="2:4" x14ac:dyDescent="0.2">
      <c r="B7" s="7" t="s">
        <v>176</v>
      </c>
      <c r="D7" s="8">
        <f>'Deal Summary'!D21</f>
        <v>80799.88</v>
      </c>
    </row>
    <row r="8" spans="2:4" x14ac:dyDescent="0.2">
      <c r="B8" s="7" t="s">
        <v>177</v>
      </c>
      <c r="D8" s="8">
        <f>'Deal Summary'!D32*0.15</f>
        <v>448224.20699999999</v>
      </c>
    </row>
    <row r="9" spans="2:4" x14ac:dyDescent="0.2">
      <c r="B9" s="7"/>
      <c r="D9" s="8"/>
    </row>
    <row r="10" spans="2:4" x14ac:dyDescent="0.2">
      <c r="B10" s="7"/>
      <c r="D10" s="8"/>
    </row>
    <row r="11" spans="2:4" x14ac:dyDescent="0.2">
      <c r="B11" s="7"/>
      <c r="D11" s="10"/>
    </row>
    <row r="12" spans="2:4" ht="16" thickBot="1" x14ac:dyDescent="0.25">
      <c r="B12" s="300" t="s">
        <v>178</v>
      </c>
      <c r="C12" s="96"/>
      <c r="D12" s="301">
        <f>SUM(D3:D11)</f>
        <v>556524.08700000006</v>
      </c>
    </row>
    <row r="13" spans="2:4" ht="16" thickBot="1" x14ac:dyDescent="0.25"/>
    <row r="14" spans="2:4" x14ac:dyDescent="0.2">
      <c r="B14" s="26" t="s">
        <v>179</v>
      </c>
      <c r="C14" s="302">
        <v>0.25</v>
      </c>
      <c r="D14" s="303">
        <f>IF(D12&gt;250000, MIN(D12*C14, 700000), 0)</f>
        <v>139131.02175000001</v>
      </c>
    </row>
    <row r="15" spans="2:4" x14ac:dyDescent="0.2">
      <c r="B15" s="7" t="s">
        <v>180</v>
      </c>
      <c r="C15" s="13">
        <v>0.2</v>
      </c>
      <c r="D15" s="8">
        <f>+$D$12*C15</f>
        <v>111304.81740000001</v>
      </c>
    </row>
    <row r="16" spans="2:4" x14ac:dyDescent="0.2">
      <c r="B16" s="24" t="s">
        <v>181</v>
      </c>
      <c r="C16" s="304">
        <v>0.1</v>
      </c>
      <c r="D16" s="19">
        <f>+D12*C16</f>
        <v>55652.408700000007</v>
      </c>
    </row>
    <row r="17" spans="2:5" ht="16" thickBot="1" x14ac:dyDescent="0.25">
      <c r="B17" s="16" t="s">
        <v>182</v>
      </c>
      <c r="C17" s="253"/>
      <c r="D17" s="139">
        <f>SUM(D15:D16)</f>
        <v>166957.22610000003</v>
      </c>
    </row>
    <row r="18" spans="2:5" ht="16" thickBot="1" x14ac:dyDescent="0.25"/>
    <row r="19" spans="2:5" x14ac:dyDescent="0.2">
      <c r="B19" s="26" t="s">
        <v>183</v>
      </c>
      <c r="C19" s="302">
        <v>0.68</v>
      </c>
      <c r="D19" s="303">
        <f>IF(E19=TRUE,D14*C19,0)</f>
        <v>0</v>
      </c>
      <c r="E19" s="318" t="b">
        <v>0</v>
      </c>
    </row>
    <row r="20" spans="2:5" x14ac:dyDescent="0.2">
      <c r="B20" s="7" t="s">
        <v>184</v>
      </c>
      <c r="C20" s="13">
        <v>0.68</v>
      </c>
      <c r="D20" s="8">
        <f>IF(E20=TRUE,D15*C20,0)</f>
        <v>0</v>
      </c>
      <c r="E20" s="318" t="b">
        <v>0</v>
      </c>
    </row>
    <row r="21" spans="2:5" x14ac:dyDescent="0.2">
      <c r="B21" s="24" t="s">
        <v>185</v>
      </c>
      <c r="C21" s="304">
        <v>0.68</v>
      </c>
      <c r="D21" s="19">
        <f>IF(E21=TRUE,D16*C21,0)</f>
        <v>0</v>
      </c>
      <c r="E21" s="318" t="b">
        <v>0</v>
      </c>
    </row>
    <row r="22" spans="2:5" ht="16" thickBot="1" x14ac:dyDescent="0.25">
      <c r="B22" s="29" t="s">
        <v>186</v>
      </c>
      <c r="C22" s="123"/>
      <c r="D22" s="30">
        <f>SUM(D19:D21)</f>
        <v>0</v>
      </c>
      <c r="E22" s="305"/>
    </row>
  </sheetData>
  <sheetProtection sheet="1" objects="1" scenarios="1" formatCells="0" sort="0" autoFilter="0" pivotTables="0"/>
  <pageMargins left="0.7" right="0.7" top="0.75" bottom="0.75" header="0.3" footer="0.3"/>
  <pageSetup orientation="portrait" horizontalDpi="24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38B86-E537-486F-9059-50D43FEA0388}">
  <sheetPr codeName="Sheet8">
    <tabColor theme="4" tint="0.79998168889431442"/>
  </sheetPr>
  <dimension ref="C2:D12"/>
  <sheetViews>
    <sheetView showGridLines="0" workbookViewId="0">
      <selection activeCell="G22" sqref="G22"/>
    </sheetView>
  </sheetViews>
  <sheetFormatPr baseColWidth="10" defaultColWidth="8.83203125" defaultRowHeight="15" x14ac:dyDescent="0.2"/>
  <cols>
    <col min="3" max="3" width="18.5" bestFit="1" customWidth="1"/>
    <col min="4" max="4" width="14" customWidth="1"/>
  </cols>
  <sheetData>
    <row r="2" spans="3:4" ht="16" thickBot="1" x14ac:dyDescent="0.25"/>
    <row r="3" spans="3:4" x14ac:dyDescent="0.2">
      <c r="C3" s="333" t="s">
        <v>206</v>
      </c>
      <c r="D3" s="334"/>
    </row>
    <row r="4" spans="3:4" x14ac:dyDescent="0.2">
      <c r="C4" s="7" t="s">
        <v>207</v>
      </c>
      <c r="D4" s="320"/>
    </row>
    <row r="5" spans="3:4" x14ac:dyDescent="0.2">
      <c r="C5" s="7" t="s">
        <v>208</v>
      </c>
      <c r="D5" s="320"/>
    </row>
    <row r="6" spans="3:4" x14ac:dyDescent="0.2">
      <c r="C6" s="7" t="s">
        <v>209</v>
      </c>
      <c r="D6" s="320"/>
    </row>
    <row r="7" spans="3:4" x14ac:dyDescent="0.2">
      <c r="C7" s="7" t="s">
        <v>210</v>
      </c>
      <c r="D7" s="320"/>
    </row>
    <row r="8" spans="3:4" x14ac:dyDescent="0.2">
      <c r="C8" s="7" t="s">
        <v>211</v>
      </c>
      <c r="D8" s="320"/>
    </row>
    <row r="9" spans="3:4" x14ac:dyDescent="0.2">
      <c r="C9" s="7" t="s">
        <v>212</v>
      </c>
      <c r="D9" s="320"/>
    </row>
    <row r="10" spans="3:4" x14ac:dyDescent="0.2">
      <c r="C10" s="7" t="s">
        <v>213</v>
      </c>
      <c r="D10" s="320"/>
    </row>
    <row r="11" spans="3:4" x14ac:dyDescent="0.2">
      <c r="C11" s="7" t="s">
        <v>79</v>
      </c>
      <c r="D11" s="320"/>
    </row>
    <row r="12" spans="3:4" x14ac:dyDescent="0.2">
      <c r="C12" t="s">
        <v>214</v>
      </c>
      <c r="D12" s="321"/>
    </row>
  </sheetData>
  <sheetProtection sheet="1" objects="1" scenarios="1" formatCells="0" sort="0" autoFilter="0" pivotTables="0"/>
  <mergeCells count="1">
    <mergeCell ref="C3:D3"/>
  </mergeCells>
  <phoneticPr fontId="2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F1A09-4880-40EA-A7F2-63D04FE20182}">
  <sheetPr codeName="Sheet7">
    <tabColor theme="0" tint="-0.14999847407452621"/>
  </sheetPr>
  <dimension ref="C1:T376"/>
  <sheetViews>
    <sheetView showGridLines="0" topLeftCell="A38" zoomScale="80" zoomScaleNormal="80" workbookViewId="0">
      <selection activeCell="K33" sqref="K33"/>
    </sheetView>
  </sheetViews>
  <sheetFormatPr baseColWidth="10" defaultColWidth="8.83203125" defaultRowHeight="15" x14ac:dyDescent="0.2"/>
  <cols>
    <col min="3" max="3" width="30.1640625" bestFit="1" customWidth="1"/>
    <col min="4" max="5" width="19.1640625" bestFit="1" customWidth="1"/>
    <col min="6" max="7" width="17.5" bestFit="1" customWidth="1"/>
    <col min="8" max="8" width="17.1640625" bestFit="1" customWidth="1"/>
    <col min="9" max="9" width="21.6640625" customWidth="1"/>
    <col min="10" max="10" width="16.33203125" customWidth="1"/>
    <col min="11" max="11" width="14.33203125" bestFit="1" customWidth="1"/>
    <col min="12" max="12" width="12.5" bestFit="1" customWidth="1"/>
    <col min="13" max="13" width="12" bestFit="1" customWidth="1"/>
    <col min="14" max="14" width="12.33203125" bestFit="1" customWidth="1"/>
    <col min="15" max="15" width="10.1640625" bestFit="1" customWidth="1"/>
    <col min="16" max="16" width="14.33203125" bestFit="1" customWidth="1"/>
    <col min="18" max="18" width="10.1640625" bestFit="1" customWidth="1"/>
    <col min="20" max="20" width="11.5" bestFit="1" customWidth="1"/>
  </cols>
  <sheetData>
    <row r="1" spans="3:11" x14ac:dyDescent="0.2">
      <c r="C1" s="56"/>
    </row>
    <row r="2" spans="3:11" x14ac:dyDescent="0.2">
      <c r="C2" s="56"/>
    </row>
    <row r="3" spans="3:11" ht="16" thickBot="1" x14ac:dyDescent="0.25"/>
    <row r="4" spans="3:11" x14ac:dyDescent="0.2">
      <c r="C4" s="370" t="s">
        <v>77</v>
      </c>
      <c r="D4" s="371"/>
      <c r="F4" s="140" t="s">
        <v>1</v>
      </c>
      <c r="G4" s="141"/>
    </row>
    <row r="5" spans="3:11" x14ac:dyDescent="0.2">
      <c r="C5" s="142" t="s">
        <v>78</v>
      </c>
      <c r="D5" s="143">
        <f>+Financing!H76</f>
        <v>2251511.4685405609</v>
      </c>
      <c r="F5" s="142" t="s">
        <v>79</v>
      </c>
      <c r="G5" s="144">
        <f>+'Deal Summary'!D35</f>
        <v>3107687.8352000001</v>
      </c>
      <c r="J5" s="167"/>
    </row>
    <row r="6" spans="3:11" x14ac:dyDescent="0.2">
      <c r="C6" s="142" t="s">
        <v>10</v>
      </c>
      <c r="D6" s="145">
        <v>0.06</v>
      </c>
      <c r="F6" s="142" t="s">
        <v>6</v>
      </c>
      <c r="G6" s="145">
        <f>+'Deal Summary'!G34</f>
        <v>0.8</v>
      </c>
      <c r="J6" s="167"/>
    </row>
    <row r="7" spans="3:11" x14ac:dyDescent="0.2">
      <c r="C7" s="142" t="s">
        <v>80</v>
      </c>
      <c r="D7" s="146">
        <f>+'Deal Summary'!G37</f>
        <v>25</v>
      </c>
      <c r="F7" s="142" t="s">
        <v>81</v>
      </c>
      <c r="G7" s="144">
        <f>G5*(100%-G6)</f>
        <v>621537.56703999988</v>
      </c>
      <c r="J7" s="167"/>
      <c r="K7" s="14"/>
    </row>
    <row r="8" spans="3:11" ht="16" thickBot="1" x14ac:dyDescent="0.25">
      <c r="C8" s="142" t="s">
        <v>82</v>
      </c>
      <c r="D8" s="147">
        <f>2*12</f>
        <v>24</v>
      </c>
      <c r="F8" s="148" t="s">
        <v>83</v>
      </c>
      <c r="G8" s="149">
        <f>G5-G7-I8</f>
        <v>2486150.2681600004</v>
      </c>
      <c r="I8" s="2"/>
      <c r="J8" s="167"/>
    </row>
    <row r="9" spans="3:11" x14ac:dyDescent="0.2">
      <c r="C9" s="142" t="s">
        <v>84</v>
      </c>
      <c r="D9" s="150">
        <f>(D7*12)</f>
        <v>300</v>
      </c>
      <c r="J9" s="21"/>
    </row>
    <row r="10" spans="3:11" x14ac:dyDescent="0.2">
      <c r="C10" s="142" t="s">
        <v>85</v>
      </c>
      <c r="D10" s="150">
        <f>D8+D9</f>
        <v>324</v>
      </c>
      <c r="J10" s="168"/>
    </row>
    <row r="11" spans="3:11" x14ac:dyDescent="0.2">
      <c r="C11" s="142" t="s">
        <v>86</v>
      </c>
      <c r="D11" s="144">
        <f>PMT(D6/12,$D$7*12,$D$5,0,0)*-1</f>
        <v>14506.51994641379</v>
      </c>
    </row>
    <row r="12" spans="3:11" ht="16" thickBot="1" x14ac:dyDescent="0.25">
      <c r="C12" s="148" t="s">
        <v>87</v>
      </c>
      <c r="D12" s="149">
        <f>D11*12</f>
        <v>174078.23935696547</v>
      </c>
    </row>
    <row r="14" spans="3:11" ht="16" thickBot="1" x14ac:dyDescent="0.25">
      <c r="C14" s="110"/>
      <c r="E14" s="369" t="s">
        <v>88</v>
      </c>
      <c r="F14" s="369"/>
      <c r="G14" s="369"/>
    </row>
    <row r="15" spans="3:11" ht="16" thickBot="1" x14ac:dyDescent="0.25">
      <c r="C15" s="151" t="s">
        <v>89</v>
      </c>
      <c r="D15" s="152" t="s">
        <v>90</v>
      </c>
      <c r="E15" s="152" t="s">
        <v>91</v>
      </c>
      <c r="F15" s="152" t="s">
        <v>92</v>
      </c>
      <c r="G15" s="152" t="s">
        <v>93</v>
      </c>
      <c r="H15" s="152" t="s">
        <v>7</v>
      </c>
      <c r="I15" s="153" t="s">
        <v>94</v>
      </c>
    </row>
    <row r="16" spans="3:11" x14ac:dyDescent="0.2">
      <c r="C16" s="154">
        <v>0</v>
      </c>
      <c r="D16" s="155">
        <v>0</v>
      </c>
      <c r="E16" s="156"/>
      <c r="F16" s="156"/>
      <c r="G16" s="156"/>
      <c r="H16" s="156"/>
      <c r="I16" s="157">
        <f>D5</f>
        <v>2251511.4685405609</v>
      </c>
      <c r="J16" s="2"/>
      <c r="K16" s="2"/>
    </row>
    <row r="17" spans="3:20" x14ac:dyDescent="0.2">
      <c r="C17" s="43"/>
      <c r="D17" s="62">
        <v>1</v>
      </c>
      <c r="E17" s="158">
        <f>I16</f>
        <v>2251511.4685405609</v>
      </c>
      <c r="F17" s="158">
        <f>IF(D17&gt;$D$10,0,IF(D17&lt;=$D$8,G17,-PMT($D$6/12,$D$9,$E$17,0,0)))</f>
        <v>11257.557342702805</v>
      </c>
      <c r="G17" s="158">
        <f>IF(D17&gt;$D$10,0,($D$6/12)*E17)</f>
        <v>11257.557342702805</v>
      </c>
      <c r="H17" s="158">
        <f t="shared" ref="H17:H80" si="0">F17-G17</f>
        <v>0</v>
      </c>
      <c r="I17" s="159">
        <f t="shared" ref="I17:I80" si="1">E17-H17</f>
        <v>2251511.4685405609</v>
      </c>
      <c r="J17" s="21"/>
      <c r="K17" s="21"/>
      <c r="L17" s="2"/>
      <c r="M17" s="160"/>
      <c r="N17" s="21"/>
      <c r="O17" s="160"/>
      <c r="P17" s="2"/>
      <c r="R17" s="160"/>
    </row>
    <row r="18" spans="3:20" x14ac:dyDescent="0.2">
      <c r="C18" s="43"/>
      <c r="D18" s="62">
        <v>2</v>
      </c>
      <c r="E18" s="158">
        <f>I17</f>
        <v>2251511.4685405609</v>
      </c>
      <c r="F18" s="158">
        <f>IF(D18&gt;$D$10,0,IF(D18&lt;=$D$8,G18,-PMT($D$6/12,$D$9,$D$5,0,0)))</f>
        <v>11257.557342702805</v>
      </c>
      <c r="G18" s="158">
        <f t="shared" ref="G18:G81" si="2">IF(D18&gt;$D$10,0,($D$6/12)*I17)</f>
        <v>11257.557342702805</v>
      </c>
      <c r="H18" s="158">
        <f t="shared" si="0"/>
        <v>0</v>
      </c>
      <c r="I18" s="159">
        <f t="shared" si="1"/>
        <v>2251511.4685405609</v>
      </c>
      <c r="J18" s="21"/>
      <c r="K18" s="21"/>
      <c r="L18" s="2"/>
      <c r="M18" s="160"/>
      <c r="N18" s="21"/>
      <c r="O18" s="160"/>
      <c r="P18" s="2"/>
      <c r="R18" s="160"/>
    </row>
    <row r="19" spans="3:20" x14ac:dyDescent="0.2">
      <c r="C19" s="43"/>
      <c r="D19" s="62">
        <v>3</v>
      </c>
      <c r="E19" s="158">
        <f>I18</f>
        <v>2251511.4685405609</v>
      </c>
      <c r="F19" s="158">
        <f>IF(D19&gt;$D$10,0,IF(D19&lt;=$D$8,G19,-PMT($D$6/12,$D$9,$D$5,0,0)))</f>
        <v>11257.557342702805</v>
      </c>
      <c r="G19" s="158">
        <f t="shared" si="2"/>
        <v>11257.557342702805</v>
      </c>
      <c r="H19" s="158">
        <f t="shared" si="0"/>
        <v>0</v>
      </c>
      <c r="I19" s="159">
        <f t="shared" si="1"/>
        <v>2251511.4685405609</v>
      </c>
      <c r="L19" s="2"/>
      <c r="M19" s="160"/>
      <c r="N19" s="21"/>
      <c r="O19" s="160"/>
      <c r="P19" s="2"/>
      <c r="R19" s="160"/>
    </row>
    <row r="20" spans="3:20" x14ac:dyDescent="0.2">
      <c r="C20" s="43"/>
      <c r="D20" s="62">
        <v>4</v>
      </c>
      <c r="E20" s="158">
        <f>I19</f>
        <v>2251511.4685405609</v>
      </c>
      <c r="F20" s="158">
        <f>IF(D20&gt;$D$10,0,IF(D20&lt;=$D$8,G20,-PMT($D$6/12,$D$9,$E$17,0,0)))</f>
        <v>11257.557342702805</v>
      </c>
      <c r="G20" s="158">
        <f t="shared" si="2"/>
        <v>11257.557342702805</v>
      </c>
      <c r="H20" s="158">
        <f t="shared" si="0"/>
        <v>0</v>
      </c>
      <c r="I20" s="159">
        <f t="shared" si="1"/>
        <v>2251511.4685405609</v>
      </c>
      <c r="L20" s="2"/>
      <c r="M20" s="160"/>
      <c r="N20" s="21"/>
      <c r="O20" s="160"/>
      <c r="P20" s="2"/>
      <c r="R20" s="160"/>
      <c r="T20" s="21"/>
    </row>
    <row r="21" spans="3:20" x14ac:dyDescent="0.2">
      <c r="C21" s="43"/>
      <c r="D21" s="62">
        <v>5</v>
      </c>
      <c r="E21" s="158">
        <f>I20</f>
        <v>2251511.4685405609</v>
      </c>
      <c r="F21" s="158">
        <f t="shared" ref="F21:F84" si="3">IF(D21&gt;$D$10,0,IF(D21&lt;=$D$8,G21,-PMT($D$6/12,$D$9,$D$5,0,0)))</f>
        <v>11257.557342702805</v>
      </c>
      <c r="G21" s="158">
        <f t="shared" si="2"/>
        <v>11257.557342702805</v>
      </c>
      <c r="H21" s="158">
        <f t="shared" si="0"/>
        <v>0</v>
      </c>
      <c r="I21" s="159">
        <f t="shared" si="1"/>
        <v>2251511.4685405609</v>
      </c>
      <c r="L21" s="2"/>
      <c r="M21" s="160"/>
      <c r="N21" s="21"/>
      <c r="O21" s="160"/>
      <c r="P21" s="2"/>
      <c r="R21" s="160"/>
    </row>
    <row r="22" spans="3:20" x14ac:dyDescent="0.2">
      <c r="C22" s="43"/>
      <c r="D22" s="62">
        <v>6</v>
      </c>
      <c r="E22" s="158">
        <f t="shared" ref="E22:E85" si="4">IF(D22&gt;$D$10,0,I21)</f>
        <v>2251511.4685405609</v>
      </c>
      <c r="F22" s="158">
        <f t="shared" si="3"/>
        <v>11257.557342702805</v>
      </c>
      <c r="G22" s="158">
        <f t="shared" si="2"/>
        <v>11257.557342702805</v>
      </c>
      <c r="H22" s="158">
        <f t="shared" si="0"/>
        <v>0</v>
      </c>
      <c r="I22" s="159">
        <f t="shared" si="1"/>
        <v>2251511.4685405609</v>
      </c>
      <c r="L22" s="2"/>
      <c r="M22" s="160"/>
      <c r="N22" s="21"/>
      <c r="O22" s="160"/>
      <c r="P22" s="2"/>
      <c r="R22" s="160"/>
    </row>
    <row r="23" spans="3:20" x14ac:dyDescent="0.2">
      <c r="C23" s="43"/>
      <c r="D23" s="62">
        <v>7</v>
      </c>
      <c r="E23" s="158">
        <f t="shared" si="4"/>
        <v>2251511.4685405609</v>
      </c>
      <c r="F23" s="158">
        <f t="shared" si="3"/>
        <v>11257.557342702805</v>
      </c>
      <c r="G23" s="158">
        <f t="shared" si="2"/>
        <v>11257.557342702805</v>
      </c>
      <c r="H23" s="158">
        <f t="shared" si="0"/>
        <v>0</v>
      </c>
      <c r="I23" s="159">
        <f t="shared" si="1"/>
        <v>2251511.4685405609</v>
      </c>
      <c r="L23" s="2"/>
      <c r="M23" s="160"/>
      <c r="N23" s="21"/>
      <c r="O23" s="160"/>
      <c r="P23" s="2"/>
      <c r="R23" s="160"/>
    </row>
    <row r="24" spans="3:20" x14ac:dyDescent="0.2">
      <c r="C24" s="43"/>
      <c r="D24" s="62">
        <v>8</v>
      </c>
      <c r="E24" s="158">
        <f t="shared" si="4"/>
        <v>2251511.4685405609</v>
      </c>
      <c r="F24" s="158">
        <f t="shared" si="3"/>
        <v>11257.557342702805</v>
      </c>
      <c r="G24" s="158">
        <f t="shared" si="2"/>
        <v>11257.557342702805</v>
      </c>
      <c r="H24" s="158">
        <f t="shared" si="0"/>
        <v>0</v>
      </c>
      <c r="I24" s="159">
        <f t="shared" si="1"/>
        <v>2251511.4685405609</v>
      </c>
      <c r="L24" s="2"/>
      <c r="M24" s="160"/>
      <c r="N24" s="21"/>
      <c r="O24" s="160"/>
      <c r="P24" s="2"/>
      <c r="R24" s="160"/>
    </row>
    <row r="25" spans="3:20" x14ac:dyDescent="0.2">
      <c r="C25" s="43"/>
      <c r="D25" s="62">
        <v>9</v>
      </c>
      <c r="E25" s="158">
        <f t="shared" si="4"/>
        <v>2251511.4685405609</v>
      </c>
      <c r="F25" s="158">
        <f t="shared" si="3"/>
        <v>11257.557342702805</v>
      </c>
      <c r="G25" s="158">
        <f t="shared" si="2"/>
        <v>11257.557342702805</v>
      </c>
      <c r="H25" s="158">
        <f t="shared" si="0"/>
        <v>0</v>
      </c>
      <c r="I25" s="159">
        <f t="shared" si="1"/>
        <v>2251511.4685405609</v>
      </c>
      <c r="L25" s="2"/>
      <c r="M25" s="160"/>
      <c r="N25" s="21"/>
      <c r="O25" s="160"/>
      <c r="P25" s="2"/>
      <c r="R25" s="160"/>
    </row>
    <row r="26" spans="3:20" x14ac:dyDescent="0.2">
      <c r="C26" s="43"/>
      <c r="D26" s="62">
        <v>10</v>
      </c>
      <c r="E26" s="158">
        <f t="shared" si="4"/>
        <v>2251511.4685405609</v>
      </c>
      <c r="F26" s="158">
        <f t="shared" si="3"/>
        <v>11257.557342702805</v>
      </c>
      <c r="G26" s="158">
        <f t="shared" si="2"/>
        <v>11257.557342702805</v>
      </c>
      <c r="H26" s="158">
        <f t="shared" si="0"/>
        <v>0</v>
      </c>
      <c r="I26" s="159">
        <f t="shared" si="1"/>
        <v>2251511.4685405609</v>
      </c>
      <c r="L26" s="2"/>
      <c r="M26" s="160"/>
      <c r="N26" s="21"/>
      <c r="O26" s="160"/>
      <c r="P26" s="2"/>
      <c r="R26" s="160"/>
    </row>
    <row r="27" spans="3:20" x14ac:dyDescent="0.2">
      <c r="C27" s="43"/>
      <c r="D27" s="62">
        <v>11</v>
      </c>
      <c r="E27" s="158">
        <f t="shared" si="4"/>
        <v>2251511.4685405609</v>
      </c>
      <c r="F27" s="158">
        <f t="shared" si="3"/>
        <v>11257.557342702805</v>
      </c>
      <c r="G27" s="158">
        <f t="shared" si="2"/>
        <v>11257.557342702805</v>
      </c>
      <c r="H27" s="158">
        <f t="shared" si="0"/>
        <v>0</v>
      </c>
      <c r="I27" s="159">
        <f t="shared" si="1"/>
        <v>2251511.4685405609</v>
      </c>
      <c r="L27" s="2"/>
      <c r="M27" s="160"/>
      <c r="N27" s="21"/>
      <c r="O27" s="160"/>
      <c r="P27" s="2"/>
      <c r="R27" s="160"/>
    </row>
    <row r="28" spans="3:20" x14ac:dyDescent="0.2">
      <c r="C28" s="49">
        <v>1</v>
      </c>
      <c r="D28" s="161">
        <v>12</v>
      </c>
      <c r="E28" s="158">
        <f t="shared" si="4"/>
        <v>2251511.4685405609</v>
      </c>
      <c r="F28" s="158">
        <f t="shared" si="3"/>
        <v>11257.557342702805</v>
      </c>
      <c r="G28" s="158">
        <f t="shared" si="2"/>
        <v>11257.557342702805</v>
      </c>
      <c r="H28" s="158">
        <f t="shared" si="0"/>
        <v>0</v>
      </c>
      <c r="I28" s="159">
        <f t="shared" si="1"/>
        <v>2251511.4685405609</v>
      </c>
      <c r="J28" s="162">
        <f>+SUM(H17:H28)+SUM(G17:G28)</f>
        <v>135090.68811243362</v>
      </c>
      <c r="L28" s="2"/>
      <c r="M28" s="160"/>
      <c r="N28" s="21"/>
      <c r="O28" s="160"/>
      <c r="P28" s="2"/>
      <c r="R28" s="160"/>
    </row>
    <row r="29" spans="3:20" x14ac:dyDescent="0.2">
      <c r="C29" s="43"/>
      <c r="D29" s="62">
        <v>13</v>
      </c>
      <c r="E29" s="158">
        <f t="shared" si="4"/>
        <v>2251511.4685405609</v>
      </c>
      <c r="F29" s="158">
        <f t="shared" si="3"/>
        <v>11257.557342702805</v>
      </c>
      <c r="G29" s="158">
        <f t="shared" si="2"/>
        <v>11257.557342702805</v>
      </c>
      <c r="H29" s="158">
        <f t="shared" si="0"/>
        <v>0</v>
      </c>
      <c r="I29" s="159">
        <f t="shared" si="1"/>
        <v>2251511.4685405609</v>
      </c>
      <c r="L29" s="2"/>
      <c r="M29" s="160"/>
      <c r="N29" s="21"/>
      <c r="O29" s="160"/>
      <c r="P29" s="2"/>
      <c r="R29" s="160"/>
    </row>
    <row r="30" spans="3:20" x14ac:dyDescent="0.2">
      <c r="C30" s="43"/>
      <c r="D30" s="62">
        <v>14</v>
      </c>
      <c r="E30" s="158">
        <f t="shared" si="4"/>
        <v>2251511.4685405609</v>
      </c>
      <c r="F30" s="158">
        <f t="shared" si="3"/>
        <v>11257.557342702805</v>
      </c>
      <c r="G30" s="158">
        <f t="shared" si="2"/>
        <v>11257.557342702805</v>
      </c>
      <c r="H30" s="158">
        <f t="shared" si="0"/>
        <v>0</v>
      </c>
      <c r="I30" s="159">
        <f t="shared" si="1"/>
        <v>2251511.4685405609</v>
      </c>
      <c r="L30" s="2"/>
      <c r="M30" s="160"/>
      <c r="N30" s="21"/>
      <c r="O30" s="160"/>
      <c r="P30" s="2"/>
      <c r="R30" s="160"/>
    </row>
    <row r="31" spans="3:20" x14ac:dyDescent="0.2">
      <c r="C31" s="43"/>
      <c r="D31" s="62">
        <v>15</v>
      </c>
      <c r="E31" s="158">
        <f t="shared" si="4"/>
        <v>2251511.4685405609</v>
      </c>
      <c r="F31" s="158">
        <f t="shared" si="3"/>
        <v>11257.557342702805</v>
      </c>
      <c r="G31" s="158">
        <f t="shared" si="2"/>
        <v>11257.557342702805</v>
      </c>
      <c r="H31" s="158">
        <f t="shared" si="0"/>
        <v>0</v>
      </c>
      <c r="I31" s="159">
        <f t="shared" si="1"/>
        <v>2251511.4685405609</v>
      </c>
      <c r="L31" s="2"/>
      <c r="M31" s="160"/>
      <c r="N31" s="21"/>
      <c r="O31" s="160"/>
      <c r="P31" s="2"/>
      <c r="R31" s="160"/>
    </row>
    <row r="32" spans="3:20" x14ac:dyDescent="0.2">
      <c r="C32" s="43"/>
      <c r="D32" s="62">
        <v>16</v>
      </c>
      <c r="E32" s="158">
        <f t="shared" si="4"/>
        <v>2251511.4685405609</v>
      </c>
      <c r="F32" s="158">
        <f t="shared" si="3"/>
        <v>11257.557342702805</v>
      </c>
      <c r="G32" s="158">
        <f t="shared" si="2"/>
        <v>11257.557342702805</v>
      </c>
      <c r="H32" s="158">
        <f t="shared" si="0"/>
        <v>0</v>
      </c>
      <c r="I32" s="159">
        <f t="shared" si="1"/>
        <v>2251511.4685405609</v>
      </c>
      <c r="L32" s="2"/>
      <c r="M32" s="160"/>
      <c r="N32" s="21"/>
      <c r="O32" s="160"/>
      <c r="P32" s="2"/>
      <c r="R32" s="160"/>
    </row>
    <row r="33" spans="3:18" x14ac:dyDescent="0.2">
      <c r="C33" s="43"/>
      <c r="D33" s="62">
        <v>17</v>
      </c>
      <c r="E33" s="158">
        <f t="shared" si="4"/>
        <v>2251511.4685405609</v>
      </c>
      <c r="F33" s="158">
        <f t="shared" si="3"/>
        <v>11257.557342702805</v>
      </c>
      <c r="G33" s="158">
        <f t="shared" si="2"/>
        <v>11257.557342702805</v>
      </c>
      <c r="H33" s="158">
        <f t="shared" si="0"/>
        <v>0</v>
      </c>
      <c r="I33" s="159">
        <f t="shared" si="1"/>
        <v>2251511.4685405609</v>
      </c>
      <c r="L33" s="2"/>
      <c r="M33" s="160"/>
      <c r="N33" s="21"/>
      <c r="O33" s="160"/>
      <c r="P33" s="2"/>
      <c r="R33" s="160"/>
    </row>
    <row r="34" spans="3:18" x14ac:dyDescent="0.2">
      <c r="C34" s="43"/>
      <c r="D34" s="62">
        <v>18</v>
      </c>
      <c r="E34" s="158">
        <f t="shared" si="4"/>
        <v>2251511.4685405609</v>
      </c>
      <c r="F34" s="158">
        <f t="shared" si="3"/>
        <v>11257.557342702805</v>
      </c>
      <c r="G34" s="158">
        <f t="shared" si="2"/>
        <v>11257.557342702805</v>
      </c>
      <c r="H34" s="158">
        <f t="shared" si="0"/>
        <v>0</v>
      </c>
      <c r="I34" s="159">
        <f t="shared" si="1"/>
        <v>2251511.4685405609</v>
      </c>
      <c r="L34" s="2"/>
      <c r="M34" s="160"/>
      <c r="N34" s="21"/>
      <c r="O34" s="160"/>
      <c r="P34" s="2"/>
      <c r="R34" s="160"/>
    </row>
    <row r="35" spans="3:18" x14ac:dyDescent="0.2">
      <c r="C35" s="43"/>
      <c r="D35" s="62">
        <v>19</v>
      </c>
      <c r="E35" s="158">
        <f t="shared" si="4"/>
        <v>2251511.4685405609</v>
      </c>
      <c r="F35" s="158">
        <f t="shared" si="3"/>
        <v>11257.557342702805</v>
      </c>
      <c r="G35" s="158">
        <f t="shared" si="2"/>
        <v>11257.557342702805</v>
      </c>
      <c r="H35" s="158">
        <f t="shared" si="0"/>
        <v>0</v>
      </c>
      <c r="I35" s="159">
        <f t="shared" si="1"/>
        <v>2251511.4685405609</v>
      </c>
      <c r="L35" s="2"/>
      <c r="M35" s="160"/>
      <c r="N35" s="21"/>
      <c r="O35" s="160"/>
      <c r="P35" s="2"/>
      <c r="R35" s="160"/>
    </row>
    <row r="36" spans="3:18" x14ac:dyDescent="0.2">
      <c r="C36" s="43"/>
      <c r="D36" s="62">
        <v>20</v>
      </c>
      <c r="E36" s="158">
        <f t="shared" si="4"/>
        <v>2251511.4685405609</v>
      </c>
      <c r="F36" s="158">
        <f t="shared" si="3"/>
        <v>11257.557342702805</v>
      </c>
      <c r="G36" s="158">
        <f t="shared" si="2"/>
        <v>11257.557342702805</v>
      </c>
      <c r="H36" s="158">
        <f t="shared" si="0"/>
        <v>0</v>
      </c>
      <c r="I36" s="159">
        <f t="shared" si="1"/>
        <v>2251511.4685405609</v>
      </c>
      <c r="L36" s="2"/>
      <c r="M36" s="160"/>
      <c r="N36" s="21"/>
      <c r="O36" s="160"/>
      <c r="P36" s="2"/>
      <c r="R36" s="160"/>
    </row>
    <row r="37" spans="3:18" x14ac:dyDescent="0.2">
      <c r="C37" s="43"/>
      <c r="D37" s="62">
        <v>21</v>
      </c>
      <c r="E37" s="158">
        <f t="shared" si="4"/>
        <v>2251511.4685405609</v>
      </c>
      <c r="F37" s="158">
        <f t="shared" si="3"/>
        <v>11257.557342702805</v>
      </c>
      <c r="G37" s="158">
        <f t="shared" si="2"/>
        <v>11257.557342702805</v>
      </c>
      <c r="H37" s="158">
        <f t="shared" si="0"/>
        <v>0</v>
      </c>
      <c r="I37" s="159">
        <f t="shared" si="1"/>
        <v>2251511.4685405609</v>
      </c>
      <c r="L37" s="2"/>
      <c r="M37" s="160"/>
      <c r="N37" s="21"/>
      <c r="O37" s="160"/>
      <c r="P37" s="2"/>
      <c r="R37" s="160"/>
    </row>
    <row r="38" spans="3:18" x14ac:dyDescent="0.2">
      <c r="C38" s="43"/>
      <c r="D38" s="62">
        <v>22</v>
      </c>
      <c r="E38" s="158">
        <f t="shared" si="4"/>
        <v>2251511.4685405609</v>
      </c>
      <c r="F38" s="158">
        <f t="shared" si="3"/>
        <v>11257.557342702805</v>
      </c>
      <c r="G38" s="158">
        <f t="shared" si="2"/>
        <v>11257.557342702805</v>
      </c>
      <c r="H38" s="158">
        <f t="shared" si="0"/>
        <v>0</v>
      </c>
      <c r="I38" s="159">
        <f t="shared" si="1"/>
        <v>2251511.4685405609</v>
      </c>
      <c r="L38" s="2"/>
      <c r="M38" s="160"/>
      <c r="N38" s="21"/>
      <c r="O38" s="160"/>
      <c r="P38" s="2"/>
      <c r="R38" s="160"/>
    </row>
    <row r="39" spans="3:18" x14ac:dyDescent="0.2">
      <c r="C39" s="43"/>
      <c r="D39" s="62">
        <v>23</v>
      </c>
      <c r="E39" s="158">
        <f t="shared" si="4"/>
        <v>2251511.4685405609</v>
      </c>
      <c r="F39" s="158">
        <f t="shared" si="3"/>
        <v>11257.557342702805</v>
      </c>
      <c r="G39" s="158">
        <f t="shared" si="2"/>
        <v>11257.557342702805</v>
      </c>
      <c r="H39" s="158">
        <f t="shared" si="0"/>
        <v>0</v>
      </c>
      <c r="I39" s="159">
        <f t="shared" si="1"/>
        <v>2251511.4685405609</v>
      </c>
      <c r="L39" s="2"/>
      <c r="M39" s="160"/>
      <c r="N39" s="21"/>
      <c r="O39" s="160"/>
      <c r="P39" s="2"/>
      <c r="R39" s="160"/>
    </row>
    <row r="40" spans="3:18" x14ac:dyDescent="0.2">
      <c r="C40" s="49">
        <v>2</v>
      </c>
      <c r="D40" s="161">
        <v>24</v>
      </c>
      <c r="E40" s="158">
        <f t="shared" si="4"/>
        <v>2251511.4685405609</v>
      </c>
      <c r="F40" s="158">
        <f t="shared" si="3"/>
        <v>11257.557342702805</v>
      </c>
      <c r="G40" s="158">
        <f t="shared" si="2"/>
        <v>11257.557342702805</v>
      </c>
      <c r="H40" s="158">
        <f t="shared" si="0"/>
        <v>0</v>
      </c>
      <c r="I40" s="159">
        <f t="shared" si="1"/>
        <v>2251511.4685405609</v>
      </c>
      <c r="J40" s="162">
        <f>+SUM(H29:H40)+SUM(G29:G40)</f>
        <v>135090.68811243362</v>
      </c>
      <c r="L40" s="2"/>
      <c r="M40" s="160"/>
      <c r="N40" s="21"/>
      <c r="O40" s="160"/>
      <c r="P40" s="2"/>
      <c r="R40" s="160"/>
    </row>
    <row r="41" spans="3:18" x14ac:dyDescent="0.2">
      <c r="C41" s="43"/>
      <c r="D41" s="62">
        <v>25</v>
      </c>
      <c r="E41" s="158">
        <f t="shared" si="4"/>
        <v>2251511.4685405609</v>
      </c>
      <c r="F41" s="158">
        <f t="shared" si="3"/>
        <v>14506.51994641379</v>
      </c>
      <c r="G41" s="158">
        <f t="shared" si="2"/>
        <v>11257.557342702805</v>
      </c>
      <c r="H41" s="158">
        <f t="shared" si="0"/>
        <v>3248.9626037109847</v>
      </c>
      <c r="I41" s="159">
        <f t="shared" si="1"/>
        <v>2248262.5059368499</v>
      </c>
      <c r="L41" s="2"/>
      <c r="M41" s="160"/>
      <c r="N41" s="21"/>
      <c r="O41" s="160"/>
      <c r="P41" s="2"/>
      <c r="R41" s="160"/>
    </row>
    <row r="42" spans="3:18" x14ac:dyDescent="0.2">
      <c r="C42" s="43"/>
      <c r="D42" s="62">
        <v>26</v>
      </c>
      <c r="E42" s="158">
        <f t="shared" si="4"/>
        <v>2248262.5059368499</v>
      </c>
      <c r="F42" s="158">
        <f t="shared" si="3"/>
        <v>14506.51994641379</v>
      </c>
      <c r="G42" s="158">
        <f t="shared" si="2"/>
        <v>11241.31252968425</v>
      </c>
      <c r="H42" s="158">
        <f t="shared" si="0"/>
        <v>3265.2074167295395</v>
      </c>
      <c r="I42" s="159">
        <f t="shared" si="1"/>
        <v>2244997.2985201203</v>
      </c>
    </row>
    <row r="43" spans="3:18" x14ac:dyDescent="0.2">
      <c r="C43" s="43"/>
      <c r="D43" s="62">
        <v>27</v>
      </c>
      <c r="E43" s="158">
        <f t="shared" si="4"/>
        <v>2244997.2985201203</v>
      </c>
      <c r="F43" s="158">
        <f t="shared" si="3"/>
        <v>14506.51994641379</v>
      </c>
      <c r="G43" s="158">
        <f t="shared" si="2"/>
        <v>11224.986492600601</v>
      </c>
      <c r="H43" s="158">
        <f t="shared" si="0"/>
        <v>3281.5334538131883</v>
      </c>
      <c r="I43" s="159">
        <f t="shared" si="1"/>
        <v>2241715.765066307</v>
      </c>
    </row>
    <row r="44" spans="3:18" x14ac:dyDescent="0.2">
      <c r="C44" s="43"/>
      <c r="D44" s="62">
        <v>28</v>
      </c>
      <c r="E44" s="158">
        <f t="shared" si="4"/>
        <v>2241715.765066307</v>
      </c>
      <c r="F44" s="158">
        <f t="shared" si="3"/>
        <v>14506.51994641379</v>
      </c>
      <c r="G44" s="158">
        <f t="shared" si="2"/>
        <v>11208.578825331535</v>
      </c>
      <c r="H44" s="158">
        <f t="shared" si="0"/>
        <v>3297.9411210822545</v>
      </c>
      <c r="I44" s="159">
        <f t="shared" si="1"/>
        <v>2238417.8239452248</v>
      </c>
    </row>
    <row r="45" spans="3:18" x14ac:dyDescent="0.2">
      <c r="C45" s="43"/>
      <c r="D45" s="62">
        <v>29</v>
      </c>
      <c r="E45" s="158">
        <f t="shared" si="4"/>
        <v>2238417.8239452248</v>
      </c>
      <c r="F45" s="158">
        <f t="shared" si="3"/>
        <v>14506.51994641379</v>
      </c>
      <c r="G45" s="158">
        <f t="shared" si="2"/>
        <v>11192.089119726124</v>
      </c>
      <c r="H45" s="158">
        <f t="shared" si="0"/>
        <v>3314.4308266876651</v>
      </c>
      <c r="I45" s="159">
        <f t="shared" si="1"/>
        <v>2235103.393118537</v>
      </c>
    </row>
    <row r="46" spans="3:18" x14ac:dyDescent="0.2">
      <c r="C46" s="43"/>
      <c r="D46" s="62">
        <v>30</v>
      </c>
      <c r="E46" s="158">
        <f t="shared" si="4"/>
        <v>2235103.393118537</v>
      </c>
      <c r="F46" s="158">
        <f t="shared" si="3"/>
        <v>14506.51994641379</v>
      </c>
      <c r="G46" s="158">
        <f t="shared" si="2"/>
        <v>11175.516965592686</v>
      </c>
      <c r="H46" s="158">
        <f t="shared" si="0"/>
        <v>3331.0029808211038</v>
      </c>
      <c r="I46" s="159">
        <f t="shared" si="1"/>
        <v>2231772.3901377157</v>
      </c>
    </row>
    <row r="47" spans="3:18" x14ac:dyDescent="0.2">
      <c r="C47" s="43"/>
      <c r="D47" s="62">
        <v>31</v>
      </c>
      <c r="E47" s="158">
        <f t="shared" si="4"/>
        <v>2231772.3901377157</v>
      </c>
      <c r="F47" s="158">
        <f t="shared" si="3"/>
        <v>14506.51994641379</v>
      </c>
      <c r="G47" s="158">
        <f t="shared" si="2"/>
        <v>11158.861950688579</v>
      </c>
      <c r="H47" s="158">
        <f t="shared" si="0"/>
        <v>3347.6579957252106</v>
      </c>
      <c r="I47" s="159">
        <f t="shared" si="1"/>
        <v>2228424.7321419907</v>
      </c>
    </row>
    <row r="48" spans="3:18" x14ac:dyDescent="0.2">
      <c r="C48" s="43"/>
      <c r="D48" s="62">
        <v>32</v>
      </c>
      <c r="E48" s="158">
        <f t="shared" si="4"/>
        <v>2228424.7321419907</v>
      </c>
      <c r="F48" s="158">
        <f t="shared" si="3"/>
        <v>14506.51994641379</v>
      </c>
      <c r="G48" s="158">
        <f t="shared" si="2"/>
        <v>11142.123660709954</v>
      </c>
      <c r="H48" s="158">
        <f t="shared" si="0"/>
        <v>3364.396285703835</v>
      </c>
      <c r="I48" s="159">
        <f t="shared" si="1"/>
        <v>2225060.3358562868</v>
      </c>
    </row>
    <row r="49" spans="3:10" x14ac:dyDescent="0.2">
      <c r="C49" s="43"/>
      <c r="D49" s="62">
        <v>33</v>
      </c>
      <c r="E49" s="158">
        <f t="shared" si="4"/>
        <v>2225060.3358562868</v>
      </c>
      <c r="F49" s="158">
        <f t="shared" si="3"/>
        <v>14506.51994641379</v>
      </c>
      <c r="G49" s="158">
        <f t="shared" si="2"/>
        <v>11125.301679281434</v>
      </c>
      <c r="H49" s="158">
        <f t="shared" si="0"/>
        <v>3381.2182671323553</v>
      </c>
      <c r="I49" s="159">
        <f t="shared" si="1"/>
        <v>2221679.1175891543</v>
      </c>
    </row>
    <row r="50" spans="3:10" x14ac:dyDescent="0.2">
      <c r="C50" s="43"/>
      <c r="D50" s="62">
        <v>34</v>
      </c>
      <c r="E50" s="158">
        <f t="shared" si="4"/>
        <v>2221679.1175891543</v>
      </c>
      <c r="F50" s="158">
        <f t="shared" si="3"/>
        <v>14506.51994641379</v>
      </c>
      <c r="G50" s="158">
        <f t="shared" si="2"/>
        <v>11108.395587945772</v>
      </c>
      <c r="H50" s="158">
        <f t="shared" si="0"/>
        <v>3398.1243584680178</v>
      </c>
      <c r="I50" s="159">
        <f t="shared" si="1"/>
        <v>2218280.9932306861</v>
      </c>
    </row>
    <row r="51" spans="3:10" x14ac:dyDescent="0.2">
      <c r="C51" s="43"/>
      <c r="D51" s="62">
        <v>35</v>
      </c>
      <c r="E51" s="158">
        <f t="shared" si="4"/>
        <v>2218280.9932306861</v>
      </c>
      <c r="F51" s="158">
        <f t="shared" si="3"/>
        <v>14506.51994641379</v>
      </c>
      <c r="G51" s="158">
        <f t="shared" si="2"/>
        <v>11091.40496615343</v>
      </c>
      <c r="H51" s="158">
        <f t="shared" si="0"/>
        <v>3415.1149802603595</v>
      </c>
      <c r="I51" s="159">
        <f t="shared" si="1"/>
        <v>2214865.8782504257</v>
      </c>
    </row>
    <row r="52" spans="3:10" x14ac:dyDescent="0.2">
      <c r="C52" s="49">
        <v>3</v>
      </c>
      <c r="D52" s="161">
        <v>36</v>
      </c>
      <c r="E52" s="158">
        <f t="shared" si="4"/>
        <v>2214865.8782504257</v>
      </c>
      <c r="F52" s="158">
        <f t="shared" si="3"/>
        <v>14506.51994641379</v>
      </c>
      <c r="G52" s="158">
        <f t="shared" si="2"/>
        <v>11074.329391252129</v>
      </c>
      <c r="H52" s="158">
        <f t="shared" si="0"/>
        <v>3432.1905551616601</v>
      </c>
      <c r="I52" s="159">
        <f t="shared" si="1"/>
        <v>2211433.6876952639</v>
      </c>
      <c r="J52" s="162">
        <f>+SUM(H41:H52)+SUM(G41:G52)</f>
        <v>174078.23935696547</v>
      </c>
    </row>
    <row r="53" spans="3:10" x14ac:dyDescent="0.2">
      <c r="C53" s="43"/>
      <c r="D53" s="62">
        <v>37</v>
      </c>
      <c r="E53" s="158">
        <f t="shared" si="4"/>
        <v>2211433.6876952639</v>
      </c>
      <c r="F53" s="158">
        <f t="shared" si="3"/>
        <v>14506.51994641379</v>
      </c>
      <c r="G53" s="158">
        <f t="shared" si="2"/>
        <v>11057.168438476319</v>
      </c>
      <c r="H53" s="158">
        <f t="shared" si="0"/>
        <v>3449.3515079374702</v>
      </c>
      <c r="I53" s="159">
        <f t="shared" si="1"/>
        <v>2207984.3361873263</v>
      </c>
    </row>
    <row r="54" spans="3:10" x14ac:dyDescent="0.2">
      <c r="C54" s="43"/>
      <c r="D54" s="62">
        <v>38</v>
      </c>
      <c r="E54" s="158">
        <f t="shared" si="4"/>
        <v>2207984.3361873263</v>
      </c>
      <c r="F54" s="158">
        <f t="shared" si="3"/>
        <v>14506.51994641379</v>
      </c>
      <c r="G54" s="158">
        <f t="shared" si="2"/>
        <v>11039.921680936632</v>
      </c>
      <c r="H54" s="158">
        <f t="shared" si="0"/>
        <v>3466.5982654771578</v>
      </c>
      <c r="I54" s="159">
        <f t="shared" si="1"/>
        <v>2204517.7379218494</v>
      </c>
    </row>
    <row r="55" spans="3:10" x14ac:dyDescent="0.2">
      <c r="C55" s="43"/>
      <c r="D55" s="62">
        <v>39</v>
      </c>
      <c r="E55" s="158">
        <f t="shared" si="4"/>
        <v>2204517.7379218494</v>
      </c>
      <c r="F55" s="158">
        <f t="shared" si="3"/>
        <v>14506.51994641379</v>
      </c>
      <c r="G55" s="158">
        <f t="shared" si="2"/>
        <v>11022.588689609247</v>
      </c>
      <c r="H55" s="158">
        <f t="shared" si="0"/>
        <v>3483.9312568045425</v>
      </c>
      <c r="I55" s="159">
        <f t="shared" si="1"/>
        <v>2201033.8066650447</v>
      </c>
    </row>
    <row r="56" spans="3:10" x14ac:dyDescent="0.2">
      <c r="C56" s="43"/>
      <c r="D56" s="62">
        <v>40</v>
      </c>
      <c r="E56" s="158">
        <f t="shared" si="4"/>
        <v>2201033.8066650447</v>
      </c>
      <c r="F56" s="158">
        <f t="shared" si="3"/>
        <v>14506.51994641379</v>
      </c>
      <c r="G56" s="158">
        <f t="shared" si="2"/>
        <v>11005.169033325225</v>
      </c>
      <c r="H56" s="158">
        <f t="shared" si="0"/>
        <v>3501.350913088565</v>
      </c>
      <c r="I56" s="159">
        <f t="shared" si="1"/>
        <v>2197532.455751956</v>
      </c>
    </row>
    <row r="57" spans="3:10" x14ac:dyDescent="0.2">
      <c r="C57" s="43"/>
      <c r="D57" s="62">
        <v>41</v>
      </c>
      <c r="E57" s="158">
        <f t="shared" si="4"/>
        <v>2197532.455751956</v>
      </c>
      <c r="F57" s="158">
        <f t="shared" si="3"/>
        <v>14506.51994641379</v>
      </c>
      <c r="G57" s="158">
        <f t="shared" si="2"/>
        <v>10987.662278759781</v>
      </c>
      <c r="H57" s="158">
        <f t="shared" si="0"/>
        <v>3518.8576676540088</v>
      </c>
      <c r="I57" s="159">
        <f t="shared" si="1"/>
        <v>2194013.5980843022</v>
      </c>
    </row>
    <row r="58" spans="3:10" x14ac:dyDescent="0.2">
      <c r="C58" s="43"/>
      <c r="D58" s="62">
        <v>42</v>
      </c>
      <c r="E58" s="158">
        <f t="shared" si="4"/>
        <v>2194013.5980843022</v>
      </c>
      <c r="F58" s="158">
        <f t="shared" si="3"/>
        <v>14506.51994641379</v>
      </c>
      <c r="G58" s="158">
        <f t="shared" si="2"/>
        <v>10970.06799042151</v>
      </c>
      <c r="H58" s="158">
        <f t="shared" si="0"/>
        <v>3536.4519559922792</v>
      </c>
      <c r="I58" s="159">
        <f t="shared" si="1"/>
        <v>2190477.1461283099</v>
      </c>
    </row>
    <row r="59" spans="3:10" x14ac:dyDescent="0.2">
      <c r="C59" s="43"/>
      <c r="D59" s="62">
        <v>43</v>
      </c>
      <c r="E59" s="158">
        <f t="shared" si="4"/>
        <v>2190477.1461283099</v>
      </c>
      <c r="F59" s="158">
        <f t="shared" si="3"/>
        <v>14506.51994641379</v>
      </c>
      <c r="G59" s="158">
        <f t="shared" si="2"/>
        <v>10952.38573064155</v>
      </c>
      <c r="H59" s="158">
        <f t="shared" si="0"/>
        <v>3554.1342157722393</v>
      </c>
      <c r="I59" s="159">
        <f t="shared" si="1"/>
        <v>2186923.0119125377</v>
      </c>
      <c r="J59" s="162"/>
    </row>
    <row r="60" spans="3:10" x14ac:dyDescent="0.2">
      <c r="C60" s="43"/>
      <c r="D60" s="62">
        <v>44</v>
      </c>
      <c r="E60" s="158">
        <f t="shared" si="4"/>
        <v>2186923.0119125377</v>
      </c>
      <c r="F60" s="158">
        <f t="shared" si="3"/>
        <v>14506.51994641379</v>
      </c>
      <c r="G60" s="158">
        <f t="shared" si="2"/>
        <v>10934.61505956269</v>
      </c>
      <c r="H60" s="158">
        <f t="shared" si="0"/>
        <v>3571.9048868510999</v>
      </c>
      <c r="I60" s="159">
        <f t="shared" si="1"/>
        <v>2183351.1070256867</v>
      </c>
    </row>
    <row r="61" spans="3:10" x14ac:dyDescent="0.2">
      <c r="C61" s="43"/>
      <c r="D61" s="62">
        <v>45</v>
      </c>
      <c r="E61" s="158">
        <f t="shared" si="4"/>
        <v>2183351.1070256867</v>
      </c>
      <c r="F61" s="158">
        <f t="shared" si="3"/>
        <v>14506.51994641379</v>
      </c>
      <c r="G61" s="158">
        <f t="shared" si="2"/>
        <v>10916.755535128434</v>
      </c>
      <c r="H61" s="158">
        <f t="shared" si="0"/>
        <v>3589.7644112853559</v>
      </c>
      <c r="I61" s="159">
        <f t="shared" si="1"/>
        <v>2179761.3426144011</v>
      </c>
    </row>
    <row r="62" spans="3:10" x14ac:dyDescent="0.2">
      <c r="C62" s="43"/>
      <c r="D62" s="62">
        <v>46</v>
      </c>
      <c r="E62" s="158">
        <f t="shared" si="4"/>
        <v>2179761.3426144011</v>
      </c>
      <c r="F62" s="158">
        <f t="shared" si="3"/>
        <v>14506.51994641379</v>
      </c>
      <c r="G62" s="158">
        <f t="shared" si="2"/>
        <v>10898.806713072006</v>
      </c>
      <c r="H62" s="158">
        <f t="shared" si="0"/>
        <v>3607.7132333417831</v>
      </c>
      <c r="I62" s="159">
        <f t="shared" si="1"/>
        <v>2176153.6293810592</v>
      </c>
    </row>
    <row r="63" spans="3:10" x14ac:dyDescent="0.2">
      <c r="C63" s="43"/>
      <c r="D63" s="62">
        <v>47</v>
      </c>
      <c r="E63" s="158">
        <f t="shared" si="4"/>
        <v>2176153.6293810592</v>
      </c>
      <c r="F63" s="158">
        <f t="shared" si="3"/>
        <v>14506.51994641379</v>
      </c>
      <c r="G63" s="158">
        <f t="shared" si="2"/>
        <v>10880.768146905297</v>
      </c>
      <c r="H63" s="158">
        <f t="shared" si="0"/>
        <v>3625.7517995084927</v>
      </c>
      <c r="I63" s="159">
        <f t="shared" si="1"/>
        <v>2172527.8775815507</v>
      </c>
    </row>
    <row r="64" spans="3:10" x14ac:dyDescent="0.2">
      <c r="C64" s="49">
        <v>4</v>
      </c>
      <c r="D64" s="161">
        <v>48</v>
      </c>
      <c r="E64" s="158">
        <f t="shared" si="4"/>
        <v>2172527.8775815507</v>
      </c>
      <c r="F64" s="158">
        <f t="shared" si="3"/>
        <v>14506.51994641379</v>
      </c>
      <c r="G64" s="158">
        <f t="shared" si="2"/>
        <v>10862.639387907753</v>
      </c>
      <c r="H64" s="158">
        <f t="shared" si="0"/>
        <v>3643.8805585060363</v>
      </c>
      <c r="I64" s="159">
        <f t="shared" si="1"/>
        <v>2168883.9970230446</v>
      </c>
      <c r="J64" s="162">
        <f>+SUM(H53:H64)+SUM(G53:G64)</f>
        <v>174078.23935696547</v>
      </c>
    </row>
    <row r="65" spans="3:10" x14ac:dyDescent="0.2">
      <c r="C65" s="43"/>
      <c r="D65" s="62">
        <v>49</v>
      </c>
      <c r="E65" s="158">
        <f t="shared" si="4"/>
        <v>2168883.9970230446</v>
      </c>
      <c r="F65" s="158">
        <f t="shared" si="3"/>
        <v>14506.51994641379</v>
      </c>
      <c r="G65" s="158">
        <f t="shared" si="2"/>
        <v>10844.419985115223</v>
      </c>
      <c r="H65" s="158">
        <f t="shared" si="0"/>
        <v>3662.099961298567</v>
      </c>
      <c r="I65" s="159">
        <f t="shared" si="1"/>
        <v>2165221.8970617461</v>
      </c>
    </row>
    <row r="66" spans="3:10" x14ac:dyDescent="0.2">
      <c r="C66" s="43"/>
      <c r="D66" s="62">
        <v>50</v>
      </c>
      <c r="E66" s="158">
        <f t="shared" si="4"/>
        <v>2165221.8970617461</v>
      </c>
      <c r="F66" s="158">
        <f t="shared" si="3"/>
        <v>14506.51994641379</v>
      </c>
      <c r="G66" s="158">
        <f t="shared" si="2"/>
        <v>10826.109485308731</v>
      </c>
      <c r="H66" s="158">
        <f t="shared" si="0"/>
        <v>3680.4104611050589</v>
      </c>
      <c r="I66" s="159">
        <f t="shared" si="1"/>
        <v>2161541.4866006412</v>
      </c>
    </row>
    <row r="67" spans="3:10" x14ac:dyDescent="0.2">
      <c r="C67" s="43"/>
      <c r="D67" s="62">
        <v>51</v>
      </c>
      <c r="E67" s="158">
        <f t="shared" si="4"/>
        <v>2161541.4866006412</v>
      </c>
      <c r="F67" s="158">
        <f t="shared" si="3"/>
        <v>14506.51994641379</v>
      </c>
      <c r="G67" s="158">
        <f t="shared" si="2"/>
        <v>10807.707433003206</v>
      </c>
      <c r="H67" s="158">
        <f t="shared" si="0"/>
        <v>3698.8125134105831</v>
      </c>
      <c r="I67" s="159">
        <f t="shared" si="1"/>
        <v>2157842.6740872306</v>
      </c>
    </row>
    <row r="68" spans="3:10" x14ac:dyDescent="0.2">
      <c r="C68" s="43"/>
      <c r="D68" s="62">
        <v>52</v>
      </c>
      <c r="E68" s="158">
        <f t="shared" si="4"/>
        <v>2157842.6740872306</v>
      </c>
      <c r="F68" s="158">
        <f t="shared" si="3"/>
        <v>14506.51994641379</v>
      </c>
      <c r="G68" s="158">
        <f t="shared" si="2"/>
        <v>10789.213370436153</v>
      </c>
      <c r="H68" s="158">
        <f t="shared" si="0"/>
        <v>3717.3065759776364</v>
      </c>
      <c r="I68" s="159">
        <f t="shared" si="1"/>
        <v>2154125.3675112529</v>
      </c>
    </row>
    <row r="69" spans="3:10" x14ac:dyDescent="0.2">
      <c r="C69" s="43"/>
      <c r="D69" s="62">
        <v>53</v>
      </c>
      <c r="E69" s="158">
        <f t="shared" si="4"/>
        <v>2154125.3675112529</v>
      </c>
      <c r="F69" s="158">
        <f t="shared" si="3"/>
        <v>14506.51994641379</v>
      </c>
      <c r="G69" s="158">
        <f t="shared" si="2"/>
        <v>10770.626837556265</v>
      </c>
      <c r="H69" s="158">
        <f t="shared" si="0"/>
        <v>3735.8931088575246</v>
      </c>
      <c r="I69" s="159">
        <f t="shared" si="1"/>
        <v>2150389.4744023955</v>
      </c>
    </row>
    <row r="70" spans="3:10" x14ac:dyDescent="0.2">
      <c r="C70" s="43"/>
      <c r="D70" s="62">
        <v>54</v>
      </c>
      <c r="E70" s="158">
        <f t="shared" si="4"/>
        <v>2150389.4744023955</v>
      </c>
      <c r="F70" s="158">
        <f t="shared" si="3"/>
        <v>14506.51994641379</v>
      </c>
      <c r="G70" s="158">
        <f t="shared" si="2"/>
        <v>10751.947372011979</v>
      </c>
      <c r="H70" s="158">
        <f t="shared" si="0"/>
        <v>3754.5725744018109</v>
      </c>
      <c r="I70" s="159">
        <f t="shared" si="1"/>
        <v>2146634.9018279938</v>
      </c>
      <c r="J70" s="162"/>
    </row>
    <row r="71" spans="3:10" x14ac:dyDescent="0.2">
      <c r="C71" s="43"/>
      <c r="D71" s="62">
        <v>55</v>
      </c>
      <c r="E71" s="158">
        <f t="shared" si="4"/>
        <v>2146634.9018279938</v>
      </c>
      <c r="F71" s="158">
        <f t="shared" si="3"/>
        <v>14506.51994641379</v>
      </c>
      <c r="G71" s="158">
        <f t="shared" si="2"/>
        <v>10733.17450913997</v>
      </c>
      <c r="H71" s="158">
        <f t="shared" si="0"/>
        <v>3773.3454372738197</v>
      </c>
      <c r="I71" s="159">
        <f t="shared" si="1"/>
        <v>2142861.55639072</v>
      </c>
      <c r="J71" s="162"/>
    </row>
    <row r="72" spans="3:10" x14ac:dyDescent="0.2">
      <c r="C72" s="43"/>
      <c r="D72" s="62">
        <v>56</v>
      </c>
      <c r="E72" s="158">
        <f t="shared" si="4"/>
        <v>2142861.55639072</v>
      </c>
      <c r="F72" s="158">
        <f t="shared" si="3"/>
        <v>14506.51994641379</v>
      </c>
      <c r="G72" s="158">
        <f t="shared" si="2"/>
        <v>10714.307781953599</v>
      </c>
      <c r="H72" s="158">
        <f t="shared" si="0"/>
        <v>3792.2121644601903</v>
      </c>
      <c r="I72" s="159">
        <f t="shared" si="1"/>
        <v>2139069.3442262597</v>
      </c>
    </row>
    <row r="73" spans="3:10" x14ac:dyDescent="0.2">
      <c r="C73" s="43"/>
      <c r="D73" s="62">
        <v>57</v>
      </c>
      <c r="E73" s="158">
        <f t="shared" si="4"/>
        <v>2139069.3442262597</v>
      </c>
      <c r="F73" s="158">
        <f t="shared" si="3"/>
        <v>14506.51994641379</v>
      </c>
      <c r="G73" s="158">
        <f t="shared" si="2"/>
        <v>10695.346721131298</v>
      </c>
      <c r="H73" s="158">
        <f t="shared" si="0"/>
        <v>3811.1732252824913</v>
      </c>
      <c r="I73" s="159">
        <f t="shared" si="1"/>
        <v>2135258.171000977</v>
      </c>
    </row>
    <row r="74" spans="3:10" x14ac:dyDescent="0.2">
      <c r="C74" s="43"/>
      <c r="D74" s="62">
        <v>58</v>
      </c>
      <c r="E74" s="158">
        <f t="shared" si="4"/>
        <v>2135258.171000977</v>
      </c>
      <c r="F74" s="158">
        <f t="shared" si="3"/>
        <v>14506.51994641379</v>
      </c>
      <c r="G74" s="158">
        <f t="shared" si="2"/>
        <v>10676.290855004885</v>
      </c>
      <c r="H74" s="158">
        <f t="shared" si="0"/>
        <v>3830.2290914089044</v>
      </c>
      <c r="I74" s="159">
        <f t="shared" si="1"/>
        <v>2131427.9419095679</v>
      </c>
    </row>
    <row r="75" spans="3:10" x14ac:dyDescent="0.2">
      <c r="C75" s="43"/>
      <c r="D75" s="62">
        <v>59</v>
      </c>
      <c r="E75" s="158">
        <f t="shared" si="4"/>
        <v>2131427.9419095679</v>
      </c>
      <c r="F75" s="158">
        <f t="shared" si="3"/>
        <v>14506.51994641379</v>
      </c>
      <c r="G75" s="158">
        <f t="shared" si="2"/>
        <v>10657.139709547841</v>
      </c>
      <c r="H75" s="158">
        <f t="shared" si="0"/>
        <v>3849.380236865949</v>
      </c>
      <c r="I75" s="159">
        <f t="shared" si="1"/>
        <v>2127578.561672702</v>
      </c>
    </row>
    <row r="76" spans="3:10" x14ac:dyDescent="0.2">
      <c r="C76" s="49">
        <v>5</v>
      </c>
      <c r="D76" s="161">
        <v>60</v>
      </c>
      <c r="E76" s="158">
        <f t="shared" si="4"/>
        <v>2127578.561672702</v>
      </c>
      <c r="F76" s="158">
        <f t="shared" si="3"/>
        <v>14506.51994641379</v>
      </c>
      <c r="G76" s="158">
        <f t="shared" si="2"/>
        <v>10637.892808363509</v>
      </c>
      <c r="H76" s="158">
        <f t="shared" si="0"/>
        <v>3868.6271380502803</v>
      </c>
      <c r="I76" s="159">
        <f t="shared" si="1"/>
        <v>2123709.9345346517</v>
      </c>
      <c r="J76" s="162">
        <f>+SUM(H65:H76)+SUM(G65:G76)</f>
        <v>174078.2393569655</v>
      </c>
    </row>
    <row r="77" spans="3:10" x14ac:dyDescent="0.2">
      <c r="C77" s="43"/>
      <c r="D77" s="62">
        <v>61</v>
      </c>
      <c r="E77" s="158">
        <f t="shared" si="4"/>
        <v>2123709.9345346517</v>
      </c>
      <c r="F77" s="158">
        <f t="shared" si="3"/>
        <v>14506.51994641379</v>
      </c>
      <c r="G77" s="158">
        <f t="shared" si="2"/>
        <v>10618.549672673258</v>
      </c>
      <c r="H77" s="158">
        <f t="shared" si="0"/>
        <v>3887.9702737405314</v>
      </c>
      <c r="I77" s="159">
        <f t="shared" si="1"/>
        <v>2119821.9642609111</v>
      </c>
    </row>
    <row r="78" spans="3:10" x14ac:dyDescent="0.2">
      <c r="C78" s="43"/>
      <c r="D78" s="62">
        <v>62</v>
      </c>
      <c r="E78" s="158">
        <f t="shared" si="4"/>
        <v>2119821.9642609111</v>
      </c>
      <c r="F78" s="158">
        <f t="shared" si="3"/>
        <v>14506.51994641379</v>
      </c>
      <c r="G78" s="158">
        <f t="shared" si="2"/>
        <v>10599.109821304555</v>
      </c>
      <c r="H78" s="158">
        <f t="shared" si="0"/>
        <v>3907.4101251092343</v>
      </c>
      <c r="I78" s="159">
        <f t="shared" si="1"/>
        <v>2115914.5541358017</v>
      </c>
    </row>
    <row r="79" spans="3:10" x14ac:dyDescent="0.2">
      <c r="C79" s="43"/>
      <c r="D79" s="62">
        <v>63</v>
      </c>
      <c r="E79" s="158">
        <f t="shared" si="4"/>
        <v>2115914.5541358017</v>
      </c>
      <c r="F79" s="158">
        <f t="shared" si="3"/>
        <v>14506.51994641379</v>
      </c>
      <c r="G79" s="158">
        <f t="shared" si="2"/>
        <v>10579.572770679009</v>
      </c>
      <c r="H79" s="158">
        <f t="shared" si="0"/>
        <v>3926.9471757347801</v>
      </c>
      <c r="I79" s="159">
        <f t="shared" si="1"/>
        <v>2111987.6069600671</v>
      </c>
    </row>
    <row r="80" spans="3:10" x14ac:dyDescent="0.2">
      <c r="C80" s="43"/>
      <c r="D80" s="62">
        <v>64</v>
      </c>
      <c r="E80" s="158">
        <f t="shared" si="4"/>
        <v>2111987.6069600671</v>
      </c>
      <c r="F80" s="158">
        <f t="shared" si="3"/>
        <v>14506.51994641379</v>
      </c>
      <c r="G80" s="158">
        <f t="shared" si="2"/>
        <v>10559.938034800336</v>
      </c>
      <c r="H80" s="158">
        <f t="shared" si="0"/>
        <v>3946.5819116134535</v>
      </c>
      <c r="I80" s="159">
        <f t="shared" si="1"/>
        <v>2108041.0250484538</v>
      </c>
    </row>
    <row r="81" spans="3:10" x14ac:dyDescent="0.2">
      <c r="C81" s="43"/>
      <c r="D81" s="62">
        <v>65</v>
      </c>
      <c r="E81" s="158">
        <f t="shared" si="4"/>
        <v>2108041.0250484538</v>
      </c>
      <c r="F81" s="158">
        <f t="shared" si="3"/>
        <v>14506.51994641379</v>
      </c>
      <c r="G81" s="158">
        <f t="shared" si="2"/>
        <v>10540.20512524227</v>
      </c>
      <c r="H81" s="158">
        <f t="shared" ref="H81:H144" si="5">F81-G81</f>
        <v>3966.3148211715197</v>
      </c>
      <c r="I81" s="159">
        <f t="shared" ref="I81:I144" si="6">E81-H81</f>
        <v>2104074.7102272823</v>
      </c>
    </row>
    <row r="82" spans="3:10" x14ac:dyDescent="0.2">
      <c r="C82" s="43"/>
      <c r="D82" s="62">
        <v>66</v>
      </c>
      <c r="E82" s="158">
        <f t="shared" si="4"/>
        <v>2104074.7102272823</v>
      </c>
      <c r="F82" s="158">
        <f t="shared" si="3"/>
        <v>14506.51994641379</v>
      </c>
      <c r="G82" s="158">
        <f t="shared" ref="G82:G145" si="7">IF(D82&gt;$D$10,0,($D$6/12)*I81)</f>
        <v>10520.373551136412</v>
      </c>
      <c r="H82" s="158">
        <f t="shared" si="5"/>
        <v>3986.1463952773775</v>
      </c>
      <c r="I82" s="159">
        <f t="shared" si="6"/>
        <v>2100088.563832005</v>
      </c>
    </row>
    <row r="83" spans="3:10" x14ac:dyDescent="0.2">
      <c r="C83" s="43"/>
      <c r="D83" s="62">
        <v>67</v>
      </c>
      <c r="E83" s="158">
        <f t="shared" si="4"/>
        <v>2100088.563832005</v>
      </c>
      <c r="F83" s="158">
        <f t="shared" si="3"/>
        <v>14506.51994641379</v>
      </c>
      <c r="G83" s="158">
        <f t="shared" si="7"/>
        <v>10500.442819160025</v>
      </c>
      <c r="H83" s="158">
        <f t="shared" si="5"/>
        <v>4006.077127253764</v>
      </c>
      <c r="I83" s="159">
        <f t="shared" si="6"/>
        <v>2096082.4867047512</v>
      </c>
      <c r="J83" s="162"/>
    </row>
    <row r="84" spans="3:10" x14ac:dyDescent="0.2">
      <c r="C84" s="43"/>
      <c r="D84" s="62">
        <v>68</v>
      </c>
      <c r="E84" s="158">
        <f t="shared" si="4"/>
        <v>2096082.4867047512</v>
      </c>
      <c r="F84" s="158">
        <f t="shared" si="3"/>
        <v>14506.51994641379</v>
      </c>
      <c r="G84" s="158">
        <f t="shared" si="7"/>
        <v>10480.412433523756</v>
      </c>
      <c r="H84" s="158">
        <f t="shared" si="5"/>
        <v>4026.1075128900338</v>
      </c>
      <c r="I84" s="159">
        <f t="shared" si="6"/>
        <v>2092056.379191861</v>
      </c>
    </row>
    <row r="85" spans="3:10" x14ac:dyDescent="0.2">
      <c r="C85" s="43"/>
      <c r="D85" s="62">
        <v>69</v>
      </c>
      <c r="E85" s="158">
        <f t="shared" si="4"/>
        <v>2092056.379191861</v>
      </c>
      <c r="F85" s="158">
        <f t="shared" ref="F85:F148" si="8">IF(D85&gt;$D$10,0,IF(D85&lt;=$D$8,G85,-PMT($D$6/12,$D$9,$D$5,0,0)))</f>
        <v>14506.51994641379</v>
      </c>
      <c r="G85" s="158">
        <f t="shared" si="7"/>
        <v>10460.281895959306</v>
      </c>
      <c r="H85" s="158">
        <f t="shared" si="5"/>
        <v>4046.2380504544835</v>
      </c>
      <c r="I85" s="159">
        <f t="shared" si="6"/>
        <v>2088010.1411414065</v>
      </c>
    </row>
    <row r="86" spans="3:10" x14ac:dyDescent="0.2">
      <c r="C86" s="43"/>
      <c r="D86" s="62">
        <v>70</v>
      </c>
      <c r="E86" s="158">
        <f t="shared" ref="E86:E149" si="9">IF(D86&gt;$D$10,0,I85)</f>
        <v>2088010.1411414065</v>
      </c>
      <c r="F86" s="158">
        <f t="shared" si="8"/>
        <v>14506.51994641379</v>
      </c>
      <c r="G86" s="158">
        <f t="shared" si="7"/>
        <v>10440.050705707034</v>
      </c>
      <c r="H86" s="158">
        <f t="shared" si="5"/>
        <v>4066.469240706756</v>
      </c>
      <c r="I86" s="159">
        <f t="shared" si="6"/>
        <v>2083943.6719006998</v>
      </c>
    </row>
    <row r="87" spans="3:10" x14ac:dyDescent="0.2">
      <c r="C87" s="43"/>
      <c r="D87" s="62">
        <v>71</v>
      </c>
      <c r="E87" s="158">
        <f t="shared" si="9"/>
        <v>2083943.6719006998</v>
      </c>
      <c r="F87" s="158">
        <f t="shared" si="8"/>
        <v>14506.51994641379</v>
      </c>
      <c r="G87" s="158">
        <f t="shared" si="7"/>
        <v>10419.7183595035</v>
      </c>
      <c r="H87" s="158">
        <f t="shared" si="5"/>
        <v>4086.8015869102892</v>
      </c>
      <c r="I87" s="159">
        <f t="shared" si="6"/>
        <v>2079856.8703137895</v>
      </c>
    </row>
    <row r="88" spans="3:10" x14ac:dyDescent="0.2">
      <c r="C88" s="49">
        <v>6</v>
      </c>
      <c r="D88" s="161">
        <v>72</v>
      </c>
      <c r="E88" s="158">
        <f t="shared" si="9"/>
        <v>2079856.8703137895</v>
      </c>
      <c r="F88" s="158">
        <f t="shared" si="8"/>
        <v>14506.51994641379</v>
      </c>
      <c r="G88" s="158">
        <f t="shared" si="7"/>
        <v>10399.284351568947</v>
      </c>
      <c r="H88" s="158">
        <f t="shared" si="5"/>
        <v>4107.2355948448421</v>
      </c>
      <c r="I88" s="159">
        <f t="shared" si="6"/>
        <v>2075749.6347189446</v>
      </c>
      <c r="J88" s="162">
        <f>+SUM(H77:H88)+SUM(G77:G88)</f>
        <v>174078.2393569655</v>
      </c>
    </row>
    <row r="89" spans="3:10" x14ac:dyDescent="0.2">
      <c r="C89" s="43"/>
      <c r="D89" s="62">
        <v>73</v>
      </c>
      <c r="E89" s="158">
        <f t="shared" si="9"/>
        <v>2075749.6347189446</v>
      </c>
      <c r="F89" s="158">
        <f t="shared" si="8"/>
        <v>14506.51994641379</v>
      </c>
      <c r="G89" s="158">
        <f t="shared" si="7"/>
        <v>10378.748173594722</v>
      </c>
      <c r="H89" s="158">
        <f t="shared" si="5"/>
        <v>4127.7717728190673</v>
      </c>
      <c r="I89" s="159">
        <f t="shared" si="6"/>
        <v>2071621.8629461254</v>
      </c>
    </row>
    <row r="90" spans="3:10" x14ac:dyDescent="0.2">
      <c r="C90" s="43"/>
      <c r="D90" s="62">
        <v>74</v>
      </c>
      <c r="E90" s="158">
        <f t="shared" si="9"/>
        <v>2071621.8629461254</v>
      </c>
      <c r="F90" s="158">
        <f t="shared" si="8"/>
        <v>14506.51994641379</v>
      </c>
      <c r="G90" s="158">
        <f t="shared" si="7"/>
        <v>10358.109314730627</v>
      </c>
      <c r="H90" s="158">
        <f t="shared" si="5"/>
        <v>4148.4106316831621</v>
      </c>
      <c r="I90" s="159">
        <f t="shared" si="6"/>
        <v>2067473.4523144423</v>
      </c>
    </row>
    <row r="91" spans="3:10" x14ac:dyDescent="0.2">
      <c r="C91" s="43"/>
      <c r="D91" s="62">
        <v>75</v>
      </c>
      <c r="E91" s="158">
        <f t="shared" si="9"/>
        <v>2067473.4523144423</v>
      </c>
      <c r="F91" s="158">
        <f t="shared" si="8"/>
        <v>14506.51994641379</v>
      </c>
      <c r="G91" s="158">
        <f t="shared" si="7"/>
        <v>10337.367261572212</v>
      </c>
      <c r="H91" s="158">
        <f t="shared" si="5"/>
        <v>4169.1526848415779</v>
      </c>
      <c r="I91" s="159">
        <f t="shared" si="6"/>
        <v>2063304.2996296007</v>
      </c>
    </row>
    <row r="92" spans="3:10" x14ac:dyDescent="0.2">
      <c r="C92" s="43"/>
      <c r="D92" s="62">
        <v>76</v>
      </c>
      <c r="E92" s="158">
        <f t="shared" si="9"/>
        <v>2063304.2996296007</v>
      </c>
      <c r="F92" s="158">
        <f t="shared" si="8"/>
        <v>14506.51994641379</v>
      </c>
      <c r="G92" s="158">
        <f t="shared" si="7"/>
        <v>10316.521498148004</v>
      </c>
      <c r="H92" s="158">
        <f t="shared" si="5"/>
        <v>4189.9984482657856</v>
      </c>
      <c r="I92" s="159">
        <f t="shared" si="6"/>
        <v>2059114.301181335</v>
      </c>
    </row>
    <row r="93" spans="3:10" x14ac:dyDescent="0.2">
      <c r="C93" s="43"/>
      <c r="D93" s="62">
        <v>77</v>
      </c>
      <c r="E93" s="158">
        <f t="shared" si="9"/>
        <v>2059114.301181335</v>
      </c>
      <c r="F93" s="158">
        <f t="shared" si="8"/>
        <v>14506.51994641379</v>
      </c>
      <c r="G93" s="158">
        <f t="shared" si="7"/>
        <v>10295.571505906675</v>
      </c>
      <c r="H93" s="158">
        <f t="shared" si="5"/>
        <v>4210.9484405071144</v>
      </c>
      <c r="I93" s="159">
        <f t="shared" si="6"/>
        <v>2054903.3527408279</v>
      </c>
    </row>
    <row r="94" spans="3:10" x14ac:dyDescent="0.2">
      <c r="C94" s="43"/>
      <c r="D94" s="62">
        <v>78</v>
      </c>
      <c r="E94" s="158">
        <f t="shared" si="9"/>
        <v>2054903.3527408279</v>
      </c>
      <c r="F94" s="158">
        <f t="shared" si="8"/>
        <v>14506.51994641379</v>
      </c>
      <c r="G94" s="158">
        <f t="shared" si="7"/>
        <v>10274.51676370414</v>
      </c>
      <c r="H94" s="158">
        <f t="shared" si="5"/>
        <v>4232.00318270965</v>
      </c>
      <c r="I94" s="159">
        <f t="shared" si="6"/>
        <v>2050671.3495581183</v>
      </c>
    </row>
    <row r="95" spans="3:10" x14ac:dyDescent="0.2">
      <c r="C95" s="43"/>
      <c r="D95" s="62">
        <v>79</v>
      </c>
      <c r="E95" s="158">
        <f t="shared" si="9"/>
        <v>2050671.3495581183</v>
      </c>
      <c r="F95" s="158">
        <f t="shared" si="8"/>
        <v>14506.51994641379</v>
      </c>
      <c r="G95" s="158">
        <f t="shared" si="7"/>
        <v>10253.356747790591</v>
      </c>
      <c r="H95" s="158">
        <f t="shared" si="5"/>
        <v>4253.1631986231987</v>
      </c>
      <c r="I95" s="159">
        <f t="shared" si="6"/>
        <v>2046418.1863594952</v>
      </c>
      <c r="J95" s="162"/>
    </row>
    <row r="96" spans="3:10" x14ac:dyDescent="0.2">
      <c r="C96" s="43"/>
      <c r="D96" s="62">
        <v>80</v>
      </c>
      <c r="E96" s="158">
        <f t="shared" si="9"/>
        <v>2046418.1863594952</v>
      </c>
      <c r="F96" s="158">
        <f t="shared" si="8"/>
        <v>14506.51994641379</v>
      </c>
      <c r="G96" s="158">
        <f t="shared" si="7"/>
        <v>10232.090931797477</v>
      </c>
      <c r="H96" s="158">
        <f t="shared" si="5"/>
        <v>4274.429014616313</v>
      </c>
      <c r="I96" s="159">
        <f t="shared" si="6"/>
        <v>2042143.7573448787</v>
      </c>
    </row>
    <row r="97" spans="3:10" x14ac:dyDescent="0.2">
      <c r="C97" s="43"/>
      <c r="D97" s="62">
        <v>81</v>
      </c>
      <c r="E97" s="158">
        <f t="shared" si="9"/>
        <v>2042143.7573448787</v>
      </c>
      <c r="F97" s="158">
        <f t="shared" si="8"/>
        <v>14506.51994641379</v>
      </c>
      <c r="G97" s="158">
        <f t="shared" si="7"/>
        <v>10210.718786724394</v>
      </c>
      <c r="H97" s="158">
        <f t="shared" si="5"/>
        <v>4295.8011596893957</v>
      </c>
      <c r="I97" s="159">
        <f t="shared" si="6"/>
        <v>2037847.9561851893</v>
      </c>
    </row>
    <row r="98" spans="3:10" x14ac:dyDescent="0.2">
      <c r="C98" s="43"/>
      <c r="D98" s="62">
        <v>82</v>
      </c>
      <c r="E98" s="158">
        <f t="shared" si="9"/>
        <v>2037847.9561851893</v>
      </c>
      <c r="F98" s="158">
        <f t="shared" si="8"/>
        <v>14506.51994641379</v>
      </c>
      <c r="G98" s="158">
        <f t="shared" si="7"/>
        <v>10189.239780925947</v>
      </c>
      <c r="H98" s="158">
        <f t="shared" si="5"/>
        <v>4317.2801654878422</v>
      </c>
      <c r="I98" s="159">
        <f t="shared" si="6"/>
        <v>2033530.6760197014</v>
      </c>
    </row>
    <row r="99" spans="3:10" x14ac:dyDescent="0.2">
      <c r="C99" s="43"/>
      <c r="D99" s="62">
        <v>83</v>
      </c>
      <c r="E99" s="158">
        <f t="shared" si="9"/>
        <v>2033530.6760197014</v>
      </c>
      <c r="F99" s="158">
        <f t="shared" si="8"/>
        <v>14506.51994641379</v>
      </c>
      <c r="G99" s="158">
        <f t="shared" si="7"/>
        <v>10167.653380098507</v>
      </c>
      <c r="H99" s="158">
        <f t="shared" si="5"/>
        <v>4338.8665663152824</v>
      </c>
      <c r="I99" s="159">
        <f t="shared" si="6"/>
        <v>2029191.8094533861</v>
      </c>
    </row>
    <row r="100" spans="3:10" x14ac:dyDescent="0.2">
      <c r="C100" s="49">
        <v>7</v>
      </c>
      <c r="D100" s="161">
        <v>84</v>
      </c>
      <c r="E100" s="158">
        <f t="shared" si="9"/>
        <v>2029191.8094533861</v>
      </c>
      <c r="F100" s="158">
        <f t="shared" si="8"/>
        <v>14506.51994641379</v>
      </c>
      <c r="G100" s="158">
        <f t="shared" si="7"/>
        <v>10145.959047266932</v>
      </c>
      <c r="H100" s="158">
        <f t="shared" si="5"/>
        <v>4360.560899146858</v>
      </c>
      <c r="I100" s="159">
        <f t="shared" si="6"/>
        <v>2024831.2485542393</v>
      </c>
      <c r="J100" s="162">
        <f>+SUM(H89:H100)+SUM(G89:G100)</f>
        <v>174078.23935696547</v>
      </c>
    </row>
    <row r="101" spans="3:10" x14ac:dyDescent="0.2">
      <c r="C101" s="43"/>
      <c r="D101" s="62">
        <v>85</v>
      </c>
      <c r="E101" s="158">
        <f t="shared" si="9"/>
        <v>2024831.2485542393</v>
      </c>
      <c r="F101" s="158">
        <f t="shared" si="8"/>
        <v>14506.51994641379</v>
      </c>
      <c r="G101" s="158">
        <f t="shared" si="7"/>
        <v>10124.156242771196</v>
      </c>
      <c r="H101" s="158">
        <f t="shared" si="5"/>
        <v>4382.3637036425935</v>
      </c>
      <c r="I101" s="159">
        <f t="shared" si="6"/>
        <v>2020448.8848505968</v>
      </c>
    </row>
    <row r="102" spans="3:10" x14ac:dyDescent="0.2">
      <c r="C102" s="43"/>
      <c r="D102" s="62">
        <v>86</v>
      </c>
      <c r="E102" s="158">
        <f t="shared" si="9"/>
        <v>2020448.8848505968</v>
      </c>
      <c r="F102" s="158">
        <f t="shared" si="8"/>
        <v>14506.51994641379</v>
      </c>
      <c r="G102" s="158">
        <f t="shared" si="7"/>
        <v>10102.244424252984</v>
      </c>
      <c r="H102" s="158">
        <f t="shared" si="5"/>
        <v>4404.2755221608058</v>
      </c>
      <c r="I102" s="159">
        <f t="shared" si="6"/>
        <v>2016044.609328436</v>
      </c>
    </row>
    <row r="103" spans="3:10" x14ac:dyDescent="0.2">
      <c r="C103" s="43"/>
      <c r="D103" s="62">
        <v>87</v>
      </c>
      <c r="E103" s="158">
        <f t="shared" si="9"/>
        <v>2016044.609328436</v>
      </c>
      <c r="F103" s="158">
        <f t="shared" si="8"/>
        <v>14506.51994641379</v>
      </c>
      <c r="G103" s="158">
        <f t="shared" si="7"/>
        <v>10080.223046642181</v>
      </c>
      <c r="H103" s="158">
        <f t="shared" si="5"/>
        <v>4426.2968997716089</v>
      </c>
      <c r="I103" s="159">
        <f t="shared" si="6"/>
        <v>2011618.3124286644</v>
      </c>
    </row>
    <row r="104" spans="3:10" x14ac:dyDescent="0.2">
      <c r="C104" s="43"/>
      <c r="D104" s="62">
        <v>88</v>
      </c>
      <c r="E104" s="158">
        <f t="shared" si="9"/>
        <v>2011618.3124286644</v>
      </c>
      <c r="F104" s="158">
        <f t="shared" si="8"/>
        <v>14506.51994641379</v>
      </c>
      <c r="G104" s="158">
        <f t="shared" si="7"/>
        <v>10058.091562143321</v>
      </c>
      <c r="H104" s="158">
        <f t="shared" si="5"/>
        <v>4448.4283842704681</v>
      </c>
      <c r="I104" s="159">
        <f t="shared" si="6"/>
        <v>2007169.8840443939</v>
      </c>
    </row>
    <row r="105" spans="3:10" x14ac:dyDescent="0.2">
      <c r="C105" s="43"/>
      <c r="D105" s="62">
        <v>89</v>
      </c>
      <c r="E105" s="158">
        <f t="shared" si="9"/>
        <v>2007169.8840443939</v>
      </c>
      <c r="F105" s="158">
        <f t="shared" si="8"/>
        <v>14506.51994641379</v>
      </c>
      <c r="G105" s="158">
        <f t="shared" si="7"/>
        <v>10035.84942022197</v>
      </c>
      <c r="H105" s="158">
        <f t="shared" si="5"/>
        <v>4470.6705261918196</v>
      </c>
      <c r="I105" s="159">
        <f t="shared" si="6"/>
        <v>2002699.2135182021</v>
      </c>
    </row>
    <row r="106" spans="3:10" x14ac:dyDescent="0.2">
      <c r="C106" s="43"/>
      <c r="D106" s="62">
        <v>90</v>
      </c>
      <c r="E106" s="158">
        <f t="shared" si="9"/>
        <v>2002699.2135182021</v>
      </c>
      <c r="F106" s="158">
        <f t="shared" si="8"/>
        <v>14506.51994641379</v>
      </c>
      <c r="G106" s="158">
        <f t="shared" si="7"/>
        <v>10013.49606759101</v>
      </c>
      <c r="H106" s="158">
        <f t="shared" si="5"/>
        <v>4493.0238788227798</v>
      </c>
      <c r="I106" s="159">
        <f t="shared" si="6"/>
        <v>1998206.1896393793</v>
      </c>
    </row>
    <row r="107" spans="3:10" x14ac:dyDescent="0.2">
      <c r="C107" s="43"/>
      <c r="D107" s="62">
        <v>91</v>
      </c>
      <c r="E107" s="158">
        <f t="shared" si="9"/>
        <v>1998206.1896393793</v>
      </c>
      <c r="F107" s="158">
        <f t="shared" si="8"/>
        <v>14506.51994641379</v>
      </c>
      <c r="G107" s="158">
        <f t="shared" si="7"/>
        <v>9991.0309481968961</v>
      </c>
      <c r="H107" s="158">
        <f t="shared" si="5"/>
        <v>4515.4889982168934</v>
      </c>
      <c r="I107" s="159">
        <f t="shared" si="6"/>
        <v>1993690.7006411625</v>
      </c>
    </row>
    <row r="108" spans="3:10" x14ac:dyDescent="0.2">
      <c r="C108" s="43"/>
      <c r="D108" s="62">
        <v>92</v>
      </c>
      <c r="E108" s="158">
        <f t="shared" si="9"/>
        <v>1993690.7006411625</v>
      </c>
      <c r="F108" s="158">
        <f t="shared" si="8"/>
        <v>14506.51994641379</v>
      </c>
      <c r="G108" s="158">
        <f t="shared" si="7"/>
        <v>9968.453503205812</v>
      </c>
      <c r="H108" s="158">
        <f t="shared" si="5"/>
        <v>4538.0664432079775</v>
      </c>
      <c r="I108" s="159">
        <f t="shared" si="6"/>
        <v>1989152.6341979546</v>
      </c>
    </row>
    <row r="109" spans="3:10" x14ac:dyDescent="0.2">
      <c r="C109" s="43"/>
      <c r="D109" s="62">
        <v>93</v>
      </c>
      <c r="E109" s="158">
        <f t="shared" si="9"/>
        <v>1989152.6341979546</v>
      </c>
      <c r="F109" s="158">
        <f t="shared" si="8"/>
        <v>14506.51994641379</v>
      </c>
      <c r="G109" s="158">
        <f t="shared" si="7"/>
        <v>9945.7631709897723</v>
      </c>
      <c r="H109" s="158">
        <f t="shared" si="5"/>
        <v>4560.7567754240172</v>
      </c>
      <c r="I109" s="159">
        <f t="shared" si="6"/>
        <v>1984591.8774225304</v>
      </c>
    </row>
    <row r="110" spans="3:10" x14ac:dyDescent="0.2">
      <c r="C110" s="43"/>
      <c r="D110" s="62">
        <v>94</v>
      </c>
      <c r="E110" s="158">
        <f t="shared" si="9"/>
        <v>1984591.8774225304</v>
      </c>
      <c r="F110" s="158">
        <f t="shared" si="8"/>
        <v>14506.51994641379</v>
      </c>
      <c r="G110" s="158">
        <f t="shared" si="7"/>
        <v>9922.9593871126526</v>
      </c>
      <c r="H110" s="158">
        <f t="shared" si="5"/>
        <v>4583.5605593011369</v>
      </c>
      <c r="I110" s="159">
        <f t="shared" si="6"/>
        <v>1980008.3168632293</v>
      </c>
    </row>
    <row r="111" spans="3:10" x14ac:dyDescent="0.2">
      <c r="C111" s="43"/>
      <c r="D111" s="62">
        <v>95</v>
      </c>
      <c r="E111" s="158">
        <f t="shared" si="9"/>
        <v>1980008.3168632293</v>
      </c>
      <c r="F111" s="158">
        <f t="shared" si="8"/>
        <v>14506.51994641379</v>
      </c>
      <c r="G111" s="158">
        <f t="shared" si="7"/>
        <v>9900.0415843161463</v>
      </c>
      <c r="H111" s="158">
        <f t="shared" si="5"/>
        <v>4606.4783620976432</v>
      </c>
      <c r="I111" s="159">
        <f t="shared" si="6"/>
        <v>1975401.8385011316</v>
      </c>
    </row>
    <row r="112" spans="3:10" x14ac:dyDescent="0.2">
      <c r="C112" s="49">
        <v>8</v>
      </c>
      <c r="D112" s="161">
        <v>96</v>
      </c>
      <c r="E112" s="158">
        <f t="shared" si="9"/>
        <v>1975401.8385011316</v>
      </c>
      <c r="F112" s="158">
        <f t="shared" si="8"/>
        <v>14506.51994641379</v>
      </c>
      <c r="G112" s="158">
        <f t="shared" si="7"/>
        <v>9877.0091925056586</v>
      </c>
      <c r="H112" s="158">
        <f t="shared" si="5"/>
        <v>4629.5107539081309</v>
      </c>
      <c r="I112" s="159">
        <f t="shared" si="6"/>
        <v>1970772.3277472234</v>
      </c>
      <c r="J112" s="162">
        <f>+SUM(H101:H112)+SUM(G101:G112)</f>
        <v>174078.23935696547</v>
      </c>
    </row>
    <row r="113" spans="3:10" x14ac:dyDescent="0.2">
      <c r="C113" s="43"/>
      <c r="D113" s="62">
        <v>97</v>
      </c>
      <c r="E113" s="158">
        <f t="shared" si="9"/>
        <v>1970772.3277472234</v>
      </c>
      <c r="F113" s="158">
        <f t="shared" si="8"/>
        <v>14506.51994641379</v>
      </c>
      <c r="G113" s="158">
        <f t="shared" si="7"/>
        <v>9853.861638736118</v>
      </c>
      <c r="H113" s="158">
        <f t="shared" si="5"/>
        <v>4652.6583076776715</v>
      </c>
      <c r="I113" s="159">
        <f t="shared" si="6"/>
        <v>1966119.6694395458</v>
      </c>
    </row>
    <row r="114" spans="3:10" x14ac:dyDescent="0.2">
      <c r="C114" s="43"/>
      <c r="D114" s="62">
        <v>98</v>
      </c>
      <c r="E114" s="158">
        <f t="shared" si="9"/>
        <v>1966119.6694395458</v>
      </c>
      <c r="F114" s="158">
        <f t="shared" si="8"/>
        <v>14506.51994641379</v>
      </c>
      <c r="G114" s="158">
        <f t="shared" si="7"/>
        <v>9830.5983471977288</v>
      </c>
      <c r="H114" s="158">
        <f t="shared" si="5"/>
        <v>4675.9215992160607</v>
      </c>
      <c r="I114" s="159">
        <f t="shared" si="6"/>
        <v>1961443.7478403298</v>
      </c>
    </row>
    <row r="115" spans="3:10" x14ac:dyDescent="0.2">
      <c r="C115" s="43"/>
      <c r="D115" s="62">
        <v>99</v>
      </c>
      <c r="E115" s="158">
        <f t="shared" si="9"/>
        <v>1961443.7478403298</v>
      </c>
      <c r="F115" s="158">
        <f t="shared" si="8"/>
        <v>14506.51994641379</v>
      </c>
      <c r="G115" s="158">
        <f t="shared" si="7"/>
        <v>9807.2187392016494</v>
      </c>
      <c r="H115" s="158">
        <f t="shared" si="5"/>
        <v>4699.3012072121401</v>
      </c>
      <c r="I115" s="159">
        <f t="shared" si="6"/>
        <v>1956744.4466331177</v>
      </c>
    </row>
    <row r="116" spans="3:10" x14ac:dyDescent="0.2">
      <c r="C116" s="43"/>
      <c r="D116" s="62">
        <v>100</v>
      </c>
      <c r="E116" s="158">
        <f t="shared" si="9"/>
        <v>1956744.4466331177</v>
      </c>
      <c r="F116" s="158">
        <f t="shared" si="8"/>
        <v>14506.51994641379</v>
      </c>
      <c r="G116" s="158">
        <f t="shared" si="7"/>
        <v>9783.7222331655885</v>
      </c>
      <c r="H116" s="158">
        <f t="shared" si="5"/>
        <v>4722.797713248201</v>
      </c>
      <c r="I116" s="159">
        <f t="shared" si="6"/>
        <v>1952021.6489198694</v>
      </c>
    </row>
    <row r="117" spans="3:10" x14ac:dyDescent="0.2">
      <c r="C117" s="43"/>
      <c r="D117" s="62">
        <v>101</v>
      </c>
      <c r="E117" s="158">
        <f t="shared" si="9"/>
        <v>1952021.6489198694</v>
      </c>
      <c r="F117" s="158">
        <f t="shared" si="8"/>
        <v>14506.51994641379</v>
      </c>
      <c r="G117" s="158">
        <f t="shared" si="7"/>
        <v>9760.108244599347</v>
      </c>
      <c r="H117" s="158">
        <f t="shared" si="5"/>
        <v>4746.4117018144425</v>
      </c>
      <c r="I117" s="159">
        <f t="shared" si="6"/>
        <v>1947275.2372180549</v>
      </c>
    </row>
    <row r="118" spans="3:10" x14ac:dyDescent="0.2">
      <c r="C118" s="43"/>
      <c r="D118" s="62">
        <v>102</v>
      </c>
      <c r="E118" s="158">
        <f t="shared" si="9"/>
        <v>1947275.2372180549</v>
      </c>
      <c r="F118" s="158">
        <f t="shared" si="8"/>
        <v>14506.51994641379</v>
      </c>
      <c r="G118" s="158">
        <f t="shared" si="7"/>
        <v>9736.3761860902741</v>
      </c>
      <c r="H118" s="158">
        <f t="shared" si="5"/>
        <v>4770.1437603235154</v>
      </c>
      <c r="I118" s="159">
        <f t="shared" si="6"/>
        <v>1942505.0934577314</v>
      </c>
    </row>
    <row r="119" spans="3:10" x14ac:dyDescent="0.2">
      <c r="C119" s="43"/>
      <c r="D119" s="62">
        <v>103</v>
      </c>
      <c r="E119" s="158">
        <f t="shared" si="9"/>
        <v>1942505.0934577314</v>
      </c>
      <c r="F119" s="158">
        <f t="shared" si="8"/>
        <v>14506.51994641379</v>
      </c>
      <c r="G119" s="158">
        <f t="shared" si="7"/>
        <v>9712.5254672886567</v>
      </c>
      <c r="H119" s="158">
        <f t="shared" si="5"/>
        <v>4793.9944791251328</v>
      </c>
      <c r="I119" s="159">
        <f t="shared" si="6"/>
        <v>1937711.0989786063</v>
      </c>
    </row>
    <row r="120" spans="3:10" x14ac:dyDescent="0.2">
      <c r="C120" s="43"/>
      <c r="D120" s="62">
        <v>104</v>
      </c>
      <c r="E120" s="158">
        <f t="shared" si="9"/>
        <v>1937711.0989786063</v>
      </c>
      <c r="F120" s="158">
        <f t="shared" si="8"/>
        <v>14506.51994641379</v>
      </c>
      <c r="G120" s="158">
        <f t="shared" si="7"/>
        <v>9688.5554948930312</v>
      </c>
      <c r="H120" s="158">
        <f t="shared" si="5"/>
        <v>4817.9644515207583</v>
      </c>
      <c r="I120" s="159">
        <f t="shared" si="6"/>
        <v>1932893.1345270856</v>
      </c>
    </row>
    <row r="121" spans="3:10" x14ac:dyDescent="0.2">
      <c r="C121" s="43"/>
      <c r="D121" s="62">
        <v>105</v>
      </c>
      <c r="E121" s="158">
        <f t="shared" si="9"/>
        <v>1932893.1345270856</v>
      </c>
      <c r="F121" s="158">
        <f t="shared" si="8"/>
        <v>14506.51994641379</v>
      </c>
      <c r="G121" s="158">
        <f t="shared" si="7"/>
        <v>9664.4656726354278</v>
      </c>
      <c r="H121" s="158">
        <f t="shared" si="5"/>
        <v>4842.0542737783617</v>
      </c>
      <c r="I121" s="159">
        <f t="shared" si="6"/>
        <v>1928051.0802533072</v>
      </c>
    </row>
    <row r="122" spans="3:10" x14ac:dyDescent="0.2">
      <c r="C122" s="43"/>
      <c r="D122" s="62">
        <v>106</v>
      </c>
      <c r="E122" s="158">
        <f t="shared" si="9"/>
        <v>1928051.0802533072</v>
      </c>
      <c r="F122" s="158">
        <f t="shared" si="8"/>
        <v>14506.51994641379</v>
      </c>
      <c r="G122" s="158">
        <f t="shared" si="7"/>
        <v>9640.2554012665369</v>
      </c>
      <c r="H122" s="158">
        <f t="shared" si="5"/>
        <v>4866.2645451472526</v>
      </c>
      <c r="I122" s="159">
        <f t="shared" si="6"/>
        <v>1923184.8157081599</v>
      </c>
    </row>
    <row r="123" spans="3:10" x14ac:dyDescent="0.2">
      <c r="C123" s="43"/>
      <c r="D123" s="62">
        <v>107</v>
      </c>
      <c r="E123" s="158">
        <f t="shared" si="9"/>
        <v>1923184.8157081599</v>
      </c>
      <c r="F123" s="158">
        <f t="shared" si="8"/>
        <v>14506.51994641379</v>
      </c>
      <c r="G123" s="158">
        <f t="shared" si="7"/>
        <v>9615.9240785408001</v>
      </c>
      <c r="H123" s="158">
        <f t="shared" si="5"/>
        <v>4890.5958678729894</v>
      </c>
      <c r="I123" s="159">
        <f t="shared" si="6"/>
        <v>1918294.219840287</v>
      </c>
    </row>
    <row r="124" spans="3:10" x14ac:dyDescent="0.2">
      <c r="C124" s="49">
        <v>9</v>
      </c>
      <c r="D124" s="161">
        <v>108</v>
      </c>
      <c r="E124" s="158">
        <f t="shared" si="9"/>
        <v>1918294.219840287</v>
      </c>
      <c r="F124" s="158">
        <f t="shared" si="8"/>
        <v>14506.51994641379</v>
      </c>
      <c r="G124" s="158">
        <f t="shared" si="7"/>
        <v>9591.4710992014352</v>
      </c>
      <c r="H124" s="158">
        <f t="shared" si="5"/>
        <v>4915.0488472123543</v>
      </c>
      <c r="I124" s="159">
        <f t="shared" si="6"/>
        <v>1913379.1709930745</v>
      </c>
      <c r="J124" s="162">
        <f>+SUM(H113:H124)+SUM(G113:G124)</f>
        <v>174078.23935696547</v>
      </c>
    </row>
    <row r="125" spans="3:10" x14ac:dyDescent="0.2">
      <c r="C125" s="43"/>
      <c r="D125" s="62">
        <v>109</v>
      </c>
      <c r="E125" s="158">
        <f t="shared" si="9"/>
        <v>1913379.1709930745</v>
      </c>
      <c r="F125" s="158">
        <f t="shared" si="8"/>
        <v>14506.51994641379</v>
      </c>
      <c r="G125" s="158">
        <f t="shared" si="7"/>
        <v>9566.8958549653726</v>
      </c>
      <c r="H125" s="158">
        <f t="shared" si="5"/>
        <v>4939.6240914484169</v>
      </c>
      <c r="I125" s="159">
        <f t="shared" si="6"/>
        <v>1908439.546901626</v>
      </c>
    </row>
    <row r="126" spans="3:10" x14ac:dyDescent="0.2">
      <c r="C126" s="43"/>
      <c r="D126" s="62">
        <v>110</v>
      </c>
      <c r="E126" s="158">
        <f t="shared" si="9"/>
        <v>1908439.546901626</v>
      </c>
      <c r="F126" s="158">
        <f t="shared" si="8"/>
        <v>14506.51994641379</v>
      </c>
      <c r="G126" s="158">
        <f t="shared" si="7"/>
        <v>9542.1977345081305</v>
      </c>
      <c r="H126" s="158">
        <f t="shared" si="5"/>
        <v>4964.3222119056591</v>
      </c>
      <c r="I126" s="159">
        <f t="shared" si="6"/>
        <v>1903475.2246897204</v>
      </c>
    </row>
    <row r="127" spans="3:10" x14ac:dyDescent="0.2">
      <c r="C127" s="43"/>
      <c r="D127" s="62">
        <v>111</v>
      </c>
      <c r="E127" s="158">
        <f t="shared" si="9"/>
        <v>1903475.2246897204</v>
      </c>
      <c r="F127" s="158">
        <f t="shared" si="8"/>
        <v>14506.51994641379</v>
      </c>
      <c r="G127" s="158">
        <f t="shared" si="7"/>
        <v>9517.3761234486028</v>
      </c>
      <c r="H127" s="158">
        <f t="shared" si="5"/>
        <v>4989.1438229651867</v>
      </c>
      <c r="I127" s="159">
        <f t="shared" si="6"/>
        <v>1898486.0808667552</v>
      </c>
    </row>
    <row r="128" spans="3:10" x14ac:dyDescent="0.2">
      <c r="C128" s="43"/>
      <c r="D128" s="62">
        <v>112</v>
      </c>
      <c r="E128" s="158">
        <f t="shared" si="9"/>
        <v>1898486.0808667552</v>
      </c>
      <c r="F128" s="158">
        <f t="shared" si="8"/>
        <v>14506.51994641379</v>
      </c>
      <c r="G128" s="158">
        <f t="shared" si="7"/>
        <v>9492.4304043337761</v>
      </c>
      <c r="H128" s="158">
        <f t="shared" si="5"/>
        <v>5014.0895420800134</v>
      </c>
      <c r="I128" s="159">
        <f t="shared" si="6"/>
        <v>1893471.9913246753</v>
      </c>
    </row>
    <row r="129" spans="3:10" x14ac:dyDescent="0.2">
      <c r="C129" s="43"/>
      <c r="D129" s="62">
        <v>113</v>
      </c>
      <c r="E129" s="158">
        <f t="shared" si="9"/>
        <v>1893471.9913246753</v>
      </c>
      <c r="F129" s="158">
        <f t="shared" si="8"/>
        <v>14506.51994641379</v>
      </c>
      <c r="G129" s="158">
        <f t="shared" si="7"/>
        <v>9467.359956623377</v>
      </c>
      <c r="H129" s="158">
        <f t="shared" si="5"/>
        <v>5039.1599897904125</v>
      </c>
      <c r="I129" s="159">
        <f t="shared" si="6"/>
        <v>1888432.8313348847</v>
      </c>
    </row>
    <row r="130" spans="3:10" x14ac:dyDescent="0.2">
      <c r="C130" s="43"/>
      <c r="D130" s="62">
        <v>114</v>
      </c>
      <c r="E130" s="158">
        <f t="shared" si="9"/>
        <v>1888432.8313348847</v>
      </c>
      <c r="F130" s="158">
        <f t="shared" si="8"/>
        <v>14506.51994641379</v>
      </c>
      <c r="G130" s="158">
        <f t="shared" si="7"/>
        <v>9442.1641566744238</v>
      </c>
      <c r="H130" s="158">
        <f t="shared" si="5"/>
        <v>5064.3557897393657</v>
      </c>
      <c r="I130" s="159">
        <f t="shared" si="6"/>
        <v>1883368.4755451453</v>
      </c>
    </row>
    <row r="131" spans="3:10" x14ac:dyDescent="0.2">
      <c r="C131" s="43"/>
      <c r="D131" s="62">
        <v>115</v>
      </c>
      <c r="E131" s="158">
        <f t="shared" si="9"/>
        <v>1883368.4755451453</v>
      </c>
      <c r="F131" s="158">
        <f t="shared" si="8"/>
        <v>14506.51994641379</v>
      </c>
      <c r="G131" s="158">
        <f t="shared" si="7"/>
        <v>9416.8423777257267</v>
      </c>
      <c r="H131" s="158">
        <f t="shared" si="5"/>
        <v>5089.6775686880628</v>
      </c>
      <c r="I131" s="159">
        <f t="shared" si="6"/>
        <v>1878278.7979764573</v>
      </c>
    </row>
    <row r="132" spans="3:10" x14ac:dyDescent="0.2">
      <c r="C132" s="43"/>
      <c r="D132" s="62">
        <v>116</v>
      </c>
      <c r="E132" s="158">
        <f t="shared" si="9"/>
        <v>1878278.7979764573</v>
      </c>
      <c r="F132" s="158">
        <f t="shared" si="8"/>
        <v>14506.51994641379</v>
      </c>
      <c r="G132" s="158">
        <f t="shared" si="7"/>
        <v>9391.3939898822864</v>
      </c>
      <c r="H132" s="158">
        <f t="shared" si="5"/>
        <v>5115.1259565315031</v>
      </c>
      <c r="I132" s="159">
        <f t="shared" si="6"/>
        <v>1873163.6720199257</v>
      </c>
    </row>
    <row r="133" spans="3:10" x14ac:dyDescent="0.2">
      <c r="C133" s="43"/>
      <c r="D133" s="62">
        <v>117</v>
      </c>
      <c r="E133" s="158">
        <f t="shared" si="9"/>
        <v>1873163.6720199257</v>
      </c>
      <c r="F133" s="158">
        <f t="shared" si="8"/>
        <v>14506.51994641379</v>
      </c>
      <c r="G133" s="158">
        <f t="shared" si="7"/>
        <v>9365.818360099629</v>
      </c>
      <c r="H133" s="158">
        <f t="shared" si="5"/>
        <v>5140.7015863141605</v>
      </c>
      <c r="I133" s="159">
        <f t="shared" si="6"/>
        <v>1868022.9704336114</v>
      </c>
    </row>
    <row r="134" spans="3:10" x14ac:dyDescent="0.2">
      <c r="C134" s="43"/>
      <c r="D134" s="62">
        <v>118</v>
      </c>
      <c r="E134" s="158">
        <f t="shared" si="9"/>
        <v>1868022.9704336114</v>
      </c>
      <c r="F134" s="158">
        <f t="shared" si="8"/>
        <v>14506.51994641379</v>
      </c>
      <c r="G134" s="158">
        <f t="shared" si="7"/>
        <v>9340.114852168057</v>
      </c>
      <c r="H134" s="158">
        <f t="shared" si="5"/>
        <v>5166.4050942457325</v>
      </c>
      <c r="I134" s="159">
        <f t="shared" si="6"/>
        <v>1862856.5653393657</v>
      </c>
    </row>
    <row r="135" spans="3:10" x14ac:dyDescent="0.2">
      <c r="C135" s="43"/>
      <c r="D135" s="62">
        <v>119</v>
      </c>
      <c r="E135" s="158">
        <f t="shared" si="9"/>
        <v>1862856.5653393657</v>
      </c>
      <c r="F135" s="158">
        <f t="shared" si="8"/>
        <v>14506.51994641379</v>
      </c>
      <c r="G135" s="158">
        <f t="shared" si="7"/>
        <v>9314.2828266968281</v>
      </c>
      <c r="H135" s="158">
        <f t="shared" si="5"/>
        <v>5192.2371197169614</v>
      </c>
      <c r="I135" s="159">
        <f t="shared" si="6"/>
        <v>1857664.3282196487</v>
      </c>
    </row>
    <row r="136" spans="3:10" x14ac:dyDescent="0.2">
      <c r="C136" s="49">
        <v>10</v>
      </c>
      <c r="D136" s="161">
        <v>120</v>
      </c>
      <c r="E136" s="158">
        <f t="shared" si="9"/>
        <v>1857664.3282196487</v>
      </c>
      <c r="F136" s="158">
        <f t="shared" si="8"/>
        <v>14506.51994641379</v>
      </c>
      <c r="G136" s="158">
        <f t="shared" si="7"/>
        <v>9288.3216410982441</v>
      </c>
      <c r="H136" s="158">
        <f t="shared" si="5"/>
        <v>5218.1983053155454</v>
      </c>
      <c r="I136" s="159">
        <f t="shared" si="6"/>
        <v>1852446.1299143331</v>
      </c>
      <c r="J136" s="162">
        <f>+SUM(H125:H136)+SUM(G125:G136)</f>
        <v>174078.23935696547</v>
      </c>
    </row>
    <row r="137" spans="3:10" x14ac:dyDescent="0.2">
      <c r="C137" s="43"/>
      <c r="D137" s="62">
        <v>121</v>
      </c>
      <c r="E137" s="158">
        <f t="shared" si="9"/>
        <v>1852446.1299143331</v>
      </c>
      <c r="F137" s="158">
        <f t="shared" si="8"/>
        <v>14506.51994641379</v>
      </c>
      <c r="G137" s="158">
        <f t="shared" si="7"/>
        <v>9262.2306495716657</v>
      </c>
      <c r="H137" s="158">
        <f t="shared" si="5"/>
        <v>5244.2892968421238</v>
      </c>
      <c r="I137" s="159">
        <f t="shared" si="6"/>
        <v>1847201.8406174909</v>
      </c>
    </row>
    <row r="138" spans="3:10" x14ac:dyDescent="0.2">
      <c r="C138" s="43"/>
      <c r="D138" s="62">
        <v>122</v>
      </c>
      <c r="E138" s="158">
        <f t="shared" si="9"/>
        <v>1847201.8406174909</v>
      </c>
      <c r="F138" s="158">
        <f t="shared" si="8"/>
        <v>14506.51994641379</v>
      </c>
      <c r="G138" s="158">
        <f t="shared" si="7"/>
        <v>9236.0092030874548</v>
      </c>
      <c r="H138" s="158">
        <f t="shared" si="5"/>
        <v>5270.5107433263347</v>
      </c>
      <c r="I138" s="159">
        <f t="shared" si="6"/>
        <v>1841931.3298741647</v>
      </c>
    </row>
    <row r="139" spans="3:10" x14ac:dyDescent="0.2">
      <c r="C139" s="43"/>
      <c r="D139" s="62">
        <v>123</v>
      </c>
      <c r="E139" s="158">
        <f t="shared" si="9"/>
        <v>1841931.3298741647</v>
      </c>
      <c r="F139" s="158">
        <f t="shared" si="8"/>
        <v>14506.51994641379</v>
      </c>
      <c r="G139" s="158">
        <f t="shared" si="7"/>
        <v>9209.6566493708233</v>
      </c>
      <c r="H139" s="158">
        <f t="shared" si="5"/>
        <v>5296.8632970429662</v>
      </c>
      <c r="I139" s="159">
        <f t="shared" si="6"/>
        <v>1836634.4665771218</v>
      </c>
    </row>
    <row r="140" spans="3:10" x14ac:dyDescent="0.2">
      <c r="C140" s="43"/>
      <c r="D140" s="62">
        <v>124</v>
      </c>
      <c r="E140" s="158">
        <f t="shared" si="9"/>
        <v>1836634.4665771218</v>
      </c>
      <c r="F140" s="158">
        <f t="shared" si="8"/>
        <v>14506.51994641379</v>
      </c>
      <c r="G140" s="158">
        <f t="shared" si="7"/>
        <v>9183.1723328856096</v>
      </c>
      <c r="H140" s="158">
        <f t="shared" si="5"/>
        <v>5323.3476135281799</v>
      </c>
      <c r="I140" s="159">
        <f t="shared" si="6"/>
        <v>1831311.1189635936</v>
      </c>
    </row>
    <row r="141" spans="3:10" x14ac:dyDescent="0.2">
      <c r="C141" s="43"/>
      <c r="D141" s="62">
        <v>125</v>
      </c>
      <c r="E141" s="158">
        <f t="shared" si="9"/>
        <v>1831311.1189635936</v>
      </c>
      <c r="F141" s="158">
        <f t="shared" si="8"/>
        <v>14506.51994641379</v>
      </c>
      <c r="G141" s="158">
        <f t="shared" si="7"/>
        <v>9156.5555948179681</v>
      </c>
      <c r="H141" s="158">
        <f t="shared" si="5"/>
        <v>5349.9643515958214</v>
      </c>
      <c r="I141" s="159">
        <f t="shared" si="6"/>
        <v>1825961.1546119978</v>
      </c>
    </row>
    <row r="142" spans="3:10" x14ac:dyDescent="0.2">
      <c r="C142" s="43"/>
      <c r="D142" s="62">
        <v>126</v>
      </c>
      <c r="E142" s="158">
        <f t="shared" si="9"/>
        <v>1825961.1546119978</v>
      </c>
      <c r="F142" s="158">
        <f t="shared" si="8"/>
        <v>14506.51994641379</v>
      </c>
      <c r="G142" s="158">
        <f t="shared" si="7"/>
        <v>9129.8057730599885</v>
      </c>
      <c r="H142" s="158">
        <f t="shared" si="5"/>
        <v>5376.714173353801</v>
      </c>
      <c r="I142" s="159">
        <f t="shared" si="6"/>
        <v>1820584.440438644</v>
      </c>
    </row>
    <row r="143" spans="3:10" x14ac:dyDescent="0.2">
      <c r="C143" s="43"/>
      <c r="D143" s="62">
        <v>127</v>
      </c>
      <c r="E143" s="158">
        <f t="shared" si="9"/>
        <v>1820584.440438644</v>
      </c>
      <c r="F143" s="158">
        <f t="shared" si="8"/>
        <v>14506.51994641379</v>
      </c>
      <c r="G143" s="158">
        <f t="shared" si="7"/>
        <v>9102.9222021932201</v>
      </c>
      <c r="H143" s="158">
        <f t="shared" si="5"/>
        <v>5403.5977442205694</v>
      </c>
      <c r="I143" s="159">
        <f t="shared" si="6"/>
        <v>1815180.8426944234</v>
      </c>
    </row>
    <row r="144" spans="3:10" x14ac:dyDescent="0.2">
      <c r="C144" s="43"/>
      <c r="D144" s="62">
        <v>128</v>
      </c>
      <c r="E144" s="158">
        <f t="shared" si="9"/>
        <v>1815180.8426944234</v>
      </c>
      <c r="F144" s="158">
        <f t="shared" si="8"/>
        <v>14506.51994641379</v>
      </c>
      <c r="G144" s="158">
        <f t="shared" si="7"/>
        <v>9075.9042134721167</v>
      </c>
      <c r="H144" s="158">
        <f t="shared" si="5"/>
        <v>5430.6157329416728</v>
      </c>
      <c r="I144" s="159">
        <f t="shared" si="6"/>
        <v>1809750.2269614816</v>
      </c>
    </row>
    <row r="145" spans="3:10" x14ac:dyDescent="0.2">
      <c r="C145" s="43"/>
      <c r="D145" s="62">
        <v>129</v>
      </c>
      <c r="E145" s="158">
        <f t="shared" si="9"/>
        <v>1809750.2269614816</v>
      </c>
      <c r="F145" s="158">
        <f t="shared" si="8"/>
        <v>14506.51994641379</v>
      </c>
      <c r="G145" s="158">
        <f t="shared" si="7"/>
        <v>9048.7511348074077</v>
      </c>
      <c r="H145" s="158">
        <f t="shared" ref="H145:H208" si="10">F145-G145</f>
        <v>5457.7688116063819</v>
      </c>
      <c r="I145" s="159">
        <f t="shared" ref="I145:I208" si="11">E145-H145</f>
        <v>1804292.4581498753</v>
      </c>
    </row>
    <row r="146" spans="3:10" x14ac:dyDescent="0.2">
      <c r="C146" s="43"/>
      <c r="D146" s="62">
        <v>130</v>
      </c>
      <c r="E146" s="158">
        <f t="shared" si="9"/>
        <v>1804292.4581498753</v>
      </c>
      <c r="F146" s="158">
        <f t="shared" si="8"/>
        <v>14506.51994641379</v>
      </c>
      <c r="G146" s="158">
        <f t="shared" ref="G146:G209" si="12">IF(D146&gt;$D$10,0,($D$6/12)*I145)</f>
        <v>9021.4622907493758</v>
      </c>
      <c r="H146" s="158">
        <f t="shared" si="10"/>
        <v>5485.0576556644137</v>
      </c>
      <c r="I146" s="159">
        <f t="shared" si="11"/>
        <v>1798807.4004942109</v>
      </c>
    </row>
    <row r="147" spans="3:10" x14ac:dyDescent="0.2">
      <c r="C147" s="43"/>
      <c r="D147" s="62">
        <v>131</v>
      </c>
      <c r="E147" s="158">
        <f t="shared" si="9"/>
        <v>1798807.4004942109</v>
      </c>
      <c r="F147" s="158">
        <f t="shared" si="8"/>
        <v>14506.51994641379</v>
      </c>
      <c r="G147" s="158">
        <f t="shared" si="12"/>
        <v>8994.0370024710555</v>
      </c>
      <c r="H147" s="158">
        <f t="shared" si="10"/>
        <v>5512.482943942734</v>
      </c>
      <c r="I147" s="159">
        <f t="shared" si="11"/>
        <v>1793294.9175502681</v>
      </c>
    </row>
    <row r="148" spans="3:10" x14ac:dyDescent="0.2">
      <c r="C148" s="49">
        <v>11</v>
      </c>
      <c r="D148" s="161">
        <v>132</v>
      </c>
      <c r="E148" s="158">
        <f t="shared" si="9"/>
        <v>1793294.9175502681</v>
      </c>
      <c r="F148" s="158">
        <f t="shared" si="8"/>
        <v>14506.51994641379</v>
      </c>
      <c r="G148" s="158">
        <f t="shared" si="12"/>
        <v>8966.4745877513415</v>
      </c>
      <c r="H148" s="158">
        <f t="shared" si="10"/>
        <v>5540.0453586624481</v>
      </c>
      <c r="I148" s="159">
        <f t="shared" si="11"/>
        <v>1787754.8721916056</v>
      </c>
      <c r="J148" s="162">
        <f>+SUM(H137:H148)+SUM(G137:G148)</f>
        <v>174078.2393569655</v>
      </c>
    </row>
    <row r="149" spans="3:10" x14ac:dyDescent="0.2">
      <c r="C149" s="43"/>
      <c r="D149" s="62">
        <v>133</v>
      </c>
      <c r="E149" s="158">
        <f t="shared" si="9"/>
        <v>1787754.8721916056</v>
      </c>
      <c r="F149" s="158">
        <f t="shared" ref="F149:F212" si="13">IF(D149&gt;$D$10,0,IF(D149&lt;=$D$8,G149,-PMT($D$6/12,$D$9,$D$5,0,0)))</f>
        <v>14506.51994641379</v>
      </c>
      <c r="G149" s="158">
        <f t="shared" si="12"/>
        <v>8938.7743609580284</v>
      </c>
      <c r="H149" s="158">
        <f t="shared" si="10"/>
        <v>5567.7455854557611</v>
      </c>
      <c r="I149" s="159">
        <f t="shared" si="11"/>
        <v>1782187.1266061498</v>
      </c>
    </row>
    <row r="150" spans="3:10" x14ac:dyDescent="0.2">
      <c r="C150" s="43"/>
      <c r="D150" s="62">
        <v>134</v>
      </c>
      <c r="E150" s="158">
        <f t="shared" ref="E150:E213" si="14">IF(D150&gt;$D$10,0,I149)</f>
        <v>1782187.1266061498</v>
      </c>
      <c r="F150" s="158">
        <f t="shared" si="13"/>
        <v>14506.51994641379</v>
      </c>
      <c r="G150" s="158">
        <f t="shared" si="12"/>
        <v>8910.9356330307492</v>
      </c>
      <c r="H150" s="158">
        <f t="shared" si="10"/>
        <v>5595.5843133830404</v>
      </c>
      <c r="I150" s="159">
        <f t="shared" si="11"/>
        <v>1776591.5422927667</v>
      </c>
    </row>
    <row r="151" spans="3:10" x14ac:dyDescent="0.2">
      <c r="C151" s="43"/>
      <c r="D151" s="62">
        <v>135</v>
      </c>
      <c r="E151" s="158">
        <f t="shared" si="14"/>
        <v>1776591.5422927667</v>
      </c>
      <c r="F151" s="158">
        <f t="shared" si="13"/>
        <v>14506.51994641379</v>
      </c>
      <c r="G151" s="158">
        <f t="shared" si="12"/>
        <v>8882.9577114638341</v>
      </c>
      <c r="H151" s="158">
        <f t="shared" si="10"/>
        <v>5623.5622349499554</v>
      </c>
      <c r="I151" s="159">
        <f t="shared" si="11"/>
        <v>1770967.9800578167</v>
      </c>
    </row>
    <row r="152" spans="3:10" x14ac:dyDescent="0.2">
      <c r="C152" s="43"/>
      <c r="D152" s="62">
        <v>136</v>
      </c>
      <c r="E152" s="158">
        <f t="shared" si="14"/>
        <v>1770967.9800578167</v>
      </c>
      <c r="F152" s="158">
        <f t="shared" si="13"/>
        <v>14506.51994641379</v>
      </c>
      <c r="G152" s="158">
        <f t="shared" si="12"/>
        <v>8854.8399002890837</v>
      </c>
      <c r="H152" s="158">
        <f t="shared" si="10"/>
        <v>5651.6800461247058</v>
      </c>
      <c r="I152" s="159">
        <f t="shared" si="11"/>
        <v>1765316.3000116921</v>
      </c>
    </row>
    <row r="153" spans="3:10" x14ac:dyDescent="0.2">
      <c r="C153" s="43"/>
      <c r="D153" s="62">
        <v>137</v>
      </c>
      <c r="E153" s="158">
        <f t="shared" si="14"/>
        <v>1765316.3000116921</v>
      </c>
      <c r="F153" s="158">
        <f t="shared" si="13"/>
        <v>14506.51994641379</v>
      </c>
      <c r="G153" s="158">
        <f t="shared" si="12"/>
        <v>8826.5815000584607</v>
      </c>
      <c r="H153" s="158">
        <f t="shared" si="10"/>
        <v>5679.9384463553288</v>
      </c>
      <c r="I153" s="159">
        <f t="shared" si="11"/>
        <v>1759636.3615653368</v>
      </c>
    </row>
    <row r="154" spans="3:10" x14ac:dyDescent="0.2">
      <c r="C154" s="43"/>
      <c r="D154" s="62">
        <v>138</v>
      </c>
      <c r="E154" s="158">
        <f t="shared" si="14"/>
        <v>1759636.3615653368</v>
      </c>
      <c r="F154" s="158">
        <f t="shared" si="13"/>
        <v>14506.51994641379</v>
      </c>
      <c r="G154" s="158">
        <f t="shared" si="12"/>
        <v>8798.1818078266842</v>
      </c>
      <c r="H154" s="158">
        <f t="shared" si="10"/>
        <v>5708.3381385871053</v>
      </c>
      <c r="I154" s="159">
        <f t="shared" si="11"/>
        <v>1753928.0234267497</v>
      </c>
    </row>
    <row r="155" spans="3:10" x14ac:dyDescent="0.2">
      <c r="C155" s="43"/>
      <c r="D155" s="62">
        <v>139</v>
      </c>
      <c r="E155" s="158">
        <f t="shared" si="14"/>
        <v>1753928.0234267497</v>
      </c>
      <c r="F155" s="158">
        <f t="shared" si="13"/>
        <v>14506.51994641379</v>
      </c>
      <c r="G155" s="158">
        <f t="shared" si="12"/>
        <v>8769.6401171337493</v>
      </c>
      <c r="H155" s="158">
        <f t="shared" si="10"/>
        <v>5736.8798292800402</v>
      </c>
      <c r="I155" s="159">
        <f t="shared" si="11"/>
        <v>1748191.1435974697</v>
      </c>
    </row>
    <row r="156" spans="3:10" x14ac:dyDescent="0.2">
      <c r="C156" s="43"/>
      <c r="D156" s="62">
        <v>140</v>
      </c>
      <c r="E156" s="158">
        <f t="shared" si="14"/>
        <v>1748191.1435974697</v>
      </c>
      <c r="F156" s="158">
        <f t="shared" si="13"/>
        <v>14506.51994641379</v>
      </c>
      <c r="G156" s="158">
        <f t="shared" si="12"/>
        <v>8740.9557179873482</v>
      </c>
      <c r="H156" s="158">
        <f t="shared" si="10"/>
        <v>5765.5642284264413</v>
      </c>
      <c r="I156" s="159">
        <f t="shared" si="11"/>
        <v>1742425.5793690432</v>
      </c>
    </row>
    <row r="157" spans="3:10" x14ac:dyDescent="0.2">
      <c r="C157" s="43"/>
      <c r="D157" s="62">
        <v>141</v>
      </c>
      <c r="E157" s="158">
        <f t="shared" si="14"/>
        <v>1742425.5793690432</v>
      </c>
      <c r="F157" s="158">
        <f t="shared" si="13"/>
        <v>14506.51994641379</v>
      </c>
      <c r="G157" s="158">
        <f t="shared" si="12"/>
        <v>8712.127896845217</v>
      </c>
      <c r="H157" s="158">
        <f t="shared" si="10"/>
        <v>5794.3920495685725</v>
      </c>
      <c r="I157" s="159">
        <f t="shared" si="11"/>
        <v>1736631.1873194748</v>
      </c>
    </row>
    <row r="158" spans="3:10" x14ac:dyDescent="0.2">
      <c r="C158" s="43"/>
      <c r="D158" s="62">
        <v>142</v>
      </c>
      <c r="E158" s="158">
        <f t="shared" si="14"/>
        <v>1736631.1873194748</v>
      </c>
      <c r="F158" s="158">
        <f t="shared" si="13"/>
        <v>14506.51994641379</v>
      </c>
      <c r="G158" s="158">
        <f t="shared" si="12"/>
        <v>8683.1559365973735</v>
      </c>
      <c r="H158" s="158">
        <f t="shared" si="10"/>
        <v>5823.364009816416</v>
      </c>
      <c r="I158" s="159">
        <f t="shared" si="11"/>
        <v>1730807.8233096583</v>
      </c>
    </row>
    <row r="159" spans="3:10" x14ac:dyDescent="0.2">
      <c r="C159" s="43"/>
      <c r="D159" s="62">
        <v>143</v>
      </c>
      <c r="E159" s="158">
        <f t="shared" si="14"/>
        <v>1730807.8233096583</v>
      </c>
      <c r="F159" s="158">
        <f t="shared" si="13"/>
        <v>14506.51994641379</v>
      </c>
      <c r="G159" s="158">
        <f t="shared" si="12"/>
        <v>8654.0391165482924</v>
      </c>
      <c r="H159" s="158">
        <f t="shared" si="10"/>
        <v>5852.4808298654971</v>
      </c>
      <c r="I159" s="159">
        <f t="shared" si="11"/>
        <v>1724955.3424797929</v>
      </c>
    </row>
    <row r="160" spans="3:10" x14ac:dyDescent="0.2">
      <c r="C160" s="49">
        <v>12</v>
      </c>
      <c r="D160" s="161">
        <v>144</v>
      </c>
      <c r="E160" s="158">
        <f t="shared" si="14"/>
        <v>1724955.3424797929</v>
      </c>
      <c r="F160" s="158">
        <f t="shared" si="13"/>
        <v>14506.51994641379</v>
      </c>
      <c r="G160" s="158">
        <f t="shared" si="12"/>
        <v>8624.7767123989652</v>
      </c>
      <c r="H160" s="158">
        <f t="shared" si="10"/>
        <v>5881.7432340148243</v>
      </c>
      <c r="I160" s="159">
        <f t="shared" si="11"/>
        <v>1719073.5992457781</v>
      </c>
    </row>
    <row r="161" spans="3:9" x14ac:dyDescent="0.2">
      <c r="C161" s="43"/>
      <c r="D161" s="62">
        <v>145</v>
      </c>
      <c r="E161" s="158">
        <f t="shared" si="14"/>
        <v>1719073.5992457781</v>
      </c>
      <c r="F161" s="158">
        <f t="shared" si="13"/>
        <v>14506.51994641379</v>
      </c>
      <c r="G161" s="158">
        <f t="shared" si="12"/>
        <v>8595.3679962288898</v>
      </c>
      <c r="H161" s="158">
        <f t="shared" si="10"/>
        <v>5911.1519501848998</v>
      </c>
      <c r="I161" s="159">
        <f t="shared" si="11"/>
        <v>1713162.4472955931</v>
      </c>
    </row>
    <row r="162" spans="3:9" x14ac:dyDescent="0.2">
      <c r="C162" s="43"/>
      <c r="D162" s="62">
        <v>146</v>
      </c>
      <c r="E162" s="158">
        <f t="shared" si="14"/>
        <v>1713162.4472955931</v>
      </c>
      <c r="F162" s="158">
        <f t="shared" si="13"/>
        <v>14506.51994641379</v>
      </c>
      <c r="G162" s="158">
        <f t="shared" si="12"/>
        <v>8565.8122364779665</v>
      </c>
      <c r="H162" s="158">
        <f t="shared" si="10"/>
        <v>5940.707709935823</v>
      </c>
      <c r="I162" s="159">
        <f t="shared" si="11"/>
        <v>1707221.7395856574</v>
      </c>
    </row>
    <row r="163" spans="3:9" x14ac:dyDescent="0.2">
      <c r="C163" s="43"/>
      <c r="D163" s="62">
        <v>147</v>
      </c>
      <c r="E163" s="158">
        <f t="shared" si="14"/>
        <v>1707221.7395856574</v>
      </c>
      <c r="F163" s="158">
        <f t="shared" si="13"/>
        <v>14506.51994641379</v>
      </c>
      <c r="G163" s="158">
        <f t="shared" si="12"/>
        <v>8536.1086979282863</v>
      </c>
      <c r="H163" s="158">
        <f t="shared" si="10"/>
        <v>5970.4112484855032</v>
      </c>
      <c r="I163" s="159">
        <f t="shared" si="11"/>
        <v>1701251.3283371718</v>
      </c>
    </row>
    <row r="164" spans="3:9" x14ac:dyDescent="0.2">
      <c r="C164" s="43"/>
      <c r="D164" s="62">
        <v>148</v>
      </c>
      <c r="E164" s="158">
        <f t="shared" si="14"/>
        <v>1701251.3283371718</v>
      </c>
      <c r="F164" s="158">
        <f t="shared" si="13"/>
        <v>14506.51994641379</v>
      </c>
      <c r="G164" s="158">
        <f t="shared" si="12"/>
        <v>8506.256641685859</v>
      </c>
      <c r="H164" s="158">
        <f t="shared" si="10"/>
        <v>6000.2633047279305</v>
      </c>
      <c r="I164" s="159">
        <f t="shared" si="11"/>
        <v>1695251.065032444</v>
      </c>
    </row>
    <row r="165" spans="3:9" x14ac:dyDescent="0.2">
      <c r="C165" s="43"/>
      <c r="D165" s="62">
        <v>149</v>
      </c>
      <c r="E165" s="158">
        <f t="shared" si="14"/>
        <v>1695251.065032444</v>
      </c>
      <c r="F165" s="158">
        <f t="shared" si="13"/>
        <v>14506.51994641379</v>
      </c>
      <c r="G165" s="158">
        <f t="shared" si="12"/>
        <v>8476.2553251622194</v>
      </c>
      <c r="H165" s="158">
        <f t="shared" si="10"/>
        <v>6030.2646212515701</v>
      </c>
      <c r="I165" s="159">
        <f t="shared" si="11"/>
        <v>1689220.8004111925</v>
      </c>
    </row>
    <row r="166" spans="3:9" x14ac:dyDescent="0.2">
      <c r="C166" s="43"/>
      <c r="D166" s="62">
        <v>150</v>
      </c>
      <c r="E166" s="158">
        <f t="shared" si="14"/>
        <v>1689220.8004111925</v>
      </c>
      <c r="F166" s="158">
        <f t="shared" si="13"/>
        <v>14506.51994641379</v>
      </c>
      <c r="G166" s="158">
        <f t="shared" si="12"/>
        <v>8446.1040020559631</v>
      </c>
      <c r="H166" s="158">
        <f t="shared" si="10"/>
        <v>6060.4159443578264</v>
      </c>
      <c r="I166" s="159">
        <f t="shared" si="11"/>
        <v>1683160.3844668346</v>
      </c>
    </row>
    <row r="167" spans="3:9" x14ac:dyDescent="0.2">
      <c r="C167" s="43"/>
      <c r="D167" s="62">
        <v>151</v>
      </c>
      <c r="E167" s="158">
        <f t="shared" si="14"/>
        <v>1683160.3844668346</v>
      </c>
      <c r="F167" s="158">
        <f t="shared" si="13"/>
        <v>14506.51994641379</v>
      </c>
      <c r="G167" s="158">
        <f t="shared" si="12"/>
        <v>8415.8019223341726</v>
      </c>
      <c r="H167" s="158">
        <f t="shared" si="10"/>
        <v>6090.718024079617</v>
      </c>
      <c r="I167" s="159">
        <f t="shared" si="11"/>
        <v>1677069.6664427549</v>
      </c>
    </row>
    <row r="168" spans="3:9" x14ac:dyDescent="0.2">
      <c r="C168" s="43"/>
      <c r="D168" s="62">
        <v>152</v>
      </c>
      <c r="E168" s="158">
        <f t="shared" si="14"/>
        <v>1677069.6664427549</v>
      </c>
      <c r="F168" s="158">
        <f t="shared" si="13"/>
        <v>14506.51994641379</v>
      </c>
      <c r="G168" s="158">
        <f t="shared" si="12"/>
        <v>8385.3483322137745</v>
      </c>
      <c r="H168" s="158">
        <f t="shared" si="10"/>
        <v>6121.171614200015</v>
      </c>
      <c r="I168" s="159">
        <f t="shared" si="11"/>
        <v>1670948.4948285548</v>
      </c>
    </row>
    <row r="169" spans="3:9" x14ac:dyDescent="0.2">
      <c r="C169" s="43"/>
      <c r="D169" s="62">
        <v>153</v>
      </c>
      <c r="E169" s="158">
        <f t="shared" si="14"/>
        <v>1670948.4948285548</v>
      </c>
      <c r="F169" s="158">
        <f t="shared" si="13"/>
        <v>14506.51994641379</v>
      </c>
      <c r="G169" s="158">
        <f t="shared" si="12"/>
        <v>8354.7424741427749</v>
      </c>
      <c r="H169" s="158">
        <f t="shared" si="10"/>
        <v>6151.7774722710146</v>
      </c>
      <c r="I169" s="159">
        <f t="shared" si="11"/>
        <v>1664796.7173562837</v>
      </c>
    </row>
    <row r="170" spans="3:9" x14ac:dyDescent="0.2">
      <c r="C170" s="43"/>
      <c r="D170" s="62">
        <v>154</v>
      </c>
      <c r="E170" s="158">
        <f t="shared" si="14"/>
        <v>1664796.7173562837</v>
      </c>
      <c r="F170" s="158">
        <f t="shared" si="13"/>
        <v>14506.51994641379</v>
      </c>
      <c r="G170" s="158">
        <f t="shared" si="12"/>
        <v>8323.9835867814181</v>
      </c>
      <c r="H170" s="158">
        <f t="shared" si="10"/>
        <v>6182.5363596323714</v>
      </c>
      <c r="I170" s="159">
        <f t="shared" si="11"/>
        <v>1658614.1809966513</v>
      </c>
    </row>
    <row r="171" spans="3:9" x14ac:dyDescent="0.2">
      <c r="C171" s="43"/>
      <c r="D171" s="62">
        <v>155</v>
      </c>
      <c r="E171" s="158">
        <f t="shared" si="14"/>
        <v>1658614.1809966513</v>
      </c>
      <c r="F171" s="158">
        <f t="shared" si="13"/>
        <v>14506.51994641379</v>
      </c>
      <c r="G171" s="158">
        <f t="shared" si="12"/>
        <v>8293.0709049832567</v>
      </c>
      <c r="H171" s="158">
        <f t="shared" si="10"/>
        <v>6213.4490414305328</v>
      </c>
      <c r="I171" s="159">
        <f t="shared" si="11"/>
        <v>1652400.7319552207</v>
      </c>
    </row>
    <row r="172" spans="3:9" x14ac:dyDescent="0.2">
      <c r="C172" s="49">
        <v>13</v>
      </c>
      <c r="D172" s="161">
        <v>156</v>
      </c>
      <c r="E172" s="158">
        <f t="shared" si="14"/>
        <v>1652400.7319552207</v>
      </c>
      <c r="F172" s="158">
        <f t="shared" si="13"/>
        <v>14506.51994641379</v>
      </c>
      <c r="G172" s="158">
        <f t="shared" si="12"/>
        <v>8262.0036597761027</v>
      </c>
      <c r="H172" s="158">
        <f t="shared" si="10"/>
        <v>6244.5162866376868</v>
      </c>
      <c r="I172" s="159">
        <f t="shared" si="11"/>
        <v>1646156.2156685831</v>
      </c>
    </row>
    <row r="173" spans="3:9" x14ac:dyDescent="0.2">
      <c r="C173" s="43"/>
      <c r="D173" s="62">
        <v>157</v>
      </c>
      <c r="E173" s="158">
        <f t="shared" si="14"/>
        <v>1646156.2156685831</v>
      </c>
      <c r="F173" s="158">
        <f t="shared" si="13"/>
        <v>14506.51994641379</v>
      </c>
      <c r="G173" s="158">
        <f t="shared" si="12"/>
        <v>8230.7810783429159</v>
      </c>
      <c r="H173" s="158">
        <f t="shared" si="10"/>
        <v>6275.7388680708737</v>
      </c>
      <c r="I173" s="159">
        <f t="shared" si="11"/>
        <v>1639880.4768005123</v>
      </c>
    </row>
    <row r="174" spans="3:9" x14ac:dyDescent="0.2">
      <c r="C174" s="43"/>
      <c r="D174" s="62">
        <v>158</v>
      </c>
      <c r="E174" s="158">
        <f t="shared" si="14"/>
        <v>1639880.4768005123</v>
      </c>
      <c r="F174" s="158">
        <f t="shared" si="13"/>
        <v>14506.51994641379</v>
      </c>
      <c r="G174" s="158">
        <f t="shared" si="12"/>
        <v>8199.402384002562</v>
      </c>
      <c r="H174" s="158">
        <f t="shared" si="10"/>
        <v>6307.1175624112275</v>
      </c>
      <c r="I174" s="159">
        <f t="shared" si="11"/>
        <v>1633573.3592381012</v>
      </c>
    </row>
    <row r="175" spans="3:9" x14ac:dyDescent="0.2">
      <c r="C175" s="43"/>
      <c r="D175" s="62">
        <v>159</v>
      </c>
      <c r="E175" s="158">
        <f t="shared" si="14"/>
        <v>1633573.3592381012</v>
      </c>
      <c r="F175" s="158">
        <f t="shared" si="13"/>
        <v>14506.51994641379</v>
      </c>
      <c r="G175" s="158">
        <f t="shared" si="12"/>
        <v>8167.8667961905057</v>
      </c>
      <c r="H175" s="158">
        <f t="shared" si="10"/>
        <v>6338.6531502232838</v>
      </c>
      <c r="I175" s="159">
        <f t="shared" si="11"/>
        <v>1627234.706087878</v>
      </c>
    </row>
    <row r="176" spans="3:9" x14ac:dyDescent="0.2">
      <c r="C176" s="43"/>
      <c r="D176" s="62">
        <v>160</v>
      </c>
      <c r="E176" s="158">
        <f t="shared" si="14"/>
        <v>1627234.706087878</v>
      </c>
      <c r="F176" s="158">
        <f t="shared" si="13"/>
        <v>14506.51994641379</v>
      </c>
      <c r="G176" s="158">
        <f t="shared" si="12"/>
        <v>8136.1735304393897</v>
      </c>
      <c r="H176" s="158">
        <f t="shared" si="10"/>
        <v>6370.3464159743999</v>
      </c>
      <c r="I176" s="159">
        <f t="shared" si="11"/>
        <v>1620864.3596719035</v>
      </c>
    </row>
    <row r="177" spans="3:9" x14ac:dyDescent="0.2">
      <c r="C177" s="43"/>
      <c r="D177" s="62">
        <v>161</v>
      </c>
      <c r="E177" s="158">
        <f t="shared" si="14"/>
        <v>1620864.3596719035</v>
      </c>
      <c r="F177" s="158">
        <f t="shared" si="13"/>
        <v>14506.51994641379</v>
      </c>
      <c r="G177" s="158">
        <f t="shared" si="12"/>
        <v>8104.3217983595177</v>
      </c>
      <c r="H177" s="158">
        <f t="shared" si="10"/>
        <v>6402.1981480542718</v>
      </c>
      <c r="I177" s="159">
        <f t="shared" si="11"/>
        <v>1614462.1615238492</v>
      </c>
    </row>
    <row r="178" spans="3:9" x14ac:dyDescent="0.2">
      <c r="C178" s="43"/>
      <c r="D178" s="62">
        <v>162</v>
      </c>
      <c r="E178" s="158">
        <f t="shared" si="14"/>
        <v>1614462.1615238492</v>
      </c>
      <c r="F178" s="158">
        <f t="shared" si="13"/>
        <v>14506.51994641379</v>
      </c>
      <c r="G178" s="158">
        <f t="shared" si="12"/>
        <v>8072.3108076192466</v>
      </c>
      <c r="H178" s="158">
        <f t="shared" si="10"/>
        <v>6434.2091387945429</v>
      </c>
      <c r="I178" s="159">
        <f t="shared" si="11"/>
        <v>1608027.9523850547</v>
      </c>
    </row>
    <row r="179" spans="3:9" x14ac:dyDescent="0.2">
      <c r="C179" s="43"/>
      <c r="D179" s="62">
        <v>163</v>
      </c>
      <c r="E179" s="158">
        <f t="shared" si="14"/>
        <v>1608027.9523850547</v>
      </c>
      <c r="F179" s="158">
        <f t="shared" si="13"/>
        <v>14506.51994641379</v>
      </c>
      <c r="G179" s="158">
        <f t="shared" si="12"/>
        <v>8040.1397619252739</v>
      </c>
      <c r="H179" s="158">
        <f t="shared" si="10"/>
        <v>6466.3801844885156</v>
      </c>
      <c r="I179" s="159">
        <f t="shared" si="11"/>
        <v>1601561.5722005661</v>
      </c>
    </row>
    <row r="180" spans="3:9" x14ac:dyDescent="0.2">
      <c r="C180" s="43"/>
      <c r="D180" s="62">
        <v>164</v>
      </c>
      <c r="E180" s="158">
        <f t="shared" si="14"/>
        <v>1601561.5722005661</v>
      </c>
      <c r="F180" s="158">
        <f t="shared" si="13"/>
        <v>14506.51994641379</v>
      </c>
      <c r="G180" s="158">
        <f t="shared" si="12"/>
        <v>8007.8078610028306</v>
      </c>
      <c r="H180" s="158">
        <f t="shared" si="10"/>
        <v>6498.7120854109589</v>
      </c>
      <c r="I180" s="159">
        <f t="shared" si="11"/>
        <v>1595062.8601151551</v>
      </c>
    </row>
    <row r="181" spans="3:9" x14ac:dyDescent="0.2">
      <c r="C181" s="43"/>
      <c r="D181" s="62">
        <v>165</v>
      </c>
      <c r="E181" s="158">
        <f t="shared" si="14"/>
        <v>1595062.8601151551</v>
      </c>
      <c r="F181" s="158">
        <f t="shared" si="13"/>
        <v>14506.51994641379</v>
      </c>
      <c r="G181" s="158">
        <f t="shared" si="12"/>
        <v>7975.3143005757756</v>
      </c>
      <c r="H181" s="158">
        <f t="shared" si="10"/>
        <v>6531.2056458380139</v>
      </c>
      <c r="I181" s="159">
        <f t="shared" si="11"/>
        <v>1588531.6544693171</v>
      </c>
    </row>
    <row r="182" spans="3:9" x14ac:dyDescent="0.2">
      <c r="C182" s="43"/>
      <c r="D182" s="62">
        <v>166</v>
      </c>
      <c r="E182" s="158">
        <f t="shared" si="14"/>
        <v>1588531.6544693171</v>
      </c>
      <c r="F182" s="158">
        <f t="shared" si="13"/>
        <v>14506.51994641379</v>
      </c>
      <c r="G182" s="158">
        <f t="shared" si="12"/>
        <v>7942.6582723465854</v>
      </c>
      <c r="H182" s="158">
        <f t="shared" si="10"/>
        <v>6563.8616740672041</v>
      </c>
      <c r="I182" s="159">
        <f t="shared" si="11"/>
        <v>1581967.79279525</v>
      </c>
    </row>
    <row r="183" spans="3:9" x14ac:dyDescent="0.2">
      <c r="C183" s="43"/>
      <c r="D183" s="62">
        <v>167</v>
      </c>
      <c r="E183" s="158">
        <f t="shared" si="14"/>
        <v>1581967.79279525</v>
      </c>
      <c r="F183" s="158">
        <f t="shared" si="13"/>
        <v>14506.51994641379</v>
      </c>
      <c r="G183" s="158">
        <f t="shared" si="12"/>
        <v>7909.8389639762499</v>
      </c>
      <c r="H183" s="158">
        <f t="shared" si="10"/>
        <v>6596.6809824375396</v>
      </c>
      <c r="I183" s="159">
        <f t="shared" si="11"/>
        <v>1575371.1118128125</v>
      </c>
    </row>
    <row r="184" spans="3:9" x14ac:dyDescent="0.2">
      <c r="C184" s="49">
        <v>14</v>
      </c>
      <c r="D184" s="161">
        <v>168</v>
      </c>
      <c r="E184" s="158">
        <f t="shared" si="14"/>
        <v>1575371.1118128125</v>
      </c>
      <c r="F184" s="158">
        <f t="shared" si="13"/>
        <v>14506.51994641379</v>
      </c>
      <c r="G184" s="158">
        <f t="shared" si="12"/>
        <v>7876.8555590640626</v>
      </c>
      <c r="H184" s="158">
        <f t="shared" si="10"/>
        <v>6629.6643873497269</v>
      </c>
      <c r="I184" s="159">
        <f t="shared" si="11"/>
        <v>1568741.4474254628</v>
      </c>
    </row>
    <row r="185" spans="3:9" x14ac:dyDescent="0.2">
      <c r="C185" s="43"/>
      <c r="D185" s="62">
        <v>169</v>
      </c>
      <c r="E185" s="158">
        <f t="shared" si="14"/>
        <v>1568741.4474254628</v>
      </c>
      <c r="F185" s="158">
        <f t="shared" si="13"/>
        <v>14506.51994641379</v>
      </c>
      <c r="G185" s="158">
        <f t="shared" si="12"/>
        <v>7843.7072371273143</v>
      </c>
      <c r="H185" s="158">
        <f t="shared" si="10"/>
        <v>6662.8127092864752</v>
      </c>
      <c r="I185" s="159">
        <f t="shared" si="11"/>
        <v>1562078.6347161762</v>
      </c>
    </row>
    <row r="186" spans="3:9" x14ac:dyDescent="0.2">
      <c r="C186" s="43"/>
      <c r="D186" s="62">
        <v>170</v>
      </c>
      <c r="E186" s="158">
        <f t="shared" si="14"/>
        <v>1562078.6347161762</v>
      </c>
      <c r="F186" s="158">
        <f t="shared" si="13"/>
        <v>14506.51994641379</v>
      </c>
      <c r="G186" s="158">
        <f t="shared" si="12"/>
        <v>7810.393173580881</v>
      </c>
      <c r="H186" s="158">
        <f t="shared" si="10"/>
        <v>6696.1267728329085</v>
      </c>
      <c r="I186" s="159">
        <f t="shared" si="11"/>
        <v>1555382.5079433434</v>
      </c>
    </row>
    <row r="187" spans="3:9" x14ac:dyDescent="0.2">
      <c r="C187" s="43"/>
      <c r="D187" s="62">
        <v>171</v>
      </c>
      <c r="E187" s="158">
        <f t="shared" si="14"/>
        <v>1555382.5079433434</v>
      </c>
      <c r="F187" s="158">
        <f t="shared" si="13"/>
        <v>14506.51994641379</v>
      </c>
      <c r="G187" s="158">
        <f t="shared" si="12"/>
        <v>7776.9125397167172</v>
      </c>
      <c r="H187" s="158">
        <f t="shared" si="10"/>
        <v>6729.6074066970723</v>
      </c>
      <c r="I187" s="159">
        <f t="shared" si="11"/>
        <v>1548652.9005366464</v>
      </c>
    </row>
    <row r="188" spans="3:9" x14ac:dyDescent="0.2">
      <c r="C188" s="43"/>
      <c r="D188" s="62">
        <v>172</v>
      </c>
      <c r="E188" s="158">
        <f t="shared" si="14"/>
        <v>1548652.9005366464</v>
      </c>
      <c r="F188" s="158">
        <f t="shared" si="13"/>
        <v>14506.51994641379</v>
      </c>
      <c r="G188" s="158">
        <f t="shared" si="12"/>
        <v>7743.2645026832324</v>
      </c>
      <c r="H188" s="158">
        <f t="shared" si="10"/>
        <v>6763.2554437305571</v>
      </c>
      <c r="I188" s="159">
        <f t="shared" si="11"/>
        <v>1541889.6450929157</v>
      </c>
    </row>
    <row r="189" spans="3:9" x14ac:dyDescent="0.2">
      <c r="C189" s="43"/>
      <c r="D189" s="62">
        <v>173</v>
      </c>
      <c r="E189" s="158">
        <f t="shared" si="14"/>
        <v>1541889.6450929157</v>
      </c>
      <c r="F189" s="158">
        <f t="shared" si="13"/>
        <v>14506.51994641379</v>
      </c>
      <c r="G189" s="158">
        <f t="shared" si="12"/>
        <v>7709.4482254645791</v>
      </c>
      <c r="H189" s="158">
        <f t="shared" si="10"/>
        <v>6797.0717209492104</v>
      </c>
      <c r="I189" s="159">
        <f t="shared" si="11"/>
        <v>1535092.5733719666</v>
      </c>
    </row>
    <row r="190" spans="3:9" x14ac:dyDescent="0.2">
      <c r="C190" s="43"/>
      <c r="D190" s="62">
        <v>174</v>
      </c>
      <c r="E190" s="158">
        <f t="shared" si="14"/>
        <v>1535092.5733719666</v>
      </c>
      <c r="F190" s="158">
        <f t="shared" si="13"/>
        <v>14506.51994641379</v>
      </c>
      <c r="G190" s="158">
        <f t="shared" si="12"/>
        <v>7675.4628668598334</v>
      </c>
      <c r="H190" s="158">
        <f t="shared" si="10"/>
        <v>6831.0570795539561</v>
      </c>
      <c r="I190" s="159">
        <f t="shared" si="11"/>
        <v>1528261.5162924125</v>
      </c>
    </row>
    <row r="191" spans="3:9" x14ac:dyDescent="0.2">
      <c r="C191" s="43"/>
      <c r="D191" s="62">
        <v>175</v>
      </c>
      <c r="E191" s="158">
        <f t="shared" si="14"/>
        <v>1528261.5162924125</v>
      </c>
      <c r="F191" s="158">
        <f t="shared" si="13"/>
        <v>14506.51994641379</v>
      </c>
      <c r="G191" s="158">
        <f t="shared" si="12"/>
        <v>7641.3075814620624</v>
      </c>
      <c r="H191" s="158">
        <f t="shared" si="10"/>
        <v>6865.2123649517271</v>
      </c>
      <c r="I191" s="159">
        <f t="shared" si="11"/>
        <v>1521396.3039274609</v>
      </c>
    </row>
    <row r="192" spans="3:9" x14ac:dyDescent="0.2">
      <c r="C192" s="43"/>
      <c r="D192" s="62">
        <v>176</v>
      </c>
      <c r="E192" s="158">
        <f t="shared" si="14"/>
        <v>1521396.3039274609</v>
      </c>
      <c r="F192" s="158">
        <f t="shared" si="13"/>
        <v>14506.51994641379</v>
      </c>
      <c r="G192" s="158">
        <f t="shared" si="12"/>
        <v>7606.9815196373047</v>
      </c>
      <c r="H192" s="158">
        <f t="shared" si="10"/>
        <v>6899.5384267764848</v>
      </c>
      <c r="I192" s="159">
        <f t="shared" si="11"/>
        <v>1514496.7655006845</v>
      </c>
    </row>
    <row r="193" spans="3:9" x14ac:dyDescent="0.2">
      <c r="C193" s="43"/>
      <c r="D193" s="62">
        <v>177</v>
      </c>
      <c r="E193" s="158">
        <f t="shared" si="14"/>
        <v>1514496.7655006845</v>
      </c>
      <c r="F193" s="158">
        <f t="shared" si="13"/>
        <v>14506.51994641379</v>
      </c>
      <c r="G193" s="158">
        <f t="shared" si="12"/>
        <v>7572.4838275034226</v>
      </c>
      <c r="H193" s="158">
        <f t="shared" si="10"/>
        <v>6934.0361189103669</v>
      </c>
      <c r="I193" s="159">
        <f t="shared" si="11"/>
        <v>1507562.7293817741</v>
      </c>
    </row>
    <row r="194" spans="3:9" x14ac:dyDescent="0.2">
      <c r="C194" s="43"/>
      <c r="D194" s="62">
        <v>178</v>
      </c>
      <c r="E194" s="158">
        <f t="shared" si="14"/>
        <v>1507562.7293817741</v>
      </c>
      <c r="F194" s="158">
        <f t="shared" si="13"/>
        <v>14506.51994641379</v>
      </c>
      <c r="G194" s="158">
        <f t="shared" si="12"/>
        <v>7537.8136469088704</v>
      </c>
      <c r="H194" s="158">
        <f t="shared" si="10"/>
        <v>6968.7062995049191</v>
      </c>
      <c r="I194" s="159">
        <f t="shared" si="11"/>
        <v>1500594.0230822691</v>
      </c>
    </row>
    <row r="195" spans="3:9" x14ac:dyDescent="0.2">
      <c r="C195" s="43"/>
      <c r="D195" s="62">
        <v>179</v>
      </c>
      <c r="E195" s="158">
        <f t="shared" si="14"/>
        <v>1500594.0230822691</v>
      </c>
      <c r="F195" s="158">
        <f t="shared" si="13"/>
        <v>14506.51994641379</v>
      </c>
      <c r="G195" s="158">
        <f t="shared" si="12"/>
        <v>7502.9701154113454</v>
      </c>
      <c r="H195" s="158">
        <f t="shared" si="10"/>
        <v>7003.5498310024441</v>
      </c>
      <c r="I195" s="159">
        <f t="shared" si="11"/>
        <v>1493590.4732512666</v>
      </c>
    </row>
    <row r="196" spans="3:9" x14ac:dyDescent="0.2">
      <c r="C196" s="49">
        <v>15</v>
      </c>
      <c r="D196" s="161">
        <v>180</v>
      </c>
      <c r="E196" s="158">
        <f t="shared" si="14"/>
        <v>1493590.4732512666</v>
      </c>
      <c r="F196" s="158">
        <f t="shared" si="13"/>
        <v>14506.51994641379</v>
      </c>
      <c r="G196" s="158">
        <f t="shared" si="12"/>
        <v>7467.9523662563333</v>
      </c>
      <c r="H196" s="158">
        <f t="shared" si="10"/>
        <v>7038.5675801574562</v>
      </c>
      <c r="I196" s="159">
        <f t="shared" si="11"/>
        <v>1486551.9056711092</v>
      </c>
    </row>
    <row r="197" spans="3:9" x14ac:dyDescent="0.2">
      <c r="C197" s="43"/>
      <c r="D197" s="62">
        <v>181</v>
      </c>
      <c r="E197" s="158">
        <f t="shared" si="14"/>
        <v>1486551.9056711092</v>
      </c>
      <c r="F197" s="158">
        <f t="shared" si="13"/>
        <v>14506.51994641379</v>
      </c>
      <c r="G197" s="158">
        <f t="shared" si="12"/>
        <v>7432.7595283555465</v>
      </c>
      <c r="H197" s="158">
        <f t="shared" si="10"/>
        <v>7073.760418058243</v>
      </c>
      <c r="I197" s="159">
        <f t="shared" si="11"/>
        <v>1479478.1452530511</v>
      </c>
    </row>
    <row r="198" spans="3:9" x14ac:dyDescent="0.2">
      <c r="C198" s="43"/>
      <c r="D198" s="62">
        <v>182</v>
      </c>
      <c r="E198" s="158">
        <f t="shared" si="14"/>
        <v>1479478.1452530511</v>
      </c>
      <c r="F198" s="158">
        <f t="shared" si="13"/>
        <v>14506.51994641379</v>
      </c>
      <c r="G198" s="158">
        <f t="shared" si="12"/>
        <v>7397.3907262652556</v>
      </c>
      <c r="H198" s="158">
        <f t="shared" si="10"/>
        <v>7109.1292201485339</v>
      </c>
      <c r="I198" s="159">
        <f t="shared" si="11"/>
        <v>1472369.0160329025</v>
      </c>
    </row>
    <row r="199" spans="3:9" x14ac:dyDescent="0.2">
      <c r="C199" s="43"/>
      <c r="D199" s="62">
        <v>183</v>
      </c>
      <c r="E199" s="158">
        <f t="shared" si="14"/>
        <v>1472369.0160329025</v>
      </c>
      <c r="F199" s="158">
        <f t="shared" si="13"/>
        <v>14506.51994641379</v>
      </c>
      <c r="G199" s="158">
        <f t="shared" si="12"/>
        <v>7361.8450801645131</v>
      </c>
      <c r="H199" s="158">
        <f t="shared" si="10"/>
        <v>7144.6748662492764</v>
      </c>
      <c r="I199" s="159">
        <f t="shared" si="11"/>
        <v>1465224.3411666532</v>
      </c>
    </row>
    <row r="200" spans="3:9" x14ac:dyDescent="0.2">
      <c r="C200" s="43"/>
      <c r="D200" s="62">
        <v>184</v>
      </c>
      <c r="E200" s="158">
        <f t="shared" si="14"/>
        <v>1465224.3411666532</v>
      </c>
      <c r="F200" s="158">
        <f t="shared" si="13"/>
        <v>14506.51994641379</v>
      </c>
      <c r="G200" s="158">
        <f t="shared" si="12"/>
        <v>7326.1217058332659</v>
      </c>
      <c r="H200" s="158">
        <f t="shared" si="10"/>
        <v>7180.3982405805236</v>
      </c>
      <c r="I200" s="159">
        <f t="shared" si="11"/>
        <v>1458043.9429260727</v>
      </c>
    </row>
    <row r="201" spans="3:9" x14ac:dyDescent="0.2">
      <c r="C201" s="43"/>
      <c r="D201" s="62">
        <v>185</v>
      </c>
      <c r="E201" s="158">
        <f t="shared" si="14"/>
        <v>1458043.9429260727</v>
      </c>
      <c r="F201" s="158">
        <f t="shared" si="13"/>
        <v>14506.51994641379</v>
      </c>
      <c r="G201" s="158">
        <f t="shared" si="12"/>
        <v>7290.2197146303643</v>
      </c>
      <c r="H201" s="158">
        <f t="shared" si="10"/>
        <v>7216.3002317834253</v>
      </c>
      <c r="I201" s="159">
        <f t="shared" si="11"/>
        <v>1450827.6426942893</v>
      </c>
    </row>
    <row r="202" spans="3:9" x14ac:dyDescent="0.2">
      <c r="C202" s="43"/>
      <c r="D202" s="62">
        <v>186</v>
      </c>
      <c r="E202" s="158">
        <f t="shared" si="14"/>
        <v>1450827.6426942893</v>
      </c>
      <c r="F202" s="158">
        <f t="shared" si="13"/>
        <v>14506.51994641379</v>
      </c>
      <c r="G202" s="158">
        <f t="shared" si="12"/>
        <v>7254.1382134714468</v>
      </c>
      <c r="H202" s="158">
        <f t="shared" si="10"/>
        <v>7252.3817329423428</v>
      </c>
      <c r="I202" s="159">
        <f t="shared" si="11"/>
        <v>1443575.260961347</v>
      </c>
    </row>
    <row r="203" spans="3:9" x14ac:dyDescent="0.2">
      <c r="C203" s="43"/>
      <c r="D203" s="62">
        <v>187</v>
      </c>
      <c r="E203" s="158">
        <f t="shared" si="14"/>
        <v>1443575.260961347</v>
      </c>
      <c r="F203" s="158">
        <f t="shared" si="13"/>
        <v>14506.51994641379</v>
      </c>
      <c r="G203" s="158">
        <f t="shared" si="12"/>
        <v>7217.8763048067349</v>
      </c>
      <c r="H203" s="158">
        <f t="shared" si="10"/>
        <v>7288.6436416070546</v>
      </c>
      <c r="I203" s="159">
        <f t="shared" si="11"/>
        <v>1436286.6173197399</v>
      </c>
    </row>
    <row r="204" spans="3:9" x14ac:dyDescent="0.2">
      <c r="C204" s="43"/>
      <c r="D204" s="62">
        <v>188</v>
      </c>
      <c r="E204" s="158">
        <f t="shared" si="14"/>
        <v>1436286.6173197399</v>
      </c>
      <c r="F204" s="158">
        <f t="shared" si="13"/>
        <v>14506.51994641379</v>
      </c>
      <c r="G204" s="158">
        <f t="shared" si="12"/>
        <v>7181.4330865986994</v>
      </c>
      <c r="H204" s="158">
        <f t="shared" si="10"/>
        <v>7325.0868598150901</v>
      </c>
      <c r="I204" s="159">
        <f t="shared" si="11"/>
        <v>1428961.5304599248</v>
      </c>
    </row>
    <row r="205" spans="3:9" x14ac:dyDescent="0.2">
      <c r="C205" s="43"/>
      <c r="D205" s="62">
        <v>189</v>
      </c>
      <c r="E205" s="158">
        <f t="shared" si="14"/>
        <v>1428961.5304599248</v>
      </c>
      <c r="F205" s="158">
        <f t="shared" si="13"/>
        <v>14506.51994641379</v>
      </c>
      <c r="G205" s="158">
        <f t="shared" si="12"/>
        <v>7144.8076522996244</v>
      </c>
      <c r="H205" s="158">
        <f t="shared" si="10"/>
        <v>7361.7122941141652</v>
      </c>
      <c r="I205" s="159">
        <f t="shared" si="11"/>
        <v>1421599.8181658108</v>
      </c>
    </row>
    <row r="206" spans="3:9" x14ac:dyDescent="0.2">
      <c r="C206" s="43"/>
      <c r="D206" s="62">
        <v>190</v>
      </c>
      <c r="E206" s="158">
        <f t="shared" si="14"/>
        <v>1421599.8181658108</v>
      </c>
      <c r="F206" s="158">
        <f t="shared" si="13"/>
        <v>14506.51994641379</v>
      </c>
      <c r="G206" s="158">
        <f t="shared" si="12"/>
        <v>7107.9990908290538</v>
      </c>
      <c r="H206" s="158">
        <f t="shared" si="10"/>
        <v>7398.5208555847357</v>
      </c>
      <c r="I206" s="159">
        <f t="shared" si="11"/>
        <v>1414201.2973102261</v>
      </c>
    </row>
    <row r="207" spans="3:9" x14ac:dyDescent="0.2">
      <c r="C207" s="43"/>
      <c r="D207" s="62">
        <v>191</v>
      </c>
      <c r="E207" s="158">
        <f t="shared" si="14"/>
        <v>1414201.2973102261</v>
      </c>
      <c r="F207" s="158">
        <f t="shared" si="13"/>
        <v>14506.51994641379</v>
      </c>
      <c r="G207" s="158">
        <f t="shared" si="12"/>
        <v>7071.0064865511304</v>
      </c>
      <c r="H207" s="158">
        <f t="shared" si="10"/>
        <v>7435.5134598626591</v>
      </c>
      <c r="I207" s="159">
        <f t="shared" si="11"/>
        <v>1406765.7838503635</v>
      </c>
    </row>
    <row r="208" spans="3:9" x14ac:dyDescent="0.2">
      <c r="C208" s="49">
        <v>16</v>
      </c>
      <c r="D208" s="161">
        <v>192</v>
      </c>
      <c r="E208" s="158">
        <f t="shared" si="14"/>
        <v>1406765.7838503635</v>
      </c>
      <c r="F208" s="158">
        <f t="shared" si="13"/>
        <v>14506.51994641379</v>
      </c>
      <c r="G208" s="158">
        <f t="shared" si="12"/>
        <v>7033.8289192518178</v>
      </c>
      <c r="H208" s="158">
        <f t="shared" si="10"/>
        <v>7472.6910271619718</v>
      </c>
      <c r="I208" s="159">
        <f t="shared" si="11"/>
        <v>1399293.0928232016</v>
      </c>
    </row>
    <row r="209" spans="3:9" x14ac:dyDescent="0.2">
      <c r="C209" s="43"/>
      <c r="D209" s="62">
        <v>193</v>
      </c>
      <c r="E209" s="158">
        <f t="shared" si="14"/>
        <v>1399293.0928232016</v>
      </c>
      <c r="F209" s="158">
        <f t="shared" si="13"/>
        <v>14506.51994641379</v>
      </c>
      <c r="G209" s="158">
        <f t="shared" si="12"/>
        <v>6996.4654641160078</v>
      </c>
      <c r="H209" s="158">
        <f t="shared" ref="H209:H272" si="15">F209-G209</f>
        <v>7510.0544822977818</v>
      </c>
      <c r="I209" s="159">
        <f t="shared" ref="I209:I272" si="16">E209-H209</f>
        <v>1391783.0383409038</v>
      </c>
    </row>
    <row r="210" spans="3:9" x14ac:dyDescent="0.2">
      <c r="C210" s="43"/>
      <c r="D210" s="62">
        <v>194</v>
      </c>
      <c r="E210" s="158">
        <f t="shared" si="14"/>
        <v>1391783.0383409038</v>
      </c>
      <c r="F210" s="158">
        <f t="shared" si="13"/>
        <v>14506.51994641379</v>
      </c>
      <c r="G210" s="158">
        <f t="shared" ref="G210:G273" si="17">IF(D210&gt;$D$10,0,($D$6/12)*I209)</f>
        <v>6958.9151917045192</v>
      </c>
      <c r="H210" s="158">
        <f t="shared" si="15"/>
        <v>7547.6047547092703</v>
      </c>
      <c r="I210" s="159">
        <f t="shared" si="16"/>
        <v>1384235.4335861946</v>
      </c>
    </row>
    <row r="211" spans="3:9" x14ac:dyDescent="0.2">
      <c r="C211" s="43"/>
      <c r="D211" s="62">
        <v>195</v>
      </c>
      <c r="E211" s="158">
        <f t="shared" si="14"/>
        <v>1384235.4335861946</v>
      </c>
      <c r="F211" s="158">
        <f t="shared" si="13"/>
        <v>14506.51994641379</v>
      </c>
      <c r="G211" s="158">
        <f t="shared" si="17"/>
        <v>6921.1771679309732</v>
      </c>
      <c r="H211" s="158">
        <f t="shared" si="15"/>
        <v>7585.3427784828164</v>
      </c>
      <c r="I211" s="159">
        <f t="shared" si="16"/>
        <v>1376650.0908077119</v>
      </c>
    </row>
    <row r="212" spans="3:9" x14ac:dyDescent="0.2">
      <c r="C212" s="43"/>
      <c r="D212" s="62">
        <v>196</v>
      </c>
      <c r="E212" s="158">
        <f t="shared" si="14"/>
        <v>1376650.0908077119</v>
      </c>
      <c r="F212" s="158">
        <f t="shared" si="13"/>
        <v>14506.51994641379</v>
      </c>
      <c r="G212" s="158">
        <f t="shared" si="17"/>
        <v>6883.2504540385598</v>
      </c>
      <c r="H212" s="158">
        <f t="shared" si="15"/>
        <v>7623.2694923752297</v>
      </c>
      <c r="I212" s="159">
        <f t="shared" si="16"/>
        <v>1369026.8213153367</v>
      </c>
    </row>
    <row r="213" spans="3:9" x14ac:dyDescent="0.2">
      <c r="C213" s="43"/>
      <c r="D213" s="62">
        <v>197</v>
      </c>
      <c r="E213" s="158">
        <f t="shared" si="14"/>
        <v>1369026.8213153367</v>
      </c>
      <c r="F213" s="158">
        <f t="shared" ref="F213:F276" si="18">IF(D213&gt;$D$10,0,IF(D213&lt;=$D$8,G213,-PMT($D$6/12,$D$9,$D$5,0,0)))</f>
        <v>14506.51994641379</v>
      </c>
      <c r="G213" s="158">
        <f t="shared" si="17"/>
        <v>6845.1341065766837</v>
      </c>
      <c r="H213" s="158">
        <f t="shared" si="15"/>
        <v>7661.3858398371058</v>
      </c>
      <c r="I213" s="159">
        <f t="shared" si="16"/>
        <v>1361365.4354754996</v>
      </c>
    </row>
    <row r="214" spans="3:9" x14ac:dyDescent="0.2">
      <c r="C214" s="43"/>
      <c r="D214" s="62">
        <v>198</v>
      </c>
      <c r="E214" s="158">
        <f t="shared" ref="E214:E277" si="19">IF(D214&gt;$D$10,0,I213)</f>
        <v>1361365.4354754996</v>
      </c>
      <c r="F214" s="158">
        <f t="shared" si="18"/>
        <v>14506.51994641379</v>
      </c>
      <c r="G214" s="158">
        <f t="shared" si="17"/>
        <v>6806.8271773774977</v>
      </c>
      <c r="H214" s="158">
        <f t="shared" si="15"/>
        <v>7699.6927690362918</v>
      </c>
      <c r="I214" s="159">
        <f t="shared" si="16"/>
        <v>1353665.7427064632</v>
      </c>
    </row>
    <row r="215" spans="3:9" x14ac:dyDescent="0.2">
      <c r="C215" s="43"/>
      <c r="D215" s="62">
        <v>199</v>
      </c>
      <c r="E215" s="158">
        <f t="shared" si="19"/>
        <v>1353665.7427064632</v>
      </c>
      <c r="F215" s="158">
        <f t="shared" si="18"/>
        <v>14506.51994641379</v>
      </c>
      <c r="G215" s="158">
        <f t="shared" si="17"/>
        <v>6768.3287135323162</v>
      </c>
      <c r="H215" s="158">
        <f t="shared" si="15"/>
        <v>7738.1912328814733</v>
      </c>
      <c r="I215" s="159">
        <f t="shared" si="16"/>
        <v>1345927.5514735817</v>
      </c>
    </row>
    <row r="216" spans="3:9" x14ac:dyDescent="0.2">
      <c r="C216" s="43"/>
      <c r="D216" s="62">
        <v>200</v>
      </c>
      <c r="E216" s="158">
        <f t="shared" si="19"/>
        <v>1345927.5514735817</v>
      </c>
      <c r="F216" s="158">
        <f t="shared" si="18"/>
        <v>14506.51994641379</v>
      </c>
      <c r="G216" s="158">
        <f t="shared" si="17"/>
        <v>6729.6377573679083</v>
      </c>
      <c r="H216" s="158">
        <f t="shared" si="15"/>
        <v>7776.8821890458812</v>
      </c>
      <c r="I216" s="159">
        <f t="shared" si="16"/>
        <v>1338150.6692845358</v>
      </c>
    </row>
    <row r="217" spans="3:9" x14ac:dyDescent="0.2">
      <c r="C217" s="43"/>
      <c r="D217" s="62">
        <v>201</v>
      </c>
      <c r="E217" s="158">
        <f t="shared" si="19"/>
        <v>1338150.6692845358</v>
      </c>
      <c r="F217" s="158">
        <f t="shared" si="18"/>
        <v>14506.51994641379</v>
      </c>
      <c r="G217" s="158">
        <f t="shared" si="17"/>
        <v>6690.753346422679</v>
      </c>
      <c r="H217" s="158">
        <f t="shared" si="15"/>
        <v>7815.7665999911105</v>
      </c>
      <c r="I217" s="159">
        <f t="shared" si="16"/>
        <v>1330334.9026845447</v>
      </c>
    </row>
    <row r="218" spans="3:9" x14ac:dyDescent="0.2">
      <c r="C218" s="43"/>
      <c r="D218" s="62">
        <v>202</v>
      </c>
      <c r="E218" s="158">
        <f t="shared" si="19"/>
        <v>1330334.9026845447</v>
      </c>
      <c r="F218" s="158">
        <f t="shared" si="18"/>
        <v>14506.51994641379</v>
      </c>
      <c r="G218" s="158">
        <f t="shared" si="17"/>
        <v>6651.674513422724</v>
      </c>
      <c r="H218" s="158">
        <f t="shared" si="15"/>
        <v>7854.8454329910655</v>
      </c>
      <c r="I218" s="159">
        <f t="shared" si="16"/>
        <v>1322480.0572515535</v>
      </c>
    </row>
    <row r="219" spans="3:9" x14ac:dyDescent="0.2">
      <c r="C219" s="43"/>
      <c r="D219" s="62">
        <v>203</v>
      </c>
      <c r="E219" s="158">
        <f t="shared" si="19"/>
        <v>1322480.0572515535</v>
      </c>
      <c r="F219" s="158">
        <f t="shared" si="18"/>
        <v>14506.51994641379</v>
      </c>
      <c r="G219" s="158">
        <f t="shared" si="17"/>
        <v>6612.4002862577681</v>
      </c>
      <c r="H219" s="158">
        <f t="shared" si="15"/>
        <v>7894.1196601560214</v>
      </c>
      <c r="I219" s="159">
        <f t="shared" si="16"/>
        <v>1314585.9375913974</v>
      </c>
    </row>
    <row r="220" spans="3:9" x14ac:dyDescent="0.2">
      <c r="C220" s="49">
        <v>17</v>
      </c>
      <c r="D220" s="161">
        <v>204</v>
      </c>
      <c r="E220" s="158">
        <f t="shared" si="19"/>
        <v>1314585.9375913974</v>
      </c>
      <c r="F220" s="158">
        <f t="shared" si="18"/>
        <v>14506.51994641379</v>
      </c>
      <c r="G220" s="158">
        <f t="shared" si="17"/>
        <v>6572.9296879569874</v>
      </c>
      <c r="H220" s="158">
        <f t="shared" si="15"/>
        <v>7933.5902584568021</v>
      </c>
      <c r="I220" s="159">
        <f t="shared" si="16"/>
        <v>1306652.3473329407</v>
      </c>
    </row>
    <row r="221" spans="3:9" x14ac:dyDescent="0.2">
      <c r="C221" s="43"/>
      <c r="D221" s="62">
        <v>205</v>
      </c>
      <c r="E221" s="158">
        <f t="shared" si="19"/>
        <v>1306652.3473329407</v>
      </c>
      <c r="F221" s="158">
        <f t="shared" si="18"/>
        <v>14506.51994641379</v>
      </c>
      <c r="G221" s="158">
        <f t="shared" si="17"/>
        <v>6533.2617366647037</v>
      </c>
      <c r="H221" s="158">
        <f t="shared" si="15"/>
        <v>7973.2582097490858</v>
      </c>
      <c r="I221" s="159">
        <f t="shared" si="16"/>
        <v>1298679.0891231915</v>
      </c>
    </row>
    <row r="222" spans="3:9" x14ac:dyDescent="0.2">
      <c r="C222" s="43"/>
      <c r="D222" s="62">
        <v>206</v>
      </c>
      <c r="E222" s="158">
        <f t="shared" si="19"/>
        <v>1298679.0891231915</v>
      </c>
      <c r="F222" s="158">
        <f t="shared" si="18"/>
        <v>14506.51994641379</v>
      </c>
      <c r="G222" s="158">
        <f t="shared" si="17"/>
        <v>6493.3954456159581</v>
      </c>
      <c r="H222" s="158">
        <f t="shared" si="15"/>
        <v>8013.1245007978314</v>
      </c>
      <c r="I222" s="159">
        <f t="shared" si="16"/>
        <v>1290665.9646223937</v>
      </c>
    </row>
    <row r="223" spans="3:9" x14ac:dyDescent="0.2">
      <c r="C223" s="43"/>
      <c r="D223" s="62">
        <v>207</v>
      </c>
      <c r="E223" s="158">
        <f t="shared" si="19"/>
        <v>1290665.9646223937</v>
      </c>
      <c r="F223" s="158">
        <f t="shared" si="18"/>
        <v>14506.51994641379</v>
      </c>
      <c r="G223" s="158">
        <f t="shared" si="17"/>
        <v>6453.3298231119688</v>
      </c>
      <c r="H223" s="158">
        <f t="shared" si="15"/>
        <v>8053.1901233018207</v>
      </c>
      <c r="I223" s="159">
        <f t="shared" si="16"/>
        <v>1282612.7744990918</v>
      </c>
    </row>
    <row r="224" spans="3:9" x14ac:dyDescent="0.2">
      <c r="C224" s="43"/>
      <c r="D224" s="62">
        <v>208</v>
      </c>
      <c r="E224" s="158">
        <f t="shared" si="19"/>
        <v>1282612.7744990918</v>
      </c>
      <c r="F224" s="158">
        <f t="shared" si="18"/>
        <v>14506.51994641379</v>
      </c>
      <c r="G224" s="158">
        <f t="shared" si="17"/>
        <v>6413.0638724954588</v>
      </c>
      <c r="H224" s="158">
        <f t="shared" si="15"/>
        <v>8093.4560739183307</v>
      </c>
      <c r="I224" s="159">
        <f t="shared" si="16"/>
        <v>1274519.3184251734</v>
      </c>
    </row>
    <row r="225" spans="3:9" x14ac:dyDescent="0.2">
      <c r="C225" s="43"/>
      <c r="D225" s="62">
        <v>209</v>
      </c>
      <c r="E225" s="158">
        <f t="shared" si="19"/>
        <v>1274519.3184251734</v>
      </c>
      <c r="F225" s="158">
        <f t="shared" si="18"/>
        <v>14506.51994641379</v>
      </c>
      <c r="G225" s="158">
        <f t="shared" si="17"/>
        <v>6372.5965921258676</v>
      </c>
      <c r="H225" s="158">
        <f t="shared" si="15"/>
        <v>8133.9233542879219</v>
      </c>
      <c r="I225" s="159">
        <f t="shared" si="16"/>
        <v>1266385.3950708855</v>
      </c>
    </row>
    <row r="226" spans="3:9" x14ac:dyDescent="0.2">
      <c r="C226" s="43"/>
      <c r="D226" s="62">
        <v>210</v>
      </c>
      <c r="E226" s="158">
        <f t="shared" si="19"/>
        <v>1266385.3950708855</v>
      </c>
      <c r="F226" s="158">
        <f t="shared" si="18"/>
        <v>14506.51994641379</v>
      </c>
      <c r="G226" s="158">
        <f t="shared" si="17"/>
        <v>6331.9269753544277</v>
      </c>
      <c r="H226" s="158">
        <f t="shared" si="15"/>
        <v>8174.5929710593618</v>
      </c>
      <c r="I226" s="159">
        <f t="shared" si="16"/>
        <v>1258210.8020998263</v>
      </c>
    </row>
    <row r="227" spans="3:9" x14ac:dyDescent="0.2">
      <c r="C227" s="43"/>
      <c r="D227" s="62">
        <v>211</v>
      </c>
      <c r="E227" s="158">
        <f t="shared" si="19"/>
        <v>1258210.8020998263</v>
      </c>
      <c r="F227" s="158">
        <f t="shared" si="18"/>
        <v>14506.51994641379</v>
      </c>
      <c r="G227" s="158">
        <f t="shared" si="17"/>
        <v>6291.0540104991314</v>
      </c>
      <c r="H227" s="158">
        <f t="shared" si="15"/>
        <v>8215.4659359146572</v>
      </c>
      <c r="I227" s="159">
        <f t="shared" si="16"/>
        <v>1249995.3361639117</v>
      </c>
    </row>
    <row r="228" spans="3:9" x14ac:dyDescent="0.2">
      <c r="C228" s="43"/>
      <c r="D228" s="62">
        <v>212</v>
      </c>
      <c r="E228" s="158">
        <f t="shared" si="19"/>
        <v>1249995.3361639117</v>
      </c>
      <c r="F228" s="158">
        <f t="shared" si="18"/>
        <v>14506.51994641379</v>
      </c>
      <c r="G228" s="158">
        <f t="shared" si="17"/>
        <v>6249.9766808195591</v>
      </c>
      <c r="H228" s="158">
        <f t="shared" si="15"/>
        <v>8256.5432655942313</v>
      </c>
      <c r="I228" s="159">
        <f t="shared" si="16"/>
        <v>1241738.7928983176</v>
      </c>
    </row>
    <row r="229" spans="3:9" x14ac:dyDescent="0.2">
      <c r="C229" s="43"/>
      <c r="D229" s="62">
        <v>213</v>
      </c>
      <c r="E229" s="158">
        <f t="shared" si="19"/>
        <v>1241738.7928983176</v>
      </c>
      <c r="F229" s="158">
        <f t="shared" si="18"/>
        <v>14506.51994641379</v>
      </c>
      <c r="G229" s="158">
        <f t="shared" si="17"/>
        <v>6208.6939644915883</v>
      </c>
      <c r="H229" s="158">
        <f t="shared" si="15"/>
        <v>8297.8259819222003</v>
      </c>
      <c r="I229" s="159">
        <f t="shared" si="16"/>
        <v>1233440.9669163954</v>
      </c>
    </row>
    <row r="230" spans="3:9" x14ac:dyDescent="0.2">
      <c r="C230" s="43"/>
      <c r="D230" s="62">
        <v>214</v>
      </c>
      <c r="E230" s="158">
        <f t="shared" si="19"/>
        <v>1233440.9669163954</v>
      </c>
      <c r="F230" s="158">
        <f t="shared" si="18"/>
        <v>14506.51994641379</v>
      </c>
      <c r="G230" s="158">
        <f t="shared" si="17"/>
        <v>6167.2048345819767</v>
      </c>
      <c r="H230" s="158">
        <f t="shared" si="15"/>
        <v>8339.3151118318128</v>
      </c>
      <c r="I230" s="159">
        <f t="shared" si="16"/>
        <v>1225101.6518045636</v>
      </c>
    </row>
    <row r="231" spans="3:9" x14ac:dyDescent="0.2">
      <c r="C231" s="43"/>
      <c r="D231" s="62">
        <v>215</v>
      </c>
      <c r="E231" s="158">
        <f t="shared" si="19"/>
        <v>1225101.6518045636</v>
      </c>
      <c r="F231" s="158">
        <f t="shared" si="18"/>
        <v>14506.51994641379</v>
      </c>
      <c r="G231" s="158">
        <f t="shared" si="17"/>
        <v>6125.5082590228185</v>
      </c>
      <c r="H231" s="158">
        <f t="shared" si="15"/>
        <v>8381.0116873909719</v>
      </c>
      <c r="I231" s="159">
        <f t="shared" si="16"/>
        <v>1216720.6401171726</v>
      </c>
    </row>
    <row r="232" spans="3:9" x14ac:dyDescent="0.2">
      <c r="C232" s="49">
        <v>18</v>
      </c>
      <c r="D232" s="161">
        <v>216</v>
      </c>
      <c r="E232" s="158">
        <f t="shared" si="19"/>
        <v>1216720.6401171726</v>
      </c>
      <c r="F232" s="158">
        <f t="shared" si="18"/>
        <v>14506.51994641379</v>
      </c>
      <c r="G232" s="158">
        <f t="shared" si="17"/>
        <v>6083.6032005858633</v>
      </c>
      <c r="H232" s="158">
        <f t="shared" si="15"/>
        <v>8422.9167458279262</v>
      </c>
      <c r="I232" s="159">
        <f t="shared" si="16"/>
        <v>1208297.7233713446</v>
      </c>
    </row>
    <row r="233" spans="3:9" x14ac:dyDescent="0.2">
      <c r="C233" s="43"/>
      <c r="D233" s="62">
        <v>217</v>
      </c>
      <c r="E233" s="158">
        <f t="shared" si="19"/>
        <v>1208297.7233713446</v>
      </c>
      <c r="F233" s="158">
        <f t="shared" si="18"/>
        <v>14506.51994641379</v>
      </c>
      <c r="G233" s="158">
        <f t="shared" si="17"/>
        <v>6041.4886168567236</v>
      </c>
      <c r="H233" s="158">
        <f t="shared" si="15"/>
        <v>8465.0313295570668</v>
      </c>
      <c r="I233" s="159">
        <f t="shared" si="16"/>
        <v>1199832.6920417876</v>
      </c>
    </row>
    <row r="234" spans="3:9" x14ac:dyDescent="0.2">
      <c r="C234" s="43"/>
      <c r="D234" s="62">
        <v>218</v>
      </c>
      <c r="E234" s="158">
        <f t="shared" si="19"/>
        <v>1199832.6920417876</v>
      </c>
      <c r="F234" s="158">
        <f t="shared" si="18"/>
        <v>14506.51994641379</v>
      </c>
      <c r="G234" s="158">
        <f t="shared" si="17"/>
        <v>5999.163460208938</v>
      </c>
      <c r="H234" s="158">
        <f t="shared" si="15"/>
        <v>8507.3564862048515</v>
      </c>
      <c r="I234" s="159">
        <f t="shared" si="16"/>
        <v>1191325.3355555828</v>
      </c>
    </row>
    <row r="235" spans="3:9" x14ac:dyDescent="0.2">
      <c r="C235" s="43"/>
      <c r="D235" s="62">
        <v>219</v>
      </c>
      <c r="E235" s="158">
        <f t="shared" si="19"/>
        <v>1191325.3355555828</v>
      </c>
      <c r="F235" s="158">
        <f t="shared" si="18"/>
        <v>14506.51994641379</v>
      </c>
      <c r="G235" s="158">
        <f t="shared" si="17"/>
        <v>5956.6266777779138</v>
      </c>
      <c r="H235" s="158">
        <f t="shared" si="15"/>
        <v>8549.8932686358748</v>
      </c>
      <c r="I235" s="159">
        <f t="shared" si="16"/>
        <v>1182775.4422869468</v>
      </c>
    </row>
    <row r="236" spans="3:9" x14ac:dyDescent="0.2">
      <c r="C236" s="43"/>
      <c r="D236" s="62">
        <v>220</v>
      </c>
      <c r="E236" s="158">
        <f t="shared" si="19"/>
        <v>1182775.4422869468</v>
      </c>
      <c r="F236" s="158">
        <f t="shared" si="18"/>
        <v>14506.51994641379</v>
      </c>
      <c r="G236" s="158">
        <f t="shared" si="17"/>
        <v>5913.8772114347339</v>
      </c>
      <c r="H236" s="158">
        <f t="shared" si="15"/>
        <v>8592.6427349790556</v>
      </c>
      <c r="I236" s="159">
        <f t="shared" si="16"/>
        <v>1174182.7995519678</v>
      </c>
    </row>
    <row r="237" spans="3:9" x14ac:dyDescent="0.2">
      <c r="C237" s="43"/>
      <c r="D237" s="62">
        <v>221</v>
      </c>
      <c r="E237" s="158">
        <f t="shared" si="19"/>
        <v>1174182.7995519678</v>
      </c>
      <c r="F237" s="158">
        <f t="shared" si="18"/>
        <v>14506.51994641379</v>
      </c>
      <c r="G237" s="158">
        <f t="shared" si="17"/>
        <v>5870.9139977598388</v>
      </c>
      <c r="H237" s="158">
        <f t="shared" si="15"/>
        <v>8635.6059486539507</v>
      </c>
      <c r="I237" s="159">
        <f t="shared" si="16"/>
        <v>1165547.1936033138</v>
      </c>
    </row>
    <row r="238" spans="3:9" x14ac:dyDescent="0.2">
      <c r="C238" s="43"/>
      <c r="D238" s="62">
        <v>222</v>
      </c>
      <c r="E238" s="158">
        <f t="shared" si="19"/>
        <v>1165547.1936033138</v>
      </c>
      <c r="F238" s="158">
        <f t="shared" si="18"/>
        <v>14506.51994641379</v>
      </c>
      <c r="G238" s="158">
        <f t="shared" si="17"/>
        <v>5827.7359680165691</v>
      </c>
      <c r="H238" s="158">
        <f t="shared" si="15"/>
        <v>8678.7839783972195</v>
      </c>
      <c r="I238" s="159">
        <f t="shared" si="16"/>
        <v>1156868.4096249165</v>
      </c>
    </row>
    <row r="239" spans="3:9" x14ac:dyDescent="0.2">
      <c r="C239" s="43"/>
      <c r="D239" s="62">
        <v>223</v>
      </c>
      <c r="E239" s="158">
        <f t="shared" si="19"/>
        <v>1156868.4096249165</v>
      </c>
      <c r="F239" s="158">
        <f t="shared" si="18"/>
        <v>14506.51994641379</v>
      </c>
      <c r="G239" s="158">
        <f t="shared" si="17"/>
        <v>5784.342048124583</v>
      </c>
      <c r="H239" s="158">
        <f t="shared" si="15"/>
        <v>8722.1778982892065</v>
      </c>
      <c r="I239" s="159">
        <f t="shared" si="16"/>
        <v>1148146.2317266273</v>
      </c>
    </row>
    <row r="240" spans="3:9" x14ac:dyDescent="0.2">
      <c r="C240" s="43"/>
      <c r="D240" s="62">
        <v>224</v>
      </c>
      <c r="E240" s="158">
        <f t="shared" si="19"/>
        <v>1148146.2317266273</v>
      </c>
      <c r="F240" s="158">
        <f t="shared" si="18"/>
        <v>14506.51994641379</v>
      </c>
      <c r="G240" s="158">
        <f t="shared" si="17"/>
        <v>5740.7311586331371</v>
      </c>
      <c r="H240" s="158">
        <f t="shared" si="15"/>
        <v>8765.7887877806534</v>
      </c>
      <c r="I240" s="159">
        <f t="shared" si="16"/>
        <v>1139380.4429388468</v>
      </c>
    </row>
    <row r="241" spans="3:9" x14ac:dyDescent="0.2">
      <c r="C241" s="43"/>
      <c r="D241" s="62">
        <v>225</v>
      </c>
      <c r="E241" s="158">
        <f t="shared" si="19"/>
        <v>1139380.4429388468</v>
      </c>
      <c r="F241" s="158">
        <f t="shared" si="18"/>
        <v>14506.51994641379</v>
      </c>
      <c r="G241" s="158">
        <f t="shared" si="17"/>
        <v>5696.9022146942343</v>
      </c>
      <c r="H241" s="158">
        <f t="shared" si="15"/>
        <v>8809.6177317195543</v>
      </c>
      <c r="I241" s="159">
        <f t="shared" si="16"/>
        <v>1130570.8252071273</v>
      </c>
    </row>
    <row r="242" spans="3:9" x14ac:dyDescent="0.2">
      <c r="C242" s="43"/>
      <c r="D242" s="62">
        <v>226</v>
      </c>
      <c r="E242" s="158">
        <f t="shared" si="19"/>
        <v>1130570.8252071273</v>
      </c>
      <c r="F242" s="158">
        <f t="shared" si="18"/>
        <v>14506.51994641379</v>
      </c>
      <c r="G242" s="158">
        <f t="shared" si="17"/>
        <v>5652.854126035636</v>
      </c>
      <c r="H242" s="158">
        <f t="shared" si="15"/>
        <v>8853.6658203781535</v>
      </c>
      <c r="I242" s="159">
        <f t="shared" si="16"/>
        <v>1121717.1593867491</v>
      </c>
    </row>
    <row r="243" spans="3:9" x14ac:dyDescent="0.2">
      <c r="C243" s="43"/>
      <c r="D243" s="62">
        <v>227</v>
      </c>
      <c r="E243" s="158">
        <f t="shared" si="19"/>
        <v>1121717.1593867491</v>
      </c>
      <c r="F243" s="158">
        <f t="shared" si="18"/>
        <v>14506.51994641379</v>
      </c>
      <c r="G243" s="158">
        <f t="shared" si="17"/>
        <v>5608.5857969337458</v>
      </c>
      <c r="H243" s="158">
        <f t="shared" si="15"/>
        <v>8897.9341494800428</v>
      </c>
      <c r="I243" s="159">
        <f t="shared" si="16"/>
        <v>1112819.2252372692</v>
      </c>
    </row>
    <row r="244" spans="3:9" x14ac:dyDescent="0.2">
      <c r="C244" s="49">
        <v>19</v>
      </c>
      <c r="D244" s="161">
        <v>228</v>
      </c>
      <c r="E244" s="158">
        <f t="shared" si="19"/>
        <v>1112819.2252372692</v>
      </c>
      <c r="F244" s="158">
        <f t="shared" si="18"/>
        <v>14506.51994641379</v>
      </c>
      <c r="G244" s="158">
        <f t="shared" si="17"/>
        <v>5564.0961261863458</v>
      </c>
      <c r="H244" s="158">
        <f t="shared" si="15"/>
        <v>8942.4238202274428</v>
      </c>
      <c r="I244" s="159">
        <f t="shared" si="16"/>
        <v>1103876.8014170418</v>
      </c>
    </row>
    <row r="245" spans="3:9" x14ac:dyDescent="0.2">
      <c r="C245" s="43"/>
      <c r="D245" s="62">
        <v>229</v>
      </c>
      <c r="E245" s="158">
        <f t="shared" si="19"/>
        <v>1103876.8014170418</v>
      </c>
      <c r="F245" s="158">
        <f t="shared" si="18"/>
        <v>14506.51994641379</v>
      </c>
      <c r="G245" s="158">
        <f t="shared" si="17"/>
        <v>5519.3840070852093</v>
      </c>
      <c r="H245" s="158">
        <f t="shared" si="15"/>
        <v>8987.1359393285802</v>
      </c>
      <c r="I245" s="159">
        <f t="shared" si="16"/>
        <v>1094889.6654777133</v>
      </c>
    </row>
    <row r="246" spans="3:9" x14ac:dyDescent="0.2">
      <c r="C246" s="43"/>
      <c r="D246" s="62">
        <v>230</v>
      </c>
      <c r="E246" s="158">
        <f t="shared" si="19"/>
        <v>1094889.6654777133</v>
      </c>
      <c r="F246" s="158">
        <f t="shared" si="18"/>
        <v>14506.51994641379</v>
      </c>
      <c r="G246" s="158">
        <f t="shared" si="17"/>
        <v>5474.4483273885671</v>
      </c>
      <c r="H246" s="158">
        <f t="shared" si="15"/>
        <v>9032.0716190252224</v>
      </c>
      <c r="I246" s="159">
        <f t="shared" si="16"/>
        <v>1085857.5938586881</v>
      </c>
    </row>
    <row r="247" spans="3:9" x14ac:dyDescent="0.2">
      <c r="C247" s="43"/>
      <c r="D247" s="62">
        <v>231</v>
      </c>
      <c r="E247" s="158">
        <f t="shared" si="19"/>
        <v>1085857.5938586881</v>
      </c>
      <c r="F247" s="158">
        <f t="shared" si="18"/>
        <v>14506.51994641379</v>
      </c>
      <c r="G247" s="158">
        <f t="shared" si="17"/>
        <v>5429.2879692934412</v>
      </c>
      <c r="H247" s="158">
        <f t="shared" si="15"/>
        <v>9077.2319771203474</v>
      </c>
      <c r="I247" s="159">
        <f t="shared" si="16"/>
        <v>1076780.3618815679</v>
      </c>
    </row>
    <row r="248" spans="3:9" x14ac:dyDescent="0.2">
      <c r="C248" s="43"/>
      <c r="D248" s="62">
        <v>232</v>
      </c>
      <c r="E248" s="158">
        <f t="shared" si="19"/>
        <v>1076780.3618815679</v>
      </c>
      <c r="F248" s="158">
        <f t="shared" si="18"/>
        <v>14506.51994641379</v>
      </c>
      <c r="G248" s="158">
        <f t="shared" si="17"/>
        <v>5383.9018094078392</v>
      </c>
      <c r="H248" s="158">
        <f t="shared" si="15"/>
        <v>9122.6181370059494</v>
      </c>
      <c r="I248" s="159">
        <f t="shared" si="16"/>
        <v>1067657.7437445619</v>
      </c>
    </row>
    <row r="249" spans="3:9" x14ac:dyDescent="0.2">
      <c r="C249" s="43"/>
      <c r="D249" s="62">
        <v>233</v>
      </c>
      <c r="E249" s="158">
        <f t="shared" si="19"/>
        <v>1067657.7437445619</v>
      </c>
      <c r="F249" s="158">
        <f t="shared" si="18"/>
        <v>14506.51994641379</v>
      </c>
      <c r="G249" s="158">
        <f t="shared" si="17"/>
        <v>5338.2887187228098</v>
      </c>
      <c r="H249" s="158">
        <f t="shared" si="15"/>
        <v>9168.2312276909797</v>
      </c>
      <c r="I249" s="159">
        <f t="shared" si="16"/>
        <v>1058489.5125168709</v>
      </c>
    </row>
    <row r="250" spans="3:9" x14ac:dyDescent="0.2">
      <c r="C250" s="43"/>
      <c r="D250" s="62">
        <v>234</v>
      </c>
      <c r="E250" s="158">
        <f t="shared" si="19"/>
        <v>1058489.5125168709</v>
      </c>
      <c r="F250" s="158">
        <f t="shared" si="18"/>
        <v>14506.51994641379</v>
      </c>
      <c r="G250" s="158">
        <f t="shared" si="17"/>
        <v>5292.4475625843543</v>
      </c>
      <c r="H250" s="158">
        <f t="shared" si="15"/>
        <v>9214.0723838294361</v>
      </c>
      <c r="I250" s="159">
        <f t="shared" si="16"/>
        <v>1049275.4401330415</v>
      </c>
    </row>
    <row r="251" spans="3:9" x14ac:dyDescent="0.2">
      <c r="C251" s="43"/>
      <c r="D251" s="62">
        <v>235</v>
      </c>
      <c r="E251" s="158">
        <f t="shared" si="19"/>
        <v>1049275.4401330415</v>
      </c>
      <c r="F251" s="158">
        <f t="shared" si="18"/>
        <v>14506.51994641379</v>
      </c>
      <c r="G251" s="158">
        <f t="shared" si="17"/>
        <v>5246.3772006652071</v>
      </c>
      <c r="H251" s="158">
        <f t="shared" si="15"/>
        <v>9260.1427457485825</v>
      </c>
      <c r="I251" s="159">
        <f t="shared" si="16"/>
        <v>1040015.2973872928</v>
      </c>
    </row>
    <row r="252" spans="3:9" x14ac:dyDescent="0.2">
      <c r="C252" s="43"/>
      <c r="D252" s="62">
        <v>236</v>
      </c>
      <c r="E252" s="158">
        <f t="shared" si="19"/>
        <v>1040015.2973872928</v>
      </c>
      <c r="F252" s="158">
        <f t="shared" si="18"/>
        <v>14506.51994641379</v>
      </c>
      <c r="G252" s="158">
        <f t="shared" si="17"/>
        <v>5200.0764869364639</v>
      </c>
      <c r="H252" s="158">
        <f t="shared" si="15"/>
        <v>9306.4434594773265</v>
      </c>
      <c r="I252" s="159">
        <f t="shared" si="16"/>
        <v>1030708.8539278156</v>
      </c>
    </row>
    <row r="253" spans="3:9" x14ac:dyDescent="0.2">
      <c r="C253" s="43"/>
      <c r="D253" s="62">
        <v>237</v>
      </c>
      <c r="E253" s="158">
        <f t="shared" si="19"/>
        <v>1030708.8539278156</v>
      </c>
      <c r="F253" s="158">
        <f t="shared" si="18"/>
        <v>14506.51994641379</v>
      </c>
      <c r="G253" s="158">
        <f t="shared" si="17"/>
        <v>5153.5442696390783</v>
      </c>
      <c r="H253" s="158">
        <f t="shared" si="15"/>
        <v>9352.9756767747112</v>
      </c>
      <c r="I253" s="159">
        <f t="shared" si="16"/>
        <v>1021355.8782510408</v>
      </c>
    </row>
    <row r="254" spans="3:9" x14ac:dyDescent="0.2">
      <c r="C254" s="43"/>
      <c r="D254" s="62">
        <v>238</v>
      </c>
      <c r="E254" s="158">
        <f t="shared" si="19"/>
        <v>1021355.8782510408</v>
      </c>
      <c r="F254" s="158">
        <f t="shared" si="18"/>
        <v>14506.51994641379</v>
      </c>
      <c r="G254" s="158">
        <f t="shared" si="17"/>
        <v>5106.7793912552042</v>
      </c>
      <c r="H254" s="158">
        <f t="shared" si="15"/>
        <v>9399.7405551585853</v>
      </c>
      <c r="I254" s="159">
        <f t="shared" si="16"/>
        <v>1011956.1376958822</v>
      </c>
    </row>
    <row r="255" spans="3:9" x14ac:dyDescent="0.2">
      <c r="C255" s="43"/>
      <c r="D255" s="62">
        <v>239</v>
      </c>
      <c r="E255" s="158">
        <f t="shared" si="19"/>
        <v>1011956.1376958822</v>
      </c>
      <c r="F255" s="158">
        <f t="shared" si="18"/>
        <v>14506.51994641379</v>
      </c>
      <c r="G255" s="158">
        <f t="shared" si="17"/>
        <v>5059.7806884794109</v>
      </c>
      <c r="H255" s="158">
        <f t="shared" si="15"/>
        <v>9446.7392579343796</v>
      </c>
      <c r="I255" s="159">
        <f t="shared" si="16"/>
        <v>1002509.3984379478</v>
      </c>
    </row>
    <row r="256" spans="3:9" x14ac:dyDescent="0.2">
      <c r="C256" s="49">
        <v>20</v>
      </c>
      <c r="D256" s="161">
        <v>240</v>
      </c>
      <c r="E256" s="158">
        <f t="shared" si="19"/>
        <v>1002509.3984379478</v>
      </c>
      <c r="F256" s="158">
        <f t="shared" si="18"/>
        <v>14506.51994641379</v>
      </c>
      <c r="G256" s="158">
        <f t="shared" si="17"/>
        <v>5012.5469921897393</v>
      </c>
      <c r="H256" s="158">
        <f t="shared" si="15"/>
        <v>9493.9729542240493</v>
      </c>
      <c r="I256" s="159">
        <f t="shared" si="16"/>
        <v>993015.42548372375</v>
      </c>
    </row>
    <row r="257" spans="3:9" x14ac:dyDescent="0.2">
      <c r="C257" s="43"/>
      <c r="D257" s="62">
        <v>241</v>
      </c>
      <c r="E257" s="158">
        <f t="shared" si="19"/>
        <v>993015.42548372375</v>
      </c>
      <c r="F257" s="158">
        <f t="shared" si="18"/>
        <v>14506.51994641379</v>
      </c>
      <c r="G257" s="158">
        <f t="shared" si="17"/>
        <v>4965.0771274186191</v>
      </c>
      <c r="H257" s="158">
        <f t="shared" si="15"/>
        <v>9541.4428189951705</v>
      </c>
      <c r="I257" s="159">
        <f t="shared" si="16"/>
        <v>983473.98266472854</v>
      </c>
    </row>
    <row r="258" spans="3:9" x14ac:dyDescent="0.2">
      <c r="C258" s="43"/>
      <c r="D258" s="62">
        <v>242</v>
      </c>
      <c r="E258" s="158">
        <f t="shared" si="19"/>
        <v>983473.98266472854</v>
      </c>
      <c r="F258" s="158">
        <f t="shared" si="18"/>
        <v>14506.51994641379</v>
      </c>
      <c r="G258" s="158">
        <f t="shared" si="17"/>
        <v>4917.3699133236432</v>
      </c>
      <c r="H258" s="158">
        <f t="shared" si="15"/>
        <v>9589.1500330901472</v>
      </c>
      <c r="I258" s="159">
        <f t="shared" si="16"/>
        <v>973884.83263163839</v>
      </c>
    </row>
    <row r="259" spans="3:9" x14ac:dyDescent="0.2">
      <c r="C259" s="43"/>
      <c r="D259" s="62">
        <v>243</v>
      </c>
      <c r="E259" s="158">
        <f t="shared" si="19"/>
        <v>973884.83263163839</v>
      </c>
      <c r="F259" s="158">
        <f t="shared" si="18"/>
        <v>14506.51994641379</v>
      </c>
      <c r="G259" s="158">
        <f t="shared" si="17"/>
        <v>4869.4241631581917</v>
      </c>
      <c r="H259" s="158">
        <f t="shared" si="15"/>
        <v>9637.0957832555978</v>
      </c>
      <c r="I259" s="159">
        <f t="shared" si="16"/>
        <v>964247.73684838274</v>
      </c>
    </row>
    <row r="260" spans="3:9" x14ac:dyDescent="0.2">
      <c r="C260" s="43"/>
      <c r="D260" s="62">
        <v>244</v>
      </c>
      <c r="E260" s="158">
        <f t="shared" si="19"/>
        <v>964247.73684838274</v>
      </c>
      <c r="F260" s="158">
        <f t="shared" si="18"/>
        <v>14506.51994641379</v>
      </c>
      <c r="G260" s="158">
        <f t="shared" si="17"/>
        <v>4821.2386842419137</v>
      </c>
      <c r="H260" s="158">
        <f t="shared" si="15"/>
        <v>9685.2812621718767</v>
      </c>
      <c r="I260" s="159">
        <f t="shared" si="16"/>
        <v>954562.45558621082</v>
      </c>
    </row>
    <row r="261" spans="3:9" x14ac:dyDescent="0.2">
      <c r="C261" s="43"/>
      <c r="D261" s="62">
        <v>245</v>
      </c>
      <c r="E261" s="158">
        <f t="shared" si="19"/>
        <v>954562.45558621082</v>
      </c>
      <c r="F261" s="158">
        <f t="shared" si="18"/>
        <v>14506.51994641379</v>
      </c>
      <c r="G261" s="158">
        <f t="shared" si="17"/>
        <v>4772.8122779310543</v>
      </c>
      <c r="H261" s="158">
        <f t="shared" si="15"/>
        <v>9733.7076684827352</v>
      </c>
      <c r="I261" s="159">
        <f t="shared" si="16"/>
        <v>944828.74791772803</v>
      </c>
    </row>
    <row r="262" spans="3:9" x14ac:dyDescent="0.2">
      <c r="C262" s="43"/>
      <c r="D262" s="62">
        <v>246</v>
      </c>
      <c r="E262" s="158">
        <f t="shared" si="19"/>
        <v>944828.74791772803</v>
      </c>
      <c r="F262" s="158">
        <f t="shared" si="18"/>
        <v>14506.51994641379</v>
      </c>
      <c r="G262" s="158">
        <f t="shared" si="17"/>
        <v>4724.1437395886405</v>
      </c>
      <c r="H262" s="158">
        <f t="shared" si="15"/>
        <v>9782.376206825149</v>
      </c>
      <c r="I262" s="159">
        <f t="shared" si="16"/>
        <v>935046.37171090289</v>
      </c>
    </row>
    <row r="263" spans="3:9" x14ac:dyDescent="0.2">
      <c r="C263" s="43"/>
      <c r="D263" s="62">
        <v>247</v>
      </c>
      <c r="E263" s="158">
        <f t="shared" si="19"/>
        <v>935046.37171090289</v>
      </c>
      <c r="F263" s="158">
        <f t="shared" si="18"/>
        <v>14506.51994641379</v>
      </c>
      <c r="G263" s="158">
        <f t="shared" si="17"/>
        <v>4675.2318585545145</v>
      </c>
      <c r="H263" s="158">
        <f t="shared" si="15"/>
        <v>9831.288087859275</v>
      </c>
      <c r="I263" s="159">
        <f t="shared" si="16"/>
        <v>925215.08362304361</v>
      </c>
    </row>
    <row r="264" spans="3:9" x14ac:dyDescent="0.2">
      <c r="C264" s="43"/>
      <c r="D264" s="62">
        <v>248</v>
      </c>
      <c r="E264" s="158">
        <f t="shared" si="19"/>
        <v>925215.08362304361</v>
      </c>
      <c r="F264" s="158">
        <f t="shared" si="18"/>
        <v>14506.51994641379</v>
      </c>
      <c r="G264" s="158">
        <f t="shared" si="17"/>
        <v>4626.0754181152179</v>
      </c>
      <c r="H264" s="158">
        <f t="shared" si="15"/>
        <v>9880.4445282985725</v>
      </c>
      <c r="I264" s="159">
        <f t="shared" si="16"/>
        <v>915334.63909474504</v>
      </c>
    </row>
    <row r="265" spans="3:9" x14ac:dyDescent="0.2">
      <c r="C265" s="43"/>
      <c r="D265" s="62">
        <v>249</v>
      </c>
      <c r="E265" s="158">
        <f t="shared" si="19"/>
        <v>915334.63909474504</v>
      </c>
      <c r="F265" s="158">
        <f t="shared" si="18"/>
        <v>14506.51994641379</v>
      </c>
      <c r="G265" s="158">
        <f t="shared" si="17"/>
        <v>4576.6731954737252</v>
      </c>
      <c r="H265" s="158">
        <f t="shared" si="15"/>
        <v>9929.8467509400652</v>
      </c>
      <c r="I265" s="159">
        <f t="shared" si="16"/>
        <v>905404.79234380496</v>
      </c>
    </row>
    <row r="266" spans="3:9" x14ac:dyDescent="0.2">
      <c r="C266" s="43"/>
      <c r="D266" s="62">
        <v>250</v>
      </c>
      <c r="E266" s="158">
        <f t="shared" si="19"/>
        <v>905404.79234380496</v>
      </c>
      <c r="F266" s="158">
        <f t="shared" si="18"/>
        <v>14506.51994641379</v>
      </c>
      <c r="G266" s="158">
        <f t="shared" si="17"/>
        <v>4527.0239617190246</v>
      </c>
      <c r="H266" s="158">
        <f t="shared" si="15"/>
        <v>9979.495984694764</v>
      </c>
      <c r="I266" s="159">
        <f t="shared" si="16"/>
        <v>895425.29635911016</v>
      </c>
    </row>
    <row r="267" spans="3:9" x14ac:dyDescent="0.2">
      <c r="C267" s="43"/>
      <c r="D267" s="62">
        <v>251</v>
      </c>
      <c r="E267" s="158">
        <f t="shared" si="19"/>
        <v>895425.29635911016</v>
      </c>
      <c r="F267" s="158">
        <f t="shared" si="18"/>
        <v>14506.51994641379</v>
      </c>
      <c r="G267" s="158">
        <f t="shared" si="17"/>
        <v>4477.1264817955507</v>
      </c>
      <c r="H267" s="158">
        <f t="shared" si="15"/>
        <v>10029.393464618239</v>
      </c>
      <c r="I267" s="159">
        <f t="shared" si="16"/>
        <v>885395.90289449191</v>
      </c>
    </row>
    <row r="268" spans="3:9" x14ac:dyDescent="0.2">
      <c r="C268" s="49">
        <v>21</v>
      </c>
      <c r="D268" s="161">
        <v>252</v>
      </c>
      <c r="E268" s="158">
        <f t="shared" si="19"/>
        <v>885395.90289449191</v>
      </c>
      <c r="F268" s="158">
        <f t="shared" si="18"/>
        <v>14506.51994641379</v>
      </c>
      <c r="G268" s="158">
        <f t="shared" si="17"/>
        <v>4426.9795144724594</v>
      </c>
      <c r="H268" s="158">
        <f t="shared" si="15"/>
        <v>10079.54043194133</v>
      </c>
      <c r="I268" s="159">
        <f t="shared" si="16"/>
        <v>875316.36246255063</v>
      </c>
    </row>
    <row r="269" spans="3:9" x14ac:dyDescent="0.2">
      <c r="C269" s="43"/>
      <c r="D269" s="62">
        <v>253</v>
      </c>
      <c r="E269" s="158">
        <f t="shared" si="19"/>
        <v>875316.36246255063</v>
      </c>
      <c r="F269" s="158">
        <f t="shared" si="18"/>
        <v>14506.51994641379</v>
      </c>
      <c r="G269" s="158">
        <f t="shared" si="17"/>
        <v>4376.5818123127528</v>
      </c>
      <c r="H269" s="158">
        <f t="shared" si="15"/>
        <v>10129.938134101038</v>
      </c>
      <c r="I269" s="159">
        <f t="shared" si="16"/>
        <v>865186.42432844965</v>
      </c>
    </row>
    <row r="270" spans="3:9" x14ac:dyDescent="0.2">
      <c r="C270" s="43"/>
      <c r="D270" s="62">
        <v>254</v>
      </c>
      <c r="E270" s="158">
        <f t="shared" si="19"/>
        <v>865186.42432844965</v>
      </c>
      <c r="F270" s="158">
        <f t="shared" si="18"/>
        <v>14506.51994641379</v>
      </c>
      <c r="G270" s="158">
        <f t="shared" si="17"/>
        <v>4325.9321216422486</v>
      </c>
      <c r="H270" s="158">
        <f t="shared" si="15"/>
        <v>10180.587824771541</v>
      </c>
      <c r="I270" s="159">
        <f t="shared" si="16"/>
        <v>855005.83650367812</v>
      </c>
    </row>
    <row r="271" spans="3:9" x14ac:dyDescent="0.2">
      <c r="C271" s="43"/>
      <c r="D271" s="62">
        <v>255</v>
      </c>
      <c r="E271" s="158">
        <f t="shared" si="19"/>
        <v>855005.83650367812</v>
      </c>
      <c r="F271" s="158">
        <f t="shared" si="18"/>
        <v>14506.51994641379</v>
      </c>
      <c r="G271" s="158">
        <f t="shared" si="17"/>
        <v>4275.0291825183904</v>
      </c>
      <c r="H271" s="158">
        <f t="shared" si="15"/>
        <v>10231.490763895399</v>
      </c>
      <c r="I271" s="159">
        <f t="shared" si="16"/>
        <v>844774.34573978267</v>
      </c>
    </row>
    <row r="272" spans="3:9" x14ac:dyDescent="0.2">
      <c r="C272" s="43"/>
      <c r="D272" s="62">
        <v>256</v>
      </c>
      <c r="E272" s="158">
        <f t="shared" si="19"/>
        <v>844774.34573978267</v>
      </c>
      <c r="F272" s="158">
        <f t="shared" si="18"/>
        <v>14506.51994641379</v>
      </c>
      <c r="G272" s="158">
        <f t="shared" si="17"/>
        <v>4223.8717286989131</v>
      </c>
      <c r="H272" s="158">
        <f t="shared" si="15"/>
        <v>10282.648217714875</v>
      </c>
      <c r="I272" s="159">
        <f t="shared" si="16"/>
        <v>834491.69752206781</v>
      </c>
    </row>
    <row r="273" spans="3:9" x14ac:dyDescent="0.2">
      <c r="C273" s="43"/>
      <c r="D273" s="62">
        <v>257</v>
      </c>
      <c r="E273" s="158">
        <f t="shared" si="19"/>
        <v>834491.69752206781</v>
      </c>
      <c r="F273" s="158">
        <f t="shared" si="18"/>
        <v>14506.51994641379</v>
      </c>
      <c r="G273" s="158">
        <f t="shared" si="17"/>
        <v>4172.458487610339</v>
      </c>
      <c r="H273" s="158">
        <f t="shared" ref="H273:H336" si="20">F273-G273</f>
        <v>10334.061458803451</v>
      </c>
      <c r="I273" s="159">
        <f t="shared" ref="I273:I336" si="21">E273-H273</f>
        <v>824157.63606326433</v>
      </c>
    </row>
    <row r="274" spans="3:9" x14ac:dyDescent="0.2">
      <c r="C274" s="43"/>
      <c r="D274" s="62">
        <v>258</v>
      </c>
      <c r="E274" s="158">
        <f t="shared" si="19"/>
        <v>824157.63606326433</v>
      </c>
      <c r="F274" s="158">
        <f t="shared" si="18"/>
        <v>14506.51994641379</v>
      </c>
      <c r="G274" s="158">
        <f t="shared" ref="G274:G337" si="22">IF(D274&gt;$D$10,0,($D$6/12)*I273)</f>
        <v>4120.7881803163218</v>
      </c>
      <c r="H274" s="158">
        <f t="shared" si="20"/>
        <v>10385.731766097468</v>
      </c>
      <c r="I274" s="159">
        <f t="shared" si="21"/>
        <v>813771.90429716685</v>
      </c>
    </row>
    <row r="275" spans="3:9" x14ac:dyDescent="0.2">
      <c r="C275" s="43"/>
      <c r="D275" s="62">
        <v>259</v>
      </c>
      <c r="E275" s="158">
        <f t="shared" si="19"/>
        <v>813771.90429716685</v>
      </c>
      <c r="F275" s="158">
        <f t="shared" si="18"/>
        <v>14506.51994641379</v>
      </c>
      <c r="G275" s="158">
        <f t="shared" si="22"/>
        <v>4068.8595214858342</v>
      </c>
      <c r="H275" s="158">
        <f t="shared" si="20"/>
        <v>10437.660424927955</v>
      </c>
      <c r="I275" s="159">
        <f t="shared" si="21"/>
        <v>803334.24387223891</v>
      </c>
    </row>
    <row r="276" spans="3:9" x14ac:dyDescent="0.2">
      <c r="C276" s="43"/>
      <c r="D276" s="62">
        <v>260</v>
      </c>
      <c r="E276" s="158">
        <f t="shared" si="19"/>
        <v>803334.24387223891</v>
      </c>
      <c r="F276" s="158">
        <f t="shared" si="18"/>
        <v>14506.51994641379</v>
      </c>
      <c r="G276" s="158">
        <f t="shared" si="22"/>
        <v>4016.6712193611947</v>
      </c>
      <c r="H276" s="158">
        <f t="shared" si="20"/>
        <v>10489.848727052595</v>
      </c>
      <c r="I276" s="159">
        <f t="shared" si="21"/>
        <v>792844.39514518634</v>
      </c>
    </row>
    <row r="277" spans="3:9" x14ac:dyDescent="0.2">
      <c r="C277" s="43"/>
      <c r="D277" s="62">
        <v>261</v>
      </c>
      <c r="E277" s="158">
        <f t="shared" si="19"/>
        <v>792844.39514518634</v>
      </c>
      <c r="F277" s="158">
        <f t="shared" ref="F277:F340" si="23">IF(D277&gt;$D$10,0,IF(D277&lt;=$D$8,G277,-PMT($D$6/12,$D$9,$D$5,0,0)))</f>
        <v>14506.51994641379</v>
      </c>
      <c r="G277" s="158">
        <f t="shared" si="22"/>
        <v>3964.2219757259318</v>
      </c>
      <c r="H277" s="158">
        <f t="shared" si="20"/>
        <v>10542.297970687858</v>
      </c>
      <c r="I277" s="159">
        <f t="shared" si="21"/>
        <v>782302.09717449849</v>
      </c>
    </row>
    <row r="278" spans="3:9" x14ac:dyDescent="0.2">
      <c r="C278" s="43"/>
      <c r="D278" s="62">
        <v>262</v>
      </c>
      <c r="E278" s="158">
        <f t="shared" ref="E278:E341" si="24">IF(D278&gt;$D$10,0,I277)</f>
        <v>782302.09717449849</v>
      </c>
      <c r="F278" s="158">
        <f t="shared" si="23"/>
        <v>14506.51994641379</v>
      </c>
      <c r="G278" s="158">
        <f t="shared" si="22"/>
        <v>3911.5104858724926</v>
      </c>
      <c r="H278" s="158">
        <f t="shared" si="20"/>
        <v>10595.009460541296</v>
      </c>
      <c r="I278" s="159">
        <f t="shared" si="21"/>
        <v>771707.08771395718</v>
      </c>
    </row>
    <row r="279" spans="3:9" x14ac:dyDescent="0.2">
      <c r="C279" s="43"/>
      <c r="D279" s="62">
        <v>263</v>
      </c>
      <c r="E279" s="158">
        <f t="shared" si="24"/>
        <v>771707.08771395718</v>
      </c>
      <c r="F279" s="158">
        <f t="shared" si="23"/>
        <v>14506.51994641379</v>
      </c>
      <c r="G279" s="158">
        <f t="shared" si="22"/>
        <v>3858.535438569786</v>
      </c>
      <c r="H279" s="158">
        <f t="shared" si="20"/>
        <v>10647.984507844003</v>
      </c>
      <c r="I279" s="159">
        <f t="shared" si="21"/>
        <v>761059.10320611321</v>
      </c>
    </row>
    <row r="280" spans="3:9" x14ac:dyDescent="0.2">
      <c r="C280" s="49">
        <v>22</v>
      </c>
      <c r="D280" s="161">
        <v>264</v>
      </c>
      <c r="E280" s="158">
        <f t="shared" si="24"/>
        <v>761059.10320611321</v>
      </c>
      <c r="F280" s="158">
        <f t="shared" si="23"/>
        <v>14506.51994641379</v>
      </c>
      <c r="G280" s="158">
        <f t="shared" si="22"/>
        <v>3805.295516030566</v>
      </c>
      <c r="H280" s="158">
        <f t="shared" si="20"/>
        <v>10701.224430383223</v>
      </c>
      <c r="I280" s="159">
        <f t="shared" si="21"/>
        <v>750357.87877573003</v>
      </c>
    </row>
    <row r="281" spans="3:9" x14ac:dyDescent="0.2">
      <c r="C281" s="43"/>
      <c r="D281" s="62">
        <v>265</v>
      </c>
      <c r="E281" s="158">
        <f t="shared" si="24"/>
        <v>750357.87877573003</v>
      </c>
      <c r="F281" s="158">
        <f t="shared" si="23"/>
        <v>14506.51994641379</v>
      </c>
      <c r="G281" s="158">
        <f t="shared" si="22"/>
        <v>3751.7893938786501</v>
      </c>
      <c r="H281" s="158">
        <f t="shared" si="20"/>
        <v>10754.73055253514</v>
      </c>
      <c r="I281" s="159">
        <f t="shared" si="21"/>
        <v>739603.14822319488</v>
      </c>
    </row>
    <row r="282" spans="3:9" x14ac:dyDescent="0.2">
      <c r="C282" s="43"/>
      <c r="D282" s="62">
        <v>266</v>
      </c>
      <c r="E282" s="158">
        <f t="shared" si="24"/>
        <v>739603.14822319488</v>
      </c>
      <c r="F282" s="158">
        <f t="shared" si="23"/>
        <v>14506.51994641379</v>
      </c>
      <c r="G282" s="158">
        <f t="shared" si="22"/>
        <v>3698.0157411159744</v>
      </c>
      <c r="H282" s="158">
        <f t="shared" si="20"/>
        <v>10808.504205297815</v>
      </c>
      <c r="I282" s="159">
        <f t="shared" si="21"/>
        <v>728794.64401789708</v>
      </c>
    </row>
    <row r="283" spans="3:9" x14ac:dyDescent="0.2">
      <c r="C283" s="43"/>
      <c r="D283" s="62">
        <v>267</v>
      </c>
      <c r="E283" s="158">
        <f t="shared" si="24"/>
        <v>728794.64401789708</v>
      </c>
      <c r="F283" s="158">
        <f t="shared" si="23"/>
        <v>14506.51994641379</v>
      </c>
      <c r="G283" s="158">
        <f t="shared" si="22"/>
        <v>3643.9732200894855</v>
      </c>
      <c r="H283" s="158">
        <f t="shared" si="20"/>
        <v>10862.546726324304</v>
      </c>
      <c r="I283" s="159">
        <f t="shared" si="21"/>
        <v>717932.09729157272</v>
      </c>
    </row>
    <row r="284" spans="3:9" x14ac:dyDescent="0.2">
      <c r="C284" s="43"/>
      <c r="D284" s="62">
        <v>268</v>
      </c>
      <c r="E284" s="158">
        <f t="shared" si="24"/>
        <v>717932.09729157272</v>
      </c>
      <c r="F284" s="158">
        <f t="shared" si="23"/>
        <v>14506.51994641379</v>
      </c>
      <c r="G284" s="158">
        <f t="shared" si="22"/>
        <v>3589.6604864578635</v>
      </c>
      <c r="H284" s="158">
        <f t="shared" si="20"/>
        <v>10916.859459955926</v>
      </c>
      <c r="I284" s="159">
        <f t="shared" si="21"/>
        <v>707015.23783161677</v>
      </c>
    </row>
    <row r="285" spans="3:9" x14ac:dyDescent="0.2">
      <c r="C285" s="43"/>
      <c r="D285" s="62">
        <v>269</v>
      </c>
      <c r="E285" s="158">
        <f t="shared" si="24"/>
        <v>707015.23783161677</v>
      </c>
      <c r="F285" s="158">
        <f t="shared" si="23"/>
        <v>14506.51994641379</v>
      </c>
      <c r="G285" s="158">
        <f t="shared" si="22"/>
        <v>3535.0761891580842</v>
      </c>
      <c r="H285" s="158">
        <f t="shared" si="20"/>
        <v>10971.443757255705</v>
      </c>
      <c r="I285" s="159">
        <f t="shared" si="21"/>
        <v>696043.7940743611</v>
      </c>
    </row>
    <row r="286" spans="3:9" x14ac:dyDescent="0.2">
      <c r="C286" s="43"/>
      <c r="D286" s="62">
        <v>270</v>
      </c>
      <c r="E286" s="158">
        <f t="shared" si="24"/>
        <v>696043.7940743611</v>
      </c>
      <c r="F286" s="158">
        <f t="shared" si="23"/>
        <v>14506.51994641379</v>
      </c>
      <c r="G286" s="158">
        <f t="shared" si="22"/>
        <v>3480.2189703718054</v>
      </c>
      <c r="H286" s="158">
        <f t="shared" si="20"/>
        <v>11026.300976041985</v>
      </c>
      <c r="I286" s="159">
        <f t="shared" si="21"/>
        <v>685017.49309831916</v>
      </c>
    </row>
    <row r="287" spans="3:9" x14ac:dyDescent="0.2">
      <c r="C287" s="43"/>
      <c r="D287" s="62">
        <v>271</v>
      </c>
      <c r="E287" s="158">
        <f t="shared" si="24"/>
        <v>685017.49309831916</v>
      </c>
      <c r="F287" s="158">
        <f t="shared" si="23"/>
        <v>14506.51994641379</v>
      </c>
      <c r="G287" s="158">
        <f t="shared" si="22"/>
        <v>3425.087465491596</v>
      </c>
      <c r="H287" s="158">
        <f t="shared" si="20"/>
        <v>11081.432480922194</v>
      </c>
      <c r="I287" s="159">
        <f t="shared" si="21"/>
        <v>673936.06061739696</v>
      </c>
    </row>
    <row r="288" spans="3:9" x14ac:dyDescent="0.2">
      <c r="C288" s="43"/>
      <c r="D288" s="62">
        <v>272</v>
      </c>
      <c r="E288" s="158">
        <f t="shared" si="24"/>
        <v>673936.06061739696</v>
      </c>
      <c r="F288" s="158">
        <f t="shared" si="23"/>
        <v>14506.51994641379</v>
      </c>
      <c r="G288" s="158">
        <f t="shared" si="22"/>
        <v>3369.6803030869851</v>
      </c>
      <c r="H288" s="158">
        <f t="shared" si="20"/>
        <v>11136.839643326804</v>
      </c>
      <c r="I288" s="159">
        <f t="shared" si="21"/>
        <v>662799.22097407014</v>
      </c>
    </row>
    <row r="289" spans="3:9" x14ac:dyDescent="0.2">
      <c r="C289" s="43"/>
      <c r="D289" s="62">
        <v>273</v>
      </c>
      <c r="E289" s="158">
        <f t="shared" si="24"/>
        <v>662799.22097407014</v>
      </c>
      <c r="F289" s="158">
        <f t="shared" si="23"/>
        <v>14506.51994641379</v>
      </c>
      <c r="G289" s="158">
        <f t="shared" si="22"/>
        <v>3313.9961048703508</v>
      </c>
      <c r="H289" s="158">
        <f t="shared" si="20"/>
        <v>11192.52384154344</v>
      </c>
      <c r="I289" s="159">
        <f t="shared" si="21"/>
        <v>651606.69713252666</v>
      </c>
    </row>
    <row r="290" spans="3:9" x14ac:dyDescent="0.2">
      <c r="C290" s="43"/>
      <c r="D290" s="62">
        <v>274</v>
      </c>
      <c r="E290" s="158">
        <f t="shared" si="24"/>
        <v>651606.69713252666</v>
      </c>
      <c r="F290" s="158">
        <f t="shared" si="23"/>
        <v>14506.51994641379</v>
      </c>
      <c r="G290" s="158">
        <f t="shared" si="22"/>
        <v>3258.0334856626332</v>
      </c>
      <c r="H290" s="158">
        <f t="shared" si="20"/>
        <v>11248.486460751155</v>
      </c>
      <c r="I290" s="159">
        <f t="shared" si="21"/>
        <v>640358.21067177551</v>
      </c>
    </row>
    <row r="291" spans="3:9" x14ac:dyDescent="0.2">
      <c r="C291" s="43"/>
      <c r="D291" s="62">
        <v>275</v>
      </c>
      <c r="E291" s="158">
        <f t="shared" si="24"/>
        <v>640358.21067177551</v>
      </c>
      <c r="F291" s="158">
        <f t="shared" si="23"/>
        <v>14506.51994641379</v>
      </c>
      <c r="G291" s="158">
        <f t="shared" si="22"/>
        <v>3201.7910533588774</v>
      </c>
      <c r="H291" s="158">
        <f t="shared" si="20"/>
        <v>11304.728893054911</v>
      </c>
      <c r="I291" s="159">
        <f t="shared" si="21"/>
        <v>629053.48177872063</v>
      </c>
    </row>
    <row r="292" spans="3:9" x14ac:dyDescent="0.2">
      <c r="C292" s="49">
        <v>23</v>
      </c>
      <c r="D292" s="161">
        <v>276</v>
      </c>
      <c r="E292" s="158">
        <f t="shared" si="24"/>
        <v>629053.48177872063</v>
      </c>
      <c r="F292" s="158">
        <f t="shared" si="23"/>
        <v>14506.51994641379</v>
      </c>
      <c r="G292" s="158">
        <f t="shared" si="22"/>
        <v>3145.2674088936033</v>
      </c>
      <c r="H292" s="158">
        <f t="shared" si="20"/>
        <v>11361.252537520186</v>
      </c>
      <c r="I292" s="159">
        <f t="shared" si="21"/>
        <v>617692.22924120049</v>
      </c>
    </row>
    <row r="293" spans="3:9" x14ac:dyDescent="0.2">
      <c r="C293" s="43"/>
      <c r="D293" s="62">
        <v>277</v>
      </c>
      <c r="E293" s="158">
        <f t="shared" si="24"/>
        <v>617692.22924120049</v>
      </c>
      <c r="F293" s="158">
        <f t="shared" si="23"/>
        <v>14506.51994641379</v>
      </c>
      <c r="G293" s="158">
        <f t="shared" si="22"/>
        <v>3088.4611462060025</v>
      </c>
      <c r="H293" s="158">
        <f t="shared" si="20"/>
        <v>11418.058800207787</v>
      </c>
      <c r="I293" s="159">
        <f t="shared" si="21"/>
        <v>606274.17044099269</v>
      </c>
    </row>
    <row r="294" spans="3:9" x14ac:dyDescent="0.2">
      <c r="C294" s="43"/>
      <c r="D294" s="62">
        <v>278</v>
      </c>
      <c r="E294" s="158">
        <f t="shared" si="24"/>
        <v>606274.17044099269</v>
      </c>
      <c r="F294" s="158">
        <f t="shared" si="23"/>
        <v>14506.51994641379</v>
      </c>
      <c r="G294" s="158">
        <f t="shared" si="22"/>
        <v>3031.3708522049633</v>
      </c>
      <c r="H294" s="158">
        <f t="shared" si="20"/>
        <v>11475.149094208826</v>
      </c>
      <c r="I294" s="159">
        <f t="shared" si="21"/>
        <v>594799.02134678385</v>
      </c>
    </row>
    <row r="295" spans="3:9" x14ac:dyDescent="0.2">
      <c r="C295" s="43"/>
      <c r="D295" s="62">
        <v>279</v>
      </c>
      <c r="E295" s="158">
        <f t="shared" si="24"/>
        <v>594799.02134678385</v>
      </c>
      <c r="F295" s="158">
        <f t="shared" si="23"/>
        <v>14506.51994641379</v>
      </c>
      <c r="G295" s="158">
        <f t="shared" si="22"/>
        <v>2973.9951067339193</v>
      </c>
      <c r="H295" s="158">
        <f t="shared" si="20"/>
        <v>11532.524839679871</v>
      </c>
      <c r="I295" s="159">
        <f t="shared" si="21"/>
        <v>583266.49650710402</v>
      </c>
    </row>
    <row r="296" spans="3:9" x14ac:dyDescent="0.2">
      <c r="C296" s="43"/>
      <c r="D296" s="62">
        <v>280</v>
      </c>
      <c r="E296" s="158">
        <f t="shared" si="24"/>
        <v>583266.49650710402</v>
      </c>
      <c r="F296" s="158">
        <f t="shared" si="23"/>
        <v>14506.51994641379</v>
      </c>
      <c r="G296" s="158">
        <f t="shared" si="22"/>
        <v>2916.3324825355203</v>
      </c>
      <c r="H296" s="158">
        <f t="shared" si="20"/>
        <v>11590.187463878268</v>
      </c>
      <c r="I296" s="159">
        <f t="shared" si="21"/>
        <v>571676.30904322572</v>
      </c>
    </row>
    <row r="297" spans="3:9" x14ac:dyDescent="0.2">
      <c r="C297" s="43"/>
      <c r="D297" s="62">
        <v>281</v>
      </c>
      <c r="E297" s="158">
        <f t="shared" si="24"/>
        <v>571676.30904322572</v>
      </c>
      <c r="F297" s="158">
        <f t="shared" si="23"/>
        <v>14506.51994641379</v>
      </c>
      <c r="G297" s="158">
        <f t="shared" si="22"/>
        <v>2858.3815452161284</v>
      </c>
      <c r="H297" s="158">
        <f t="shared" si="20"/>
        <v>11648.138401197661</v>
      </c>
      <c r="I297" s="159">
        <f t="shared" si="21"/>
        <v>560028.1706420281</v>
      </c>
    </row>
    <row r="298" spans="3:9" x14ac:dyDescent="0.2">
      <c r="C298" s="43"/>
      <c r="D298" s="62">
        <v>282</v>
      </c>
      <c r="E298" s="158">
        <f t="shared" si="24"/>
        <v>560028.1706420281</v>
      </c>
      <c r="F298" s="158">
        <f t="shared" si="23"/>
        <v>14506.51994641379</v>
      </c>
      <c r="G298" s="158">
        <f t="shared" si="22"/>
        <v>2800.1408532101404</v>
      </c>
      <c r="H298" s="158">
        <f t="shared" si="20"/>
        <v>11706.37909320365</v>
      </c>
      <c r="I298" s="159">
        <f t="shared" si="21"/>
        <v>548321.7915488244</v>
      </c>
    </row>
    <row r="299" spans="3:9" x14ac:dyDescent="0.2">
      <c r="C299" s="43"/>
      <c r="D299" s="62">
        <v>283</v>
      </c>
      <c r="E299" s="158">
        <f t="shared" si="24"/>
        <v>548321.7915488244</v>
      </c>
      <c r="F299" s="158">
        <f t="shared" si="23"/>
        <v>14506.51994641379</v>
      </c>
      <c r="G299" s="158">
        <f t="shared" si="22"/>
        <v>2741.6089577441221</v>
      </c>
      <c r="H299" s="158">
        <f t="shared" si="20"/>
        <v>11764.910988669668</v>
      </c>
      <c r="I299" s="159">
        <f t="shared" si="21"/>
        <v>536556.88056015479</v>
      </c>
    </row>
    <row r="300" spans="3:9" x14ac:dyDescent="0.2">
      <c r="C300" s="43"/>
      <c r="D300" s="62">
        <v>284</v>
      </c>
      <c r="E300" s="158">
        <f t="shared" si="24"/>
        <v>536556.88056015479</v>
      </c>
      <c r="F300" s="158">
        <f t="shared" si="23"/>
        <v>14506.51994641379</v>
      </c>
      <c r="G300" s="158">
        <f t="shared" si="22"/>
        <v>2682.7844028007739</v>
      </c>
      <c r="H300" s="158">
        <f t="shared" si="20"/>
        <v>11823.735543613016</v>
      </c>
      <c r="I300" s="159">
        <f t="shared" si="21"/>
        <v>524733.14501654182</v>
      </c>
    </row>
    <row r="301" spans="3:9" x14ac:dyDescent="0.2">
      <c r="C301" s="43"/>
      <c r="D301" s="62">
        <v>285</v>
      </c>
      <c r="E301" s="158">
        <f t="shared" si="24"/>
        <v>524733.14501654182</v>
      </c>
      <c r="F301" s="158">
        <f t="shared" si="23"/>
        <v>14506.51994641379</v>
      </c>
      <c r="G301" s="158">
        <f t="shared" si="22"/>
        <v>2623.6657250827093</v>
      </c>
      <c r="H301" s="158">
        <f t="shared" si="20"/>
        <v>11882.854221331079</v>
      </c>
      <c r="I301" s="159">
        <f t="shared" si="21"/>
        <v>512850.29079521075</v>
      </c>
    </row>
    <row r="302" spans="3:9" x14ac:dyDescent="0.2">
      <c r="C302" s="43"/>
      <c r="D302" s="62">
        <v>286</v>
      </c>
      <c r="E302" s="158">
        <f t="shared" si="24"/>
        <v>512850.29079521075</v>
      </c>
      <c r="F302" s="158">
        <f t="shared" si="23"/>
        <v>14506.51994641379</v>
      </c>
      <c r="G302" s="158">
        <f t="shared" si="22"/>
        <v>2564.2514539760537</v>
      </c>
      <c r="H302" s="158">
        <f t="shared" si="20"/>
        <v>11942.268492437735</v>
      </c>
      <c r="I302" s="159">
        <f t="shared" si="21"/>
        <v>500908.02230277302</v>
      </c>
    </row>
    <row r="303" spans="3:9" x14ac:dyDescent="0.2">
      <c r="C303" s="43"/>
      <c r="D303" s="62">
        <v>287</v>
      </c>
      <c r="E303" s="158">
        <f t="shared" si="24"/>
        <v>500908.02230277302</v>
      </c>
      <c r="F303" s="158">
        <f t="shared" si="23"/>
        <v>14506.51994641379</v>
      </c>
      <c r="G303" s="158">
        <f t="shared" si="22"/>
        <v>2504.5401115138652</v>
      </c>
      <c r="H303" s="158">
        <f t="shared" si="20"/>
        <v>12001.979834899925</v>
      </c>
      <c r="I303" s="159">
        <f t="shared" si="21"/>
        <v>488906.04246787308</v>
      </c>
    </row>
    <row r="304" spans="3:9" x14ac:dyDescent="0.2">
      <c r="C304" s="49">
        <v>24</v>
      </c>
      <c r="D304" s="161">
        <v>288</v>
      </c>
      <c r="E304" s="158">
        <f t="shared" si="24"/>
        <v>488906.04246787308</v>
      </c>
      <c r="F304" s="158">
        <f t="shared" si="23"/>
        <v>14506.51994641379</v>
      </c>
      <c r="G304" s="158">
        <f t="shared" si="22"/>
        <v>2444.5302123393653</v>
      </c>
      <c r="H304" s="158">
        <f t="shared" si="20"/>
        <v>12061.989734074425</v>
      </c>
      <c r="I304" s="159">
        <f t="shared" si="21"/>
        <v>476844.05273379863</v>
      </c>
    </row>
    <row r="305" spans="3:9" x14ac:dyDescent="0.2">
      <c r="C305" s="43"/>
      <c r="D305" s="62">
        <v>289</v>
      </c>
      <c r="E305" s="158">
        <f t="shared" si="24"/>
        <v>476844.05273379863</v>
      </c>
      <c r="F305" s="158">
        <f t="shared" si="23"/>
        <v>14506.51994641379</v>
      </c>
      <c r="G305" s="158">
        <f t="shared" si="22"/>
        <v>2384.2202636689931</v>
      </c>
      <c r="H305" s="158">
        <f t="shared" si="20"/>
        <v>12122.299682744797</v>
      </c>
      <c r="I305" s="159">
        <f t="shared" si="21"/>
        <v>464721.75305105385</v>
      </c>
    </row>
    <row r="306" spans="3:9" x14ac:dyDescent="0.2">
      <c r="C306" s="43"/>
      <c r="D306" s="62">
        <v>290</v>
      </c>
      <c r="E306" s="158">
        <f t="shared" si="24"/>
        <v>464721.75305105385</v>
      </c>
      <c r="F306" s="158">
        <f t="shared" si="23"/>
        <v>14506.51994641379</v>
      </c>
      <c r="G306" s="158">
        <f t="shared" si="22"/>
        <v>2323.6087652552692</v>
      </c>
      <c r="H306" s="158">
        <f t="shared" si="20"/>
        <v>12182.911181158521</v>
      </c>
      <c r="I306" s="159">
        <f t="shared" si="21"/>
        <v>452538.84186989535</v>
      </c>
    </row>
    <row r="307" spans="3:9" x14ac:dyDescent="0.2">
      <c r="C307" s="43"/>
      <c r="D307" s="62">
        <v>291</v>
      </c>
      <c r="E307" s="158">
        <f t="shared" si="24"/>
        <v>452538.84186989535</v>
      </c>
      <c r="F307" s="158">
        <f t="shared" si="23"/>
        <v>14506.51994641379</v>
      </c>
      <c r="G307" s="158">
        <f t="shared" si="22"/>
        <v>2262.6942093494768</v>
      </c>
      <c r="H307" s="158">
        <f t="shared" si="20"/>
        <v>12243.825737064313</v>
      </c>
      <c r="I307" s="159">
        <f t="shared" si="21"/>
        <v>440295.01613283105</v>
      </c>
    </row>
    <row r="308" spans="3:9" x14ac:dyDescent="0.2">
      <c r="C308" s="43"/>
      <c r="D308" s="62">
        <v>292</v>
      </c>
      <c r="E308" s="158">
        <f t="shared" si="24"/>
        <v>440295.01613283105</v>
      </c>
      <c r="F308" s="158">
        <f t="shared" si="23"/>
        <v>14506.51994641379</v>
      </c>
      <c r="G308" s="158">
        <f t="shared" si="22"/>
        <v>2201.4750806641555</v>
      </c>
      <c r="H308" s="158">
        <f t="shared" si="20"/>
        <v>12305.044865749634</v>
      </c>
      <c r="I308" s="159">
        <f t="shared" si="21"/>
        <v>427989.97126708139</v>
      </c>
    </row>
    <row r="309" spans="3:9" x14ac:dyDescent="0.2">
      <c r="C309" s="43"/>
      <c r="D309" s="62">
        <v>293</v>
      </c>
      <c r="E309" s="158">
        <f t="shared" si="24"/>
        <v>427989.97126708139</v>
      </c>
      <c r="F309" s="158">
        <f t="shared" si="23"/>
        <v>14506.51994641379</v>
      </c>
      <c r="G309" s="158">
        <f t="shared" si="22"/>
        <v>2139.9498563354068</v>
      </c>
      <c r="H309" s="158">
        <f t="shared" si="20"/>
        <v>12366.570090078383</v>
      </c>
      <c r="I309" s="159">
        <f t="shared" si="21"/>
        <v>415623.40117700299</v>
      </c>
    </row>
    <row r="310" spans="3:9" x14ac:dyDescent="0.2">
      <c r="C310" s="43"/>
      <c r="D310" s="62">
        <v>294</v>
      </c>
      <c r="E310" s="158">
        <f t="shared" si="24"/>
        <v>415623.40117700299</v>
      </c>
      <c r="F310" s="158">
        <f t="shared" si="23"/>
        <v>14506.51994641379</v>
      </c>
      <c r="G310" s="158">
        <f t="shared" si="22"/>
        <v>2078.1170058850148</v>
      </c>
      <c r="H310" s="158">
        <f t="shared" si="20"/>
        <v>12428.402940528775</v>
      </c>
      <c r="I310" s="159">
        <f t="shared" si="21"/>
        <v>403194.99823647423</v>
      </c>
    </row>
    <row r="311" spans="3:9" x14ac:dyDescent="0.2">
      <c r="C311" s="43"/>
      <c r="D311" s="62">
        <v>295</v>
      </c>
      <c r="E311" s="158">
        <f t="shared" si="24"/>
        <v>403194.99823647423</v>
      </c>
      <c r="F311" s="158">
        <f t="shared" si="23"/>
        <v>14506.51994641379</v>
      </c>
      <c r="G311" s="158">
        <f t="shared" si="22"/>
        <v>2015.9749911823712</v>
      </c>
      <c r="H311" s="158">
        <f t="shared" si="20"/>
        <v>12490.544955231418</v>
      </c>
      <c r="I311" s="159">
        <f t="shared" si="21"/>
        <v>390704.45328124281</v>
      </c>
    </row>
    <row r="312" spans="3:9" x14ac:dyDescent="0.2">
      <c r="C312" s="43"/>
      <c r="D312" s="62">
        <v>296</v>
      </c>
      <c r="E312" s="158">
        <f t="shared" si="24"/>
        <v>390704.45328124281</v>
      </c>
      <c r="F312" s="158">
        <f t="shared" si="23"/>
        <v>14506.51994641379</v>
      </c>
      <c r="G312" s="158">
        <f t="shared" si="22"/>
        <v>1953.5222664062142</v>
      </c>
      <c r="H312" s="158">
        <f t="shared" si="20"/>
        <v>12552.997680007575</v>
      </c>
      <c r="I312" s="159">
        <f t="shared" si="21"/>
        <v>378151.45560123521</v>
      </c>
    </row>
    <row r="313" spans="3:9" x14ac:dyDescent="0.2">
      <c r="C313" s="43"/>
      <c r="D313" s="62">
        <v>297</v>
      </c>
      <c r="E313" s="158">
        <f t="shared" si="24"/>
        <v>378151.45560123521</v>
      </c>
      <c r="F313" s="158">
        <f t="shared" si="23"/>
        <v>14506.51994641379</v>
      </c>
      <c r="G313" s="158">
        <f t="shared" si="22"/>
        <v>1890.7572780061762</v>
      </c>
      <c r="H313" s="158">
        <f t="shared" si="20"/>
        <v>12615.762668407613</v>
      </c>
      <c r="I313" s="159">
        <f t="shared" si="21"/>
        <v>365535.69293282757</v>
      </c>
    </row>
    <row r="314" spans="3:9" x14ac:dyDescent="0.2">
      <c r="C314" s="43"/>
      <c r="D314" s="62">
        <v>298</v>
      </c>
      <c r="E314" s="158">
        <f t="shared" si="24"/>
        <v>365535.69293282757</v>
      </c>
      <c r="F314" s="158">
        <f t="shared" si="23"/>
        <v>14506.51994641379</v>
      </c>
      <c r="G314" s="158">
        <f t="shared" si="22"/>
        <v>1827.6784646641379</v>
      </c>
      <c r="H314" s="158">
        <f t="shared" si="20"/>
        <v>12678.841481749652</v>
      </c>
      <c r="I314" s="159">
        <f t="shared" si="21"/>
        <v>352856.85145107791</v>
      </c>
    </row>
    <row r="315" spans="3:9" x14ac:dyDescent="0.2">
      <c r="C315" s="43"/>
      <c r="D315" s="62">
        <v>299</v>
      </c>
      <c r="E315" s="158">
        <f t="shared" si="24"/>
        <v>352856.85145107791</v>
      </c>
      <c r="F315" s="158">
        <f t="shared" si="23"/>
        <v>14506.51994641379</v>
      </c>
      <c r="G315" s="158">
        <f t="shared" si="22"/>
        <v>1764.2842572553895</v>
      </c>
      <c r="H315" s="158">
        <f t="shared" si="20"/>
        <v>12742.2356891584</v>
      </c>
      <c r="I315" s="159">
        <f t="shared" si="21"/>
        <v>340114.61576191953</v>
      </c>
    </row>
    <row r="316" spans="3:9" x14ac:dyDescent="0.2">
      <c r="C316" s="49">
        <v>25</v>
      </c>
      <c r="D316" s="161">
        <v>300</v>
      </c>
      <c r="E316" s="158">
        <f t="shared" si="24"/>
        <v>340114.61576191953</v>
      </c>
      <c r="F316" s="158">
        <f t="shared" si="23"/>
        <v>14506.51994641379</v>
      </c>
      <c r="G316" s="158">
        <f t="shared" si="22"/>
        <v>1700.5730788095977</v>
      </c>
      <c r="H316" s="158">
        <f t="shared" si="20"/>
        <v>12805.946867604192</v>
      </c>
      <c r="I316" s="159">
        <f t="shared" si="21"/>
        <v>327308.66889431531</v>
      </c>
    </row>
    <row r="317" spans="3:9" x14ac:dyDescent="0.2">
      <c r="C317" s="43"/>
      <c r="D317" s="62">
        <v>301</v>
      </c>
      <c r="E317" s="158">
        <f t="shared" si="24"/>
        <v>327308.66889431531</v>
      </c>
      <c r="F317" s="158">
        <f t="shared" si="23"/>
        <v>14506.51994641379</v>
      </c>
      <c r="G317" s="158">
        <f t="shared" si="22"/>
        <v>1636.5433444715766</v>
      </c>
      <c r="H317" s="158">
        <f t="shared" si="20"/>
        <v>12869.976601942213</v>
      </c>
      <c r="I317" s="159">
        <f t="shared" si="21"/>
        <v>314438.6922923731</v>
      </c>
    </row>
    <row r="318" spans="3:9" x14ac:dyDescent="0.2">
      <c r="C318" s="43"/>
      <c r="D318" s="62">
        <v>302</v>
      </c>
      <c r="E318" s="158">
        <f t="shared" si="24"/>
        <v>314438.6922923731</v>
      </c>
      <c r="F318" s="158">
        <f t="shared" si="23"/>
        <v>14506.51994641379</v>
      </c>
      <c r="G318" s="158">
        <f t="shared" si="22"/>
        <v>1572.1934614618656</v>
      </c>
      <c r="H318" s="158">
        <f t="shared" si="20"/>
        <v>12934.326484951924</v>
      </c>
      <c r="I318" s="159">
        <f t="shared" si="21"/>
        <v>301504.36580742116</v>
      </c>
    </row>
    <row r="319" spans="3:9" x14ac:dyDescent="0.2">
      <c r="C319" s="43"/>
      <c r="D319" s="62">
        <v>303</v>
      </c>
      <c r="E319" s="158">
        <f t="shared" si="24"/>
        <v>301504.36580742116</v>
      </c>
      <c r="F319" s="158">
        <f t="shared" si="23"/>
        <v>14506.51994641379</v>
      </c>
      <c r="G319" s="158">
        <f t="shared" si="22"/>
        <v>1507.5218290371058</v>
      </c>
      <c r="H319" s="158">
        <f t="shared" si="20"/>
        <v>12998.998117376683</v>
      </c>
      <c r="I319" s="159">
        <f t="shared" si="21"/>
        <v>288505.36769004446</v>
      </c>
    </row>
    <row r="320" spans="3:9" x14ac:dyDescent="0.2">
      <c r="C320" s="43"/>
      <c r="D320" s="62">
        <v>304</v>
      </c>
      <c r="E320" s="158">
        <f t="shared" si="24"/>
        <v>288505.36769004446</v>
      </c>
      <c r="F320" s="158">
        <f t="shared" si="23"/>
        <v>14506.51994641379</v>
      </c>
      <c r="G320" s="158">
        <f t="shared" si="22"/>
        <v>1442.5268384502224</v>
      </c>
      <c r="H320" s="158">
        <f t="shared" si="20"/>
        <v>13063.993107963568</v>
      </c>
      <c r="I320" s="159">
        <f t="shared" si="21"/>
        <v>275441.37458208087</v>
      </c>
    </row>
    <row r="321" spans="3:9" x14ac:dyDescent="0.2">
      <c r="C321" s="43"/>
      <c r="D321" s="62">
        <v>305</v>
      </c>
      <c r="E321" s="158">
        <f t="shared" si="24"/>
        <v>275441.37458208087</v>
      </c>
      <c r="F321" s="158">
        <f t="shared" si="23"/>
        <v>14506.51994641379</v>
      </c>
      <c r="G321" s="158">
        <f t="shared" si="22"/>
        <v>1377.2068729104044</v>
      </c>
      <c r="H321" s="158">
        <f t="shared" si="20"/>
        <v>13129.313073503385</v>
      </c>
      <c r="I321" s="159">
        <f t="shared" si="21"/>
        <v>262312.06150857749</v>
      </c>
    </row>
    <row r="322" spans="3:9" x14ac:dyDescent="0.2">
      <c r="C322" s="43"/>
      <c r="D322" s="62">
        <v>306</v>
      </c>
      <c r="E322" s="158">
        <f t="shared" si="24"/>
        <v>262312.06150857749</v>
      </c>
      <c r="F322" s="158">
        <f t="shared" si="23"/>
        <v>14506.51994641379</v>
      </c>
      <c r="G322" s="158">
        <f t="shared" si="22"/>
        <v>1311.5603075428876</v>
      </c>
      <c r="H322" s="158">
        <f t="shared" si="20"/>
        <v>13194.959638870901</v>
      </c>
      <c r="I322" s="159">
        <f t="shared" si="21"/>
        <v>249117.10186970659</v>
      </c>
    </row>
    <row r="323" spans="3:9" x14ac:dyDescent="0.2">
      <c r="C323" s="43"/>
      <c r="D323" s="62">
        <v>307</v>
      </c>
      <c r="E323" s="158">
        <f t="shared" si="24"/>
        <v>249117.10186970659</v>
      </c>
      <c r="F323" s="158">
        <f t="shared" si="23"/>
        <v>14506.51994641379</v>
      </c>
      <c r="G323" s="158">
        <f t="shared" si="22"/>
        <v>1245.5855093485329</v>
      </c>
      <c r="H323" s="158">
        <f t="shared" si="20"/>
        <v>13260.934437065256</v>
      </c>
      <c r="I323" s="159">
        <f t="shared" si="21"/>
        <v>235856.16743264132</v>
      </c>
    </row>
    <row r="324" spans="3:9" x14ac:dyDescent="0.2">
      <c r="C324" s="43"/>
      <c r="D324" s="62">
        <v>308</v>
      </c>
      <c r="E324" s="158">
        <f t="shared" si="24"/>
        <v>235856.16743264132</v>
      </c>
      <c r="F324" s="158">
        <f t="shared" si="23"/>
        <v>14506.51994641379</v>
      </c>
      <c r="G324" s="158">
        <f t="shared" si="22"/>
        <v>1179.2808371632066</v>
      </c>
      <c r="H324" s="158">
        <f t="shared" si="20"/>
        <v>13327.239109250582</v>
      </c>
      <c r="I324" s="159">
        <f t="shared" si="21"/>
        <v>222528.92832339075</v>
      </c>
    </row>
    <row r="325" spans="3:9" x14ac:dyDescent="0.2">
      <c r="C325" s="43"/>
      <c r="D325" s="62">
        <v>309</v>
      </c>
      <c r="E325" s="158">
        <f t="shared" si="24"/>
        <v>222528.92832339075</v>
      </c>
      <c r="F325" s="158">
        <f t="shared" si="23"/>
        <v>14506.51994641379</v>
      </c>
      <c r="G325" s="158">
        <f t="shared" si="22"/>
        <v>1112.6446416169538</v>
      </c>
      <c r="H325" s="158">
        <f t="shared" si="20"/>
        <v>13393.875304796835</v>
      </c>
      <c r="I325" s="159">
        <f t="shared" si="21"/>
        <v>209135.05301859393</v>
      </c>
    </row>
    <row r="326" spans="3:9" x14ac:dyDescent="0.2">
      <c r="C326" s="43"/>
      <c r="D326" s="62">
        <v>310</v>
      </c>
      <c r="E326" s="158">
        <f t="shared" si="24"/>
        <v>209135.05301859393</v>
      </c>
      <c r="F326" s="158">
        <f t="shared" si="23"/>
        <v>14506.51994641379</v>
      </c>
      <c r="G326" s="158">
        <f t="shared" si="22"/>
        <v>1045.6752650929698</v>
      </c>
      <c r="H326" s="158">
        <f t="shared" si="20"/>
        <v>13460.844681320819</v>
      </c>
      <c r="I326" s="159">
        <f t="shared" si="21"/>
        <v>195674.2083372731</v>
      </c>
    </row>
    <row r="327" spans="3:9" x14ac:dyDescent="0.2">
      <c r="C327" s="43"/>
      <c r="D327" s="62">
        <v>311</v>
      </c>
      <c r="E327" s="158">
        <f t="shared" si="24"/>
        <v>195674.2083372731</v>
      </c>
      <c r="F327" s="158">
        <f t="shared" si="23"/>
        <v>14506.51994641379</v>
      </c>
      <c r="G327" s="158">
        <f t="shared" si="22"/>
        <v>978.37104168636552</v>
      </c>
      <c r="H327" s="158">
        <f t="shared" si="20"/>
        <v>13528.148904727424</v>
      </c>
      <c r="I327" s="159">
        <f t="shared" si="21"/>
        <v>182146.05943254568</v>
      </c>
    </row>
    <row r="328" spans="3:9" x14ac:dyDescent="0.2">
      <c r="C328" s="49">
        <v>26</v>
      </c>
      <c r="D328" s="161">
        <v>312</v>
      </c>
      <c r="E328" s="158">
        <f t="shared" si="24"/>
        <v>182146.05943254568</v>
      </c>
      <c r="F328" s="158">
        <f t="shared" si="23"/>
        <v>14506.51994641379</v>
      </c>
      <c r="G328" s="158">
        <f t="shared" si="22"/>
        <v>910.73029716272845</v>
      </c>
      <c r="H328" s="158">
        <f t="shared" si="20"/>
        <v>13595.789649251061</v>
      </c>
      <c r="I328" s="159">
        <f t="shared" si="21"/>
        <v>168550.26978329461</v>
      </c>
    </row>
    <row r="329" spans="3:9" x14ac:dyDescent="0.2">
      <c r="C329" s="43"/>
      <c r="D329" s="62">
        <v>313</v>
      </c>
      <c r="E329" s="158">
        <f t="shared" si="24"/>
        <v>168550.26978329461</v>
      </c>
      <c r="F329" s="158">
        <f t="shared" si="23"/>
        <v>14506.51994641379</v>
      </c>
      <c r="G329" s="158">
        <f t="shared" si="22"/>
        <v>842.75134891647303</v>
      </c>
      <c r="H329" s="158">
        <f t="shared" si="20"/>
        <v>13663.768597497317</v>
      </c>
      <c r="I329" s="159">
        <f t="shared" si="21"/>
        <v>154886.5011857973</v>
      </c>
    </row>
    <row r="330" spans="3:9" x14ac:dyDescent="0.2">
      <c r="C330" s="43"/>
      <c r="D330" s="62">
        <v>314</v>
      </c>
      <c r="E330" s="158">
        <f t="shared" si="24"/>
        <v>154886.5011857973</v>
      </c>
      <c r="F330" s="158">
        <f t="shared" si="23"/>
        <v>14506.51994641379</v>
      </c>
      <c r="G330" s="158">
        <f t="shared" si="22"/>
        <v>774.43250592898653</v>
      </c>
      <c r="H330" s="158">
        <f t="shared" si="20"/>
        <v>13732.087440484804</v>
      </c>
      <c r="I330" s="159">
        <f t="shared" si="21"/>
        <v>141154.41374531249</v>
      </c>
    </row>
    <row r="331" spans="3:9" x14ac:dyDescent="0.2">
      <c r="C331" s="43"/>
      <c r="D331" s="62">
        <v>315</v>
      </c>
      <c r="E331" s="158">
        <f t="shared" si="24"/>
        <v>141154.41374531249</v>
      </c>
      <c r="F331" s="158">
        <f t="shared" si="23"/>
        <v>14506.51994641379</v>
      </c>
      <c r="G331" s="158">
        <f t="shared" si="22"/>
        <v>705.77206872656245</v>
      </c>
      <c r="H331" s="158">
        <f t="shared" si="20"/>
        <v>13800.747877687227</v>
      </c>
      <c r="I331" s="159">
        <f t="shared" si="21"/>
        <v>127353.66586762526</v>
      </c>
    </row>
    <row r="332" spans="3:9" x14ac:dyDescent="0.2">
      <c r="C332" s="43"/>
      <c r="D332" s="62">
        <v>316</v>
      </c>
      <c r="E332" s="158">
        <f t="shared" si="24"/>
        <v>127353.66586762526</v>
      </c>
      <c r="F332" s="158">
        <f t="shared" si="23"/>
        <v>14506.51994641379</v>
      </c>
      <c r="G332" s="158">
        <f t="shared" si="22"/>
        <v>636.76832933812625</v>
      </c>
      <c r="H332" s="158">
        <f t="shared" si="20"/>
        <v>13869.751617075663</v>
      </c>
      <c r="I332" s="159">
        <f t="shared" si="21"/>
        <v>113483.9142505496</v>
      </c>
    </row>
    <row r="333" spans="3:9" x14ac:dyDescent="0.2">
      <c r="C333" s="43"/>
      <c r="D333" s="62">
        <v>317</v>
      </c>
      <c r="E333" s="158">
        <f t="shared" si="24"/>
        <v>113483.9142505496</v>
      </c>
      <c r="F333" s="158">
        <f t="shared" si="23"/>
        <v>14506.51994641379</v>
      </c>
      <c r="G333" s="158">
        <f t="shared" si="22"/>
        <v>567.41957125274803</v>
      </c>
      <c r="H333" s="158">
        <f t="shared" si="20"/>
        <v>13939.100375161041</v>
      </c>
      <c r="I333" s="159">
        <f t="shared" si="21"/>
        <v>99544.813875388558</v>
      </c>
    </row>
    <row r="334" spans="3:9" x14ac:dyDescent="0.2">
      <c r="C334" s="43"/>
      <c r="D334" s="62">
        <v>318</v>
      </c>
      <c r="E334" s="158">
        <f t="shared" si="24"/>
        <v>99544.813875388558</v>
      </c>
      <c r="F334" s="158">
        <f t="shared" si="23"/>
        <v>14506.51994641379</v>
      </c>
      <c r="G334" s="158">
        <f t="shared" si="22"/>
        <v>497.72406937694279</v>
      </c>
      <c r="H334" s="158">
        <f t="shared" si="20"/>
        <v>14008.795877036846</v>
      </c>
      <c r="I334" s="159">
        <f t="shared" si="21"/>
        <v>85536.017998351716</v>
      </c>
    </row>
    <row r="335" spans="3:9" x14ac:dyDescent="0.2">
      <c r="C335" s="43"/>
      <c r="D335" s="62">
        <v>319</v>
      </c>
      <c r="E335" s="158">
        <f t="shared" si="24"/>
        <v>85536.017998351716</v>
      </c>
      <c r="F335" s="158">
        <f t="shared" si="23"/>
        <v>14506.51994641379</v>
      </c>
      <c r="G335" s="158">
        <f t="shared" si="22"/>
        <v>427.68008999175856</v>
      </c>
      <c r="H335" s="158">
        <f t="shared" si="20"/>
        <v>14078.839856422032</v>
      </c>
      <c r="I335" s="159">
        <f t="shared" si="21"/>
        <v>71457.178141929689</v>
      </c>
    </row>
    <row r="336" spans="3:9" x14ac:dyDescent="0.2">
      <c r="C336" s="43"/>
      <c r="D336" s="62">
        <v>320</v>
      </c>
      <c r="E336" s="158">
        <f t="shared" si="24"/>
        <v>71457.178141929689</v>
      </c>
      <c r="F336" s="158">
        <f t="shared" si="23"/>
        <v>14506.51994641379</v>
      </c>
      <c r="G336" s="158">
        <f t="shared" si="22"/>
        <v>357.28589070964847</v>
      </c>
      <c r="H336" s="158">
        <f t="shared" si="20"/>
        <v>14149.234055704141</v>
      </c>
      <c r="I336" s="159">
        <f t="shared" si="21"/>
        <v>57307.944086225551</v>
      </c>
    </row>
    <row r="337" spans="3:9" x14ac:dyDescent="0.2">
      <c r="C337" s="43"/>
      <c r="D337" s="62">
        <v>321</v>
      </c>
      <c r="E337" s="158">
        <f t="shared" si="24"/>
        <v>57307.944086225551</v>
      </c>
      <c r="F337" s="158">
        <f t="shared" si="23"/>
        <v>14506.51994641379</v>
      </c>
      <c r="G337" s="158">
        <f t="shared" si="22"/>
        <v>286.53972043112776</v>
      </c>
      <c r="H337" s="158">
        <f t="shared" ref="H337:H376" si="25">F337-G337</f>
        <v>14219.980225982661</v>
      </c>
      <c r="I337" s="159">
        <f t="shared" ref="I337:I376" si="26">E337-H337</f>
        <v>43087.963860242889</v>
      </c>
    </row>
    <row r="338" spans="3:9" x14ac:dyDescent="0.2">
      <c r="C338" s="43"/>
      <c r="D338" s="62">
        <v>322</v>
      </c>
      <c r="E338" s="158">
        <f t="shared" si="24"/>
        <v>43087.963860242889</v>
      </c>
      <c r="F338" s="158">
        <f t="shared" si="23"/>
        <v>14506.51994641379</v>
      </c>
      <c r="G338" s="158">
        <f t="shared" ref="G338:G376" si="27">IF(D338&gt;$D$10,0,($D$6/12)*I337)</f>
        <v>215.43981930121444</v>
      </c>
      <c r="H338" s="158">
        <f t="shared" si="25"/>
        <v>14291.080127112575</v>
      </c>
      <c r="I338" s="159">
        <f t="shared" si="26"/>
        <v>28796.883733130315</v>
      </c>
    </row>
    <row r="339" spans="3:9" x14ac:dyDescent="0.2">
      <c r="C339" s="43"/>
      <c r="D339" s="62">
        <v>323</v>
      </c>
      <c r="E339" s="158">
        <f t="shared" si="24"/>
        <v>28796.883733130315</v>
      </c>
      <c r="F339" s="158">
        <f t="shared" si="23"/>
        <v>14506.51994641379</v>
      </c>
      <c r="G339" s="158">
        <f t="shared" si="27"/>
        <v>143.98441866565159</v>
      </c>
      <c r="H339" s="158">
        <f t="shared" si="25"/>
        <v>14362.535527748138</v>
      </c>
      <c r="I339" s="159">
        <f t="shared" si="26"/>
        <v>14434.348205382177</v>
      </c>
    </row>
    <row r="340" spans="3:9" x14ac:dyDescent="0.2">
      <c r="C340" s="49">
        <v>27</v>
      </c>
      <c r="D340" s="161">
        <v>324</v>
      </c>
      <c r="E340" s="158">
        <f t="shared" si="24"/>
        <v>14434.348205382177</v>
      </c>
      <c r="F340" s="158">
        <f t="shared" si="23"/>
        <v>14506.51994641379</v>
      </c>
      <c r="G340" s="158">
        <f t="shared" si="27"/>
        <v>72.171741026910894</v>
      </c>
      <c r="H340" s="158">
        <f t="shared" si="25"/>
        <v>14434.348205386879</v>
      </c>
      <c r="I340" s="159">
        <f t="shared" si="26"/>
        <v>-4.702087608166039E-9</v>
      </c>
    </row>
    <row r="341" spans="3:9" x14ac:dyDescent="0.2">
      <c r="C341" s="43"/>
      <c r="D341" s="62">
        <v>325</v>
      </c>
      <c r="E341" s="158">
        <f t="shared" si="24"/>
        <v>0</v>
      </c>
      <c r="F341" s="158">
        <f t="shared" ref="F341:F376" si="28">IF(D341&gt;$D$10,0,IF(D341&lt;=$D$8,G341,-PMT($D$6/12,$D$9,$D$5,0,0)))</f>
        <v>0</v>
      </c>
      <c r="G341" s="158">
        <f t="shared" si="27"/>
        <v>0</v>
      </c>
      <c r="H341" s="158">
        <f t="shared" si="25"/>
        <v>0</v>
      </c>
      <c r="I341" s="159">
        <f t="shared" si="26"/>
        <v>0</v>
      </c>
    </row>
    <row r="342" spans="3:9" x14ac:dyDescent="0.2">
      <c r="C342" s="43"/>
      <c r="D342" s="62">
        <v>326</v>
      </c>
      <c r="E342" s="158">
        <f t="shared" ref="E342:E376" si="29">IF(D342&gt;$D$10,0,I341)</f>
        <v>0</v>
      </c>
      <c r="F342" s="158">
        <f t="shared" si="28"/>
        <v>0</v>
      </c>
      <c r="G342" s="158">
        <f t="shared" si="27"/>
        <v>0</v>
      </c>
      <c r="H342" s="158">
        <f t="shared" si="25"/>
        <v>0</v>
      </c>
      <c r="I342" s="159">
        <f t="shared" si="26"/>
        <v>0</v>
      </c>
    </row>
    <row r="343" spans="3:9" x14ac:dyDescent="0.2">
      <c r="C343" s="43"/>
      <c r="D343" s="62">
        <v>327</v>
      </c>
      <c r="E343" s="158">
        <f t="shared" si="29"/>
        <v>0</v>
      </c>
      <c r="F343" s="158">
        <f t="shared" si="28"/>
        <v>0</v>
      </c>
      <c r="G343" s="158">
        <f t="shared" si="27"/>
        <v>0</v>
      </c>
      <c r="H343" s="158">
        <f t="shared" si="25"/>
        <v>0</v>
      </c>
      <c r="I343" s="159">
        <f t="shared" si="26"/>
        <v>0</v>
      </c>
    </row>
    <row r="344" spans="3:9" x14ac:dyDescent="0.2">
      <c r="C344" s="43"/>
      <c r="D344" s="62">
        <v>328</v>
      </c>
      <c r="E344" s="158">
        <f t="shared" si="29"/>
        <v>0</v>
      </c>
      <c r="F344" s="158">
        <f t="shared" si="28"/>
        <v>0</v>
      </c>
      <c r="G344" s="158">
        <f t="shared" si="27"/>
        <v>0</v>
      </c>
      <c r="H344" s="158">
        <f t="shared" si="25"/>
        <v>0</v>
      </c>
      <c r="I344" s="159">
        <f t="shared" si="26"/>
        <v>0</v>
      </c>
    </row>
    <row r="345" spans="3:9" x14ac:dyDescent="0.2">
      <c r="C345" s="43"/>
      <c r="D345" s="62">
        <v>329</v>
      </c>
      <c r="E345" s="158">
        <f t="shared" si="29"/>
        <v>0</v>
      </c>
      <c r="F345" s="158">
        <f t="shared" si="28"/>
        <v>0</v>
      </c>
      <c r="G345" s="158">
        <f t="shared" si="27"/>
        <v>0</v>
      </c>
      <c r="H345" s="158">
        <f t="shared" si="25"/>
        <v>0</v>
      </c>
      <c r="I345" s="159">
        <f t="shared" si="26"/>
        <v>0</v>
      </c>
    </row>
    <row r="346" spans="3:9" x14ac:dyDescent="0.2">
      <c r="C346" s="43"/>
      <c r="D346" s="62">
        <v>330</v>
      </c>
      <c r="E346" s="158">
        <f t="shared" si="29"/>
        <v>0</v>
      </c>
      <c r="F346" s="158">
        <f t="shared" si="28"/>
        <v>0</v>
      </c>
      <c r="G346" s="158">
        <f t="shared" si="27"/>
        <v>0</v>
      </c>
      <c r="H346" s="158">
        <f t="shared" si="25"/>
        <v>0</v>
      </c>
      <c r="I346" s="159">
        <f t="shared" si="26"/>
        <v>0</v>
      </c>
    </row>
    <row r="347" spans="3:9" x14ac:dyDescent="0.2">
      <c r="C347" s="43"/>
      <c r="D347" s="62">
        <v>331</v>
      </c>
      <c r="E347" s="158">
        <f t="shared" si="29"/>
        <v>0</v>
      </c>
      <c r="F347" s="158">
        <f t="shared" si="28"/>
        <v>0</v>
      </c>
      <c r="G347" s="158">
        <f t="shared" si="27"/>
        <v>0</v>
      </c>
      <c r="H347" s="158">
        <f t="shared" si="25"/>
        <v>0</v>
      </c>
      <c r="I347" s="159">
        <f t="shared" si="26"/>
        <v>0</v>
      </c>
    </row>
    <row r="348" spans="3:9" x14ac:dyDescent="0.2">
      <c r="C348" s="43"/>
      <c r="D348" s="62">
        <v>332</v>
      </c>
      <c r="E348" s="158">
        <f t="shared" si="29"/>
        <v>0</v>
      </c>
      <c r="F348" s="158">
        <f t="shared" si="28"/>
        <v>0</v>
      </c>
      <c r="G348" s="158">
        <f t="shared" si="27"/>
        <v>0</v>
      </c>
      <c r="H348" s="158">
        <f t="shared" si="25"/>
        <v>0</v>
      </c>
      <c r="I348" s="159">
        <f t="shared" si="26"/>
        <v>0</v>
      </c>
    </row>
    <row r="349" spans="3:9" x14ac:dyDescent="0.2">
      <c r="C349" s="43"/>
      <c r="D349" s="62">
        <v>333</v>
      </c>
      <c r="E349" s="158">
        <f t="shared" si="29"/>
        <v>0</v>
      </c>
      <c r="F349" s="158">
        <f t="shared" si="28"/>
        <v>0</v>
      </c>
      <c r="G349" s="158">
        <f t="shared" si="27"/>
        <v>0</v>
      </c>
      <c r="H349" s="158">
        <f t="shared" si="25"/>
        <v>0</v>
      </c>
      <c r="I349" s="159">
        <f t="shared" si="26"/>
        <v>0</v>
      </c>
    </row>
    <row r="350" spans="3:9" x14ac:dyDescent="0.2">
      <c r="C350" s="43"/>
      <c r="D350" s="62">
        <v>334</v>
      </c>
      <c r="E350" s="158">
        <f t="shared" si="29"/>
        <v>0</v>
      </c>
      <c r="F350" s="158">
        <f t="shared" si="28"/>
        <v>0</v>
      </c>
      <c r="G350" s="158">
        <f t="shared" si="27"/>
        <v>0</v>
      </c>
      <c r="H350" s="158">
        <f t="shared" si="25"/>
        <v>0</v>
      </c>
      <c r="I350" s="159">
        <f t="shared" si="26"/>
        <v>0</v>
      </c>
    </row>
    <row r="351" spans="3:9" x14ac:dyDescent="0.2">
      <c r="C351" s="43"/>
      <c r="D351" s="62">
        <v>335</v>
      </c>
      <c r="E351" s="158">
        <f t="shared" si="29"/>
        <v>0</v>
      </c>
      <c r="F351" s="158">
        <f t="shared" si="28"/>
        <v>0</v>
      </c>
      <c r="G351" s="158">
        <f t="shared" si="27"/>
        <v>0</v>
      </c>
      <c r="H351" s="158">
        <f t="shared" si="25"/>
        <v>0</v>
      </c>
      <c r="I351" s="159">
        <f t="shared" si="26"/>
        <v>0</v>
      </c>
    </row>
    <row r="352" spans="3:9" x14ac:dyDescent="0.2">
      <c r="C352" s="49">
        <v>28</v>
      </c>
      <c r="D352" s="161">
        <v>336</v>
      </c>
      <c r="E352" s="158">
        <f t="shared" si="29"/>
        <v>0</v>
      </c>
      <c r="F352" s="158">
        <f t="shared" si="28"/>
        <v>0</v>
      </c>
      <c r="G352" s="158">
        <f t="shared" si="27"/>
        <v>0</v>
      </c>
      <c r="H352" s="158">
        <f t="shared" si="25"/>
        <v>0</v>
      </c>
      <c r="I352" s="159">
        <f t="shared" si="26"/>
        <v>0</v>
      </c>
    </row>
    <row r="353" spans="3:9" x14ac:dyDescent="0.2">
      <c r="C353" s="43"/>
      <c r="D353" s="62">
        <v>337</v>
      </c>
      <c r="E353" s="158">
        <f t="shared" si="29"/>
        <v>0</v>
      </c>
      <c r="F353" s="158">
        <f t="shared" si="28"/>
        <v>0</v>
      </c>
      <c r="G353" s="158">
        <f t="shared" si="27"/>
        <v>0</v>
      </c>
      <c r="H353" s="158">
        <f t="shared" si="25"/>
        <v>0</v>
      </c>
      <c r="I353" s="159">
        <f t="shared" si="26"/>
        <v>0</v>
      </c>
    </row>
    <row r="354" spans="3:9" x14ac:dyDescent="0.2">
      <c r="C354" s="43"/>
      <c r="D354" s="62">
        <v>338</v>
      </c>
      <c r="E354" s="158">
        <f t="shared" si="29"/>
        <v>0</v>
      </c>
      <c r="F354" s="158">
        <f t="shared" si="28"/>
        <v>0</v>
      </c>
      <c r="G354" s="158">
        <f t="shared" si="27"/>
        <v>0</v>
      </c>
      <c r="H354" s="158">
        <f t="shared" si="25"/>
        <v>0</v>
      </c>
      <c r="I354" s="159">
        <f t="shared" si="26"/>
        <v>0</v>
      </c>
    </row>
    <row r="355" spans="3:9" x14ac:dyDescent="0.2">
      <c r="C355" s="43"/>
      <c r="D355" s="62">
        <v>339</v>
      </c>
      <c r="E355" s="158">
        <f t="shared" si="29"/>
        <v>0</v>
      </c>
      <c r="F355" s="158">
        <f t="shared" si="28"/>
        <v>0</v>
      </c>
      <c r="G355" s="158">
        <f t="shared" si="27"/>
        <v>0</v>
      </c>
      <c r="H355" s="158">
        <f t="shared" si="25"/>
        <v>0</v>
      </c>
      <c r="I355" s="159">
        <f t="shared" si="26"/>
        <v>0</v>
      </c>
    </row>
    <row r="356" spans="3:9" x14ac:dyDescent="0.2">
      <c r="C356" s="43"/>
      <c r="D356" s="62">
        <v>340</v>
      </c>
      <c r="E356" s="158">
        <f t="shared" si="29"/>
        <v>0</v>
      </c>
      <c r="F356" s="158">
        <f t="shared" si="28"/>
        <v>0</v>
      </c>
      <c r="G356" s="158">
        <f t="shared" si="27"/>
        <v>0</v>
      </c>
      <c r="H356" s="158">
        <f t="shared" si="25"/>
        <v>0</v>
      </c>
      <c r="I356" s="159">
        <f t="shared" si="26"/>
        <v>0</v>
      </c>
    </row>
    <row r="357" spans="3:9" x14ac:dyDescent="0.2">
      <c r="C357" s="43"/>
      <c r="D357" s="62">
        <v>341</v>
      </c>
      <c r="E357" s="158">
        <f t="shared" si="29"/>
        <v>0</v>
      </c>
      <c r="F357" s="158">
        <f t="shared" si="28"/>
        <v>0</v>
      </c>
      <c r="G357" s="158">
        <f t="shared" si="27"/>
        <v>0</v>
      </c>
      <c r="H357" s="158">
        <f t="shared" si="25"/>
        <v>0</v>
      </c>
      <c r="I357" s="159">
        <f t="shared" si="26"/>
        <v>0</v>
      </c>
    </row>
    <row r="358" spans="3:9" x14ac:dyDescent="0.2">
      <c r="C358" s="43"/>
      <c r="D358" s="62">
        <v>342</v>
      </c>
      <c r="E358" s="158">
        <f t="shared" si="29"/>
        <v>0</v>
      </c>
      <c r="F358" s="158">
        <f t="shared" si="28"/>
        <v>0</v>
      </c>
      <c r="G358" s="158">
        <f t="shared" si="27"/>
        <v>0</v>
      </c>
      <c r="H358" s="158">
        <f t="shared" si="25"/>
        <v>0</v>
      </c>
      <c r="I358" s="159">
        <f t="shared" si="26"/>
        <v>0</v>
      </c>
    </row>
    <row r="359" spans="3:9" x14ac:dyDescent="0.2">
      <c r="C359" s="43"/>
      <c r="D359" s="62">
        <v>343</v>
      </c>
      <c r="E359" s="158">
        <f t="shared" si="29"/>
        <v>0</v>
      </c>
      <c r="F359" s="158">
        <f t="shared" si="28"/>
        <v>0</v>
      </c>
      <c r="G359" s="158">
        <f t="shared" si="27"/>
        <v>0</v>
      </c>
      <c r="H359" s="158">
        <f t="shared" si="25"/>
        <v>0</v>
      </c>
      <c r="I359" s="159">
        <f t="shared" si="26"/>
        <v>0</v>
      </c>
    </row>
    <row r="360" spans="3:9" x14ac:dyDescent="0.2">
      <c r="C360" s="43"/>
      <c r="D360" s="62">
        <v>344</v>
      </c>
      <c r="E360" s="158">
        <f t="shared" si="29"/>
        <v>0</v>
      </c>
      <c r="F360" s="158">
        <f t="shared" si="28"/>
        <v>0</v>
      </c>
      <c r="G360" s="158">
        <f t="shared" si="27"/>
        <v>0</v>
      </c>
      <c r="H360" s="158">
        <f t="shared" si="25"/>
        <v>0</v>
      </c>
      <c r="I360" s="159">
        <f t="shared" si="26"/>
        <v>0</v>
      </c>
    </row>
    <row r="361" spans="3:9" x14ac:dyDescent="0.2">
      <c r="C361" s="43"/>
      <c r="D361" s="62">
        <v>345</v>
      </c>
      <c r="E361" s="158">
        <f t="shared" si="29"/>
        <v>0</v>
      </c>
      <c r="F361" s="158">
        <f t="shared" si="28"/>
        <v>0</v>
      </c>
      <c r="G361" s="158">
        <f t="shared" si="27"/>
        <v>0</v>
      </c>
      <c r="H361" s="158">
        <f t="shared" si="25"/>
        <v>0</v>
      </c>
      <c r="I361" s="159">
        <f t="shared" si="26"/>
        <v>0</v>
      </c>
    </row>
    <row r="362" spans="3:9" x14ac:dyDescent="0.2">
      <c r="C362" s="43"/>
      <c r="D362" s="62">
        <v>346</v>
      </c>
      <c r="E362" s="158">
        <f t="shared" si="29"/>
        <v>0</v>
      </c>
      <c r="F362" s="158">
        <f t="shared" si="28"/>
        <v>0</v>
      </c>
      <c r="G362" s="158">
        <f t="shared" si="27"/>
        <v>0</v>
      </c>
      <c r="H362" s="158">
        <f t="shared" si="25"/>
        <v>0</v>
      </c>
      <c r="I362" s="159">
        <f t="shared" si="26"/>
        <v>0</v>
      </c>
    </row>
    <row r="363" spans="3:9" x14ac:dyDescent="0.2">
      <c r="C363" s="43"/>
      <c r="D363" s="62">
        <v>347</v>
      </c>
      <c r="E363" s="158">
        <f t="shared" si="29"/>
        <v>0</v>
      </c>
      <c r="F363" s="158">
        <f t="shared" si="28"/>
        <v>0</v>
      </c>
      <c r="G363" s="158">
        <f t="shared" si="27"/>
        <v>0</v>
      </c>
      <c r="H363" s="158">
        <f t="shared" si="25"/>
        <v>0</v>
      </c>
      <c r="I363" s="159">
        <f t="shared" si="26"/>
        <v>0</v>
      </c>
    </row>
    <row r="364" spans="3:9" x14ac:dyDescent="0.2">
      <c r="C364" s="49">
        <v>29</v>
      </c>
      <c r="D364" s="161">
        <v>348</v>
      </c>
      <c r="E364" s="158">
        <f t="shared" si="29"/>
        <v>0</v>
      </c>
      <c r="F364" s="158">
        <f t="shared" si="28"/>
        <v>0</v>
      </c>
      <c r="G364" s="158">
        <f t="shared" si="27"/>
        <v>0</v>
      </c>
      <c r="H364" s="158">
        <f t="shared" si="25"/>
        <v>0</v>
      </c>
      <c r="I364" s="159">
        <f t="shared" si="26"/>
        <v>0</v>
      </c>
    </row>
    <row r="365" spans="3:9" x14ac:dyDescent="0.2">
      <c r="C365" s="43"/>
      <c r="D365" s="62">
        <v>349</v>
      </c>
      <c r="E365" s="158">
        <f t="shared" si="29"/>
        <v>0</v>
      </c>
      <c r="F365" s="158">
        <f t="shared" si="28"/>
        <v>0</v>
      </c>
      <c r="G365" s="158">
        <f t="shared" si="27"/>
        <v>0</v>
      </c>
      <c r="H365" s="158">
        <f t="shared" si="25"/>
        <v>0</v>
      </c>
      <c r="I365" s="159">
        <f t="shared" si="26"/>
        <v>0</v>
      </c>
    </row>
    <row r="366" spans="3:9" x14ac:dyDescent="0.2">
      <c r="C366" s="43"/>
      <c r="D366" s="62">
        <v>350</v>
      </c>
      <c r="E366" s="158">
        <f t="shared" si="29"/>
        <v>0</v>
      </c>
      <c r="F366" s="158">
        <f t="shared" si="28"/>
        <v>0</v>
      </c>
      <c r="G366" s="158">
        <f t="shared" si="27"/>
        <v>0</v>
      </c>
      <c r="H366" s="158">
        <f t="shared" si="25"/>
        <v>0</v>
      </c>
      <c r="I366" s="159">
        <f t="shared" si="26"/>
        <v>0</v>
      </c>
    </row>
    <row r="367" spans="3:9" x14ac:dyDescent="0.2">
      <c r="C367" s="43"/>
      <c r="D367" s="62">
        <v>351</v>
      </c>
      <c r="E367" s="158">
        <f t="shared" si="29"/>
        <v>0</v>
      </c>
      <c r="F367" s="158">
        <f t="shared" si="28"/>
        <v>0</v>
      </c>
      <c r="G367" s="158">
        <f t="shared" si="27"/>
        <v>0</v>
      </c>
      <c r="H367" s="158">
        <f t="shared" si="25"/>
        <v>0</v>
      </c>
      <c r="I367" s="159">
        <f t="shared" si="26"/>
        <v>0</v>
      </c>
    </row>
    <row r="368" spans="3:9" x14ac:dyDescent="0.2">
      <c r="C368" s="43"/>
      <c r="D368" s="62">
        <v>352</v>
      </c>
      <c r="E368" s="158">
        <f t="shared" si="29"/>
        <v>0</v>
      </c>
      <c r="F368" s="158">
        <f t="shared" si="28"/>
        <v>0</v>
      </c>
      <c r="G368" s="158">
        <f t="shared" si="27"/>
        <v>0</v>
      </c>
      <c r="H368" s="158">
        <f t="shared" si="25"/>
        <v>0</v>
      </c>
      <c r="I368" s="159">
        <f t="shared" si="26"/>
        <v>0</v>
      </c>
    </row>
    <row r="369" spans="3:9" x14ac:dyDescent="0.2">
      <c r="C369" s="43"/>
      <c r="D369" s="62">
        <v>353</v>
      </c>
      <c r="E369" s="158">
        <f t="shared" si="29"/>
        <v>0</v>
      </c>
      <c r="F369" s="158">
        <f t="shared" si="28"/>
        <v>0</v>
      </c>
      <c r="G369" s="158">
        <f t="shared" si="27"/>
        <v>0</v>
      </c>
      <c r="H369" s="158">
        <f t="shared" si="25"/>
        <v>0</v>
      </c>
      <c r="I369" s="159">
        <f t="shared" si="26"/>
        <v>0</v>
      </c>
    </row>
    <row r="370" spans="3:9" x14ac:dyDescent="0.2">
      <c r="C370" s="43"/>
      <c r="D370" s="62">
        <v>354</v>
      </c>
      <c r="E370" s="158">
        <f t="shared" si="29"/>
        <v>0</v>
      </c>
      <c r="F370" s="158">
        <f t="shared" si="28"/>
        <v>0</v>
      </c>
      <c r="G370" s="158">
        <f t="shared" si="27"/>
        <v>0</v>
      </c>
      <c r="H370" s="158">
        <f t="shared" si="25"/>
        <v>0</v>
      </c>
      <c r="I370" s="159">
        <f t="shared" si="26"/>
        <v>0</v>
      </c>
    </row>
    <row r="371" spans="3:9" x14ac:dyDescent="0.2">
      <c r="C371" s="43"/>
      <c r="D371" s="62">
        <v>355</v>
      </c>
      <c r="E371" s="158">
        <f t="shared" si="29"/>
        <v>0</v>
      </c>
      <c r="F371" s="158">
        <f t="shared" si="28"/>
        <v>0</v>
      </c>
      <c r="G371" s="158">
        <f t="shared" si="27"/>
        <v>0</v>
      </c>
      <c r="H371" s="158">
        <f t="shared" si="25"/>
        <v>0</v>
      </c>
      <c r="I371" s="159">
        <f t="shared" si="26"/>
        <v>0</v>
      </c>
    </row>
    <row r="372" spans="3:9" x14ac:dyDescent="0.2">
      <c r="C372" s="43"/>
      <c r="D372" s="62">
        <v>356</v>
      </c>
      <c r="E372" s="158">
        <f t="shared" si="29"/>
        <v>0</v>
      </c>
      <c r="F372" s="158">
        <f t="shared" si="28"/>
        <v>0</v>
      </c>
      <c r="G372" s="158">
        <f t="shared" si="27"/>
        <v>0</v>
      </c>
      <c r="H372" s="158">
        <f t="shared" si="25"/>
        <v>0</v>
      </c>
      <c r="I372" s="159">
        <f t="shared" si="26"/>
        <v>0</v>
      </c>
    </row>
    <row r="373" spans="3:9" x14ac:dyDescent="0.2">
      <c r="C373" s="43"/>
      <c r="D373" s="62">
        <v>357</v>
      </c>
      <c r="E373" s="158">
        <f t="shared" si="29"/>
        <v>0</v>
      </c>
      <c r="F373" s="158">
        <f t="shared" si="28"/>
        <v>0</v>
      </c>
      <c r="G373" s="158">
        <f t="shared" si="27"/>
        <v>0</v>
      </c>
      <c r="H373" s="158">
        <f t="shared" si="25"/>
        <v>0</v>
      </c>
      <c r="I373" s="159">
        <f t="shared" si="26"/>
        <v>0</v>
      </c>
    </row>
    <row r="374" spans="3:9" x14ac:dyDescent="0.2">
      <c r="C374" s="43"/>
      <c r="D374" s="62">
        <v>358</v>
      </c>
      <c r="E374" s="158">
        <f t="shared" si="29"/>
        <v>0</v>
      </c>
      <c r="F374" s="158">
        <f t="shared" si="28"/>
        <v>0</v>
      </c>
      <c r="G374" s="158">
        <f t="shared" si="27"/>
        <v>0</v>
      </c>
      <c r="H374" s="158">
        <f t="shared" si="25"/>
        <v>0</v>
      </c>
      <c r="I374" s="159">
        <f t="shared" si="26"/>
        <v>0</v>
      </c>
    </row>
    <row r="375" spans="3:9" x14ac:dyDescent="0.2">
      <c r="C375" s="43"/>
      <c r="D375" s="62">
        <v>359</v>
      </c>
      <c r="E375" s="158">
        <f t="shared" si="29"/>
        <v>0</v>
      </c>
      <c r="F375" s="158">
        <f t="shared" si="28"/>
        <v>0</v>
      </c>
      <c r="G375" s="158">
        <f t="shared" si="27"/>
        <v>0</v>
      </c>
      <c r="H375" s="158">
        <f t="shared" si="25"/>
        <v>0</v>
      </c>
      <c r="I375" s="159">
        <f t="shared" si="26"/>
        <v>0</v>
      </c>
    </row>
    <row r="376" spans="3:9" ht="16" thickBot="1" x14ac:dyDescent="0.25">
      <c r="C376" s="163">
        <v>30</v>
      </c>
      <c r="D376" s="164">
        <v>360</v>
      </c>
      <c r="E376" s="165">
        <f t="shared" si="29"/>
        <v>0</v>
      </c>
      <c r="F376" s="165">
        <f t="shared" si="28"/>
        <v>0</v>
      </c>
      <c r="G376" s="165">
        <f t="shared" si="27"/>
        <v>0</v>
      </c>
      <c r="H376" s="165">
        <f t="shared" si="25"/>
        <v>0</v>
      </c>
      <c r="I376" s="166">
        <f t="shared" si="26"/>
        <v>0</v>
      </c>
    </row>
  </sheetData>
  <sheetProtection sheet="1" objects="1" scenarios="1" formatCells="0" sort="0" autoFilter="0" pivotTables="0"/>
  <mergeCells count="2">
    <mergeCell ref="C4:D4"/>
    <mergeCell ref="E14:G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Deal Summary</vt:lpstr>
      <vt:lpstr>Costs</vt:lpstr>
      <vt:lpstr>Proforma</vt:lpstr>
      <vt:lpstr>IRR </vt:lpstr>
      <vt:lpstr>Financing</vt:lpstr>
      <vt:lpstr>Tax Credits</vt:lpstr>
      <vt:lpstr>Dealpath Outputs</vt:lpstr>
      <vt:lpstr>Financing (3 Refi)</vt:lpstr>
      <vt:lpstr>'Deal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Peake</dc:creator>
  <cp:lastModifiedBy>Hardison, Rufus</cp:lastModifiedBy>
  <cp:lastPrinted>2025-12-01T14:38:55Z</cp:lastPrinted>
  <dcterms:created xsi:type="dcterms:W3CDTF">2025-06-09T15:44:31Z</dcterms:created>
  <dcterms:modified xsi:type="dcterms:W3CDTF">2026-03-03T14:51:50Z</dcterms:modified>
</cp:coreProperties>
</file>
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8" codeName="{643B0D74-A683-FBA9-23B4-8A0AA6E0B6B9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rufushardison/Downloads/"/>
    </mc:Choice>
  </mc:AlternateContent>
  <xr:revisionPtr revIDLastSave="0" documentId="13_ncr:1_{5900C8F0-DCCC-5A43-89DF-3A10DC15EE57}" xr6:coauthVersionLast="47" xr6:coauthVersionMax="47" xr10:uidLastSave="{00000000-0000-0000-0000-000000000000}"/>
  <bookViews>
    <workbookView xWindow="4360" yWindow="6920" windowWidth="32920" windowHeight="19840" activeTab="1" xr2:uid="{D2ADD33F-BD0C-49ED-9B2F-2FF15BFFEEE0}"/>
  </bookViews>
  <sheets>
    <sheet name="Deal Summary" sheetId="2" r:id="rId1"/>
    <sheet name="Costs" sheetId="7" r:id="rId2"/>
    <sheet name="Proforma" sheetId="3" r:id="rId3"/>
    <sheet name="Rent Roll" sheetId="8" r:id="rId4"/>
    <sheet name="IRR " sheetId="4" r:id="rId5"/>
    <sheet name="Financing" sheetId="5" r:id="rId6"/>
    <sheet name="Tax Credits" sheetId="9" r:id="rId7"/>
    <sheet name="Dealpath Outputs" sheetId="10" r:id="rId8"/>
    <sheet name="Financing (3 Refi)" sheetId="6" state="hidden" r:id="rId9"/>
  </sheets>
  <definedNames>
    <definedName name="_xleta.IF" hidden="1" xlm="1">#NAME?</definedName>
    <definedName name="_xleta.MIN" hidden="1" xlm="1">#NAME?</definedName>
    <definedName name="_xleta.YEAR" hidden="1" xlm="1">#NAME?</definedName>
    <definedName name="_xlpm.base" hidden="1" xlm="1">#NAME?</definedName>
    <definedName name="_xlpm.rangeToSum" hidden="1" xlm="1">#NAME?</definedName>
    <definedName name="_xlpm.rawData" hidden="1" xlm="1">#NAME?</definedName>
    <definedName name="_xlpm.stop" hidden="1" xlm="1">#NAME?</definedName>
    <definedName name="_xlnm.Print_Area" localSheetId="0">'Deal Summary'!$C$2:$Q$40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1" i="7" l="1"/>
  <c r="G32" i="7"/>
  <c r="G33" i="7"/>
  <c r="G34" i="7"/>
  <c r="K5" i="5"/>
  <c r="K6" i="5" l="1"/>
  <c r="D20" i="2" l="1"/>
  <c r="C4" i="2"/>
  <c r="C5" i="2"/>
  <c r="C6" i="2"/>
  <c r="K11" i="5" l="1"/>
  <c r="K12" i="5" s="1"/>
  <c r="K7" i="5" l="1"/>
  <c r="K8" i="5" s="1"/>
  <c r="K9" i="5"/>
  <c r="K10" i="5" s="1"/>
  <c r="L44" i="3"/>
  <c r="D50" i="4"/>
  <c r="H16" i="3"/>
  <c r="I16" i="3"/>
  <c r="H34" i="8"/>
  <c r="I34" i="8"/>
  <c r="J34" i="8"/>
  <c r="J16" i="3" s="1"/>
  <c r="K34" i="8"/>
  <c r="K16" i="3" s="1"/>
  <c r="L34" i="8"/>
  <c r="L16" i="3" s="1"/>
  <c r="G34" i="8"/>
  <c r="G16" i="3" s="1"/>
  <c r="D7" i="9"/>
  <c r="D6" i="9"/>
  <c r="D5" i="9"/>
  <c r="D21" i="9"/>
  <c r="D20" i="9"/>
  <c r="D19" i="9"/>
  <c r="D41" i="4"/>
  <c r="D32" i="4"/>
  <c r="P11" i="3"/>
  <c r="P6" i="3"/>
  <c r="P9" i="3"/>
  <c r="D21" i="3"/>
  <c r="J45" i="2"/>
  <c r="J46" i="2"/>
  <c r="J47" i="2"/>
  <c r="J48" i="2"/>
  <c r="J49" i="2"/>
  <c r="J50" i="2"/>
  <c r="J51" i="2"/>
  <c r="J52" i="2"/>
  <c r="J53" i="2"/>
  <c r="J54" i="2"/>
  <c r="J55" i="2"/>
  <c r="J44" i="2"/>
  <c r="N23" i="2"/>
  <c r="N24" i="2"/>
  <c r="N25" i="2"/>
  <c r="N26" i="2"/>
  <c r="N27" i="2"/>
  <c r="N28" i="2"/>
  <c r="N29" i="2"/>
  <c r="N30" i="2"/>
  <c r="N31" i="2"/>
  <c r="N32" i="2"/>
  <c r="N33" i="2"/>
  <c r="N22" i="2"/>
  <c r="L23" i="2"/>
  <c r="L24" i="2"/>
  <c r="L25" i="2"/>
  <c r="L26" i="2"/>
  <c r="L27" i="2"/>
  <c r="L28" i="2"/>
  <c r="L29" i="2"/>
  <c r="L30" i="2"/>
  <c r="L31" i="2"/>
  <c r="L32" i="2"/>
  <c r="L33" i="2"/>
  <c r="L22" i="2"/>
  <c r="K23" i="2"/>
  <c r="K24" i="2"/>
  <c r="K25" i="2"/>
  <c r="K26" i="2"/>
  <c r="K27" i="2"/>
  <c r="K28" i="2"/>
  <c r="K29" i="2"/>
  <c r="K30" i="2"/>
  <c r="K31" i="2"/>
  <c r="K32" i="2"/>
  <c r="K33" i="2"/>
  <c r="K22" i="2"/>
  <c r="J22" i="2"/>
  <c r="J23" i="2"/>
  <c r="J24" i="2"/>
  <c r="J25" i="2"/>
  <c r="J26" i="2"/>
  <c r="J27" i="2"/>
  <c r="J28" i="2"/>
  <c r="J29" i="2"/>
  <c r="J30" i="2"/>
  <c r="J31" i="2"/>
  <c r="J33" i="2"/>
  <c r="J32" i="2"/>
  <c r="D22" i="9" l="1"/>
  <c r="P17" i="3" s="1"/>
  <c r="O22" i="2"/>
  <c r="O33" i="2"/>
  <c r="O24" i="2"/>
  <c r="O32" i="2"/>
  <c r="P23" i="2"/>
  <c r="Q23" i="2" s="1"/>
  <c r="P27" i="2"/>
  <c r="Q27" i="2" s="1"/>
  <c r="O26" i="2"/>
  <c r="O25" i="2"/>
  <c r="P22" i="2"/>
  <c r="Q22" i="2" s="1"/>
  <c r="P26" i="2"/>
  <c r="Q26" i="2" s="1"/>
  <c r="O27" i="2"/>
  <c r="P33" i="2"/>
  <c r="Q33" i="2" s="1"/>
  <c r="P25" i="2"/>
  <c r="Q25" i="2" s="1"/>
  <c r="P30" i="2"/>
  <c r="Q30" i="2" s="1"/>
  <c r="P31" i="2"/>
  <c r="Q31" i="2" s="1"/>
  <c r="P29" i="2"/>
  <c r="Q29" i="2" s="1"/>
  <c r="O31" i="2"/>
  <c r="O23" i="2"/>
  <c r="O30" i="2"/>
  <c r="O29" i="2"/>
  <c r="P32" i="2"/>
  <c r="Q32" i="2" s="1"/>
  <c r="P24" i="2"/>
  <c r="Q24" i="2" s="1"/>
  <c r="O28" i="2"/>
  <c r="P28" i="2"/>
  <c r="Q28" i="2" s="1"/>
  <c r="M21" i="8" l="1"/>
  <c r="N21" i="8" s="1"/>
  <c r="M22" i="8"/>
  <c r="N22" i="8" s="1"/>
  <c r="M23" i="8"/>
  <c r="N23" i="8" s="1"/>
  <c r="M24" i="8"/>
  <c r="N24" i="8" s="1"/>
  <c r="M25" i="8"/>
  <c r="N25" i="8" s="1"/>
  <c r="M26" i="8"/>
  <c r="N26" i="8" s="1"/>
  <c r="M27" i="8"/>
  <c r="N27" i="8" s="1"/>
  <c r="L12" i="8"/>
  <c r="L13" i="8"/>
  <c r="L14" i="8"/>
  <c r="L15" i="8"/>
  <c r="L16" i="8"/>
  <c r="L17" i="8"/>
  <c r="L18" i="8"/>
  <c r="L19" i="8"/>
  <c r="L20" i="8"/>
  <c r="L21" i="8"/>
  <c r="L22" i="8"/>
  <c r="L23" i="8"/>
  <c r="L24" i="8"/>
  <c r="L25" i="8"/>
  <c r="L26" i="8"/>
  <c r="L27" i="8"/>
  <c r="H28" i="8"/>
  <c r="P27" i="8"/>
  <c r="P26" i="8"/>
  <c r="P25" i="8"/>
  <c r="P24" i="8"/>
  <c r="P23" i="8"/>
  <c r="P22" i="8"/>
  <c r="P21" i="8"/>
  <c r="M20" i="8"/>
  <c r="N20" i="8" s="1"/>
  <c r="P20" i="8"/>
  <c r="M19" i="8"/>
  <c r="P19" i="8"/>
  <c r="M18" i="8"/>
  <c r="G17" i="3" l="1"/>
  <c r="H17" i="3"/>
  <c r="I17" i="3"/>
  <c r="K17" i="3"/>
  <c r="L17" i="3"/>
  <c r="F17" i="3"/>
  <c r="J17" i="3"/>
  <c r="Q27" i="8"/>
  <c r="R27" i="8" s="1"/>
  <c r="S27" i="8" s="1"/>
  <c r="T27" i="8" s="1"/>
  <c r="U27" i="8" s="1"/>
  <c r="V27" i="8" s="1"/>
  <c r="W27" i="8" s="1"/>
  <c r="X27" i="8" s="1"/>
  <c r="Y27" i="8" s="1"/>
  <c r="Z27" i="8" s="1"/>
  <c r="AA27" i="8" s="1"/>
  <c r="AC27" i="8" s="1"/>
  <c r="Q21" i="8"/>
  <c r="R21" i="8" s="1"/>
  <c r="S21" i="8" s="1"/>
  <c r="T21" i="8" s="1"/>
  <c r="U21" i="8" s="1"/>
  <c r="V21" i="8" s="1"/>
  <c r="W21" i="8" s="1"/>
  <c r="X21" i="8" s="1"/>
  <c r="Y21" i="8" s="1"/>
  <c r="Z21" i="8" s="1"/>
  <c r="AA21" i="8" s="1"/>
  <c r="AC21" i="8" s="1"/>
  <c r="I20" i="8"/>
  <c r="F19" i="3"/>
  <c r="F20" i="3"/>
  <c r="F18" i="3"/>
  <c r="Q22" i="8"/>
  <c r="R22" i="8" s="1"/>
  <c r="S22" i="8" s="1"/>
  <c r="T22" i="8" s="1"/>
  <c r="U22" i="8" s="1"/>
  <c r="V22" i="8" s="1"/>
  <c r="W22" i="8" s="1"/>
  <c r="X22" i="8" s="1"/>
  <c r="Y22" i="8" s="1"/>
  <c r="Z22" i="8" s="1"/>
  <c r="AA22" i="8" s="1"/>
  <c r="AC22" i="8" s="1"/>
  <c r="AD22" i="8" s="1"/>
  <c r="AE22" i="8" s="1"/>
  <c r="AF22" i="8" s="1"/>
  <c r="AG22" i="8" s="1"/>
  <c r="AH22" i="8" s="1"/>
  <c r="AI22" i="8" s="1"/>
  <c r="AJ22" i="8" s="1"/>
  <c r="AK22" i="8" s="1"/>
  <c r="AL22" i="8" s="1"/>
  <c r="AM22" i="8" s="1"/>
  <c r="AN22" i="8" s="1"/>
  <c r="AP22" i="8" s="1"/>
  <c r="Q23" i="8"/>
  <c r="R23" i="8" s="1"/>
  <c r="S23" i="8" s="1"/>
  <c r="T23" i="8" s="1"/>
  <c r="U23" i="8" s="1"/>
  <c r="V23" i="8" s="1"/>
  <c r="W23" i="8" s="1"/>
  <c r="X23" i="8" s="1"/>
  <c r="Y23" i="8" s="1"/>
  <c r="Z23" i="8" s="1"/>
  <c r="AA23" i="8" s="1"/>
  <c r="AC23" i="8" s="1"/>
  <c r="Q24" i="8"/>
  <c r="R24" i="8" s="1"/>
  <c r="S24" i="8" s="1"/>
  <c r="T24" i="8" s="1"/>
  <c r="U24" i="8" s="1"/>
  <c r="V24" i="8" s="1"/>
  <c r="W24" i="8" s="1"/>
  <c r="X24" i="8" s="1"/>
  <c r="Y24" i="8" s="1"/>
  <c r="Z24" i="8" s="1"/>
  <c r="AA24" i="8" s="1"/>
  <c r="AC24" i="8" s="1"/>
  <c r="DD24" i="8"/>
  <c r="Q25" i="8"/>
  <c r="R25" i="8" s="1"/>
  <c r="Q26" i="8"/>
  <c r="R26" i="8" s="1"/>
  <c r="S26" i="8" s="1"/>
  <c r="T26" i="8" s="1"/>
  <c r="U26" i="8" s="1"/>
  <c r="V26" i="8" s="1"/>
  <c r="W26" i="8" s="1"/>
  <c r="X26" i="8" s="1"/>
  <c r="Y26" i="8" s="1"/>
  <c r="Z26" i="8" s="1"/>
  <c r="AA26" i="8" s="1"/>
  <c r="AC26" i="8" s="1"/>
  <c r="AD26" i="8" s="1"/>
  <c r="AE26" i="8" s="1"/>
  <c r="AF26" i="8" s="1"/>
  <c r="AG26" i="8" s="1"/>
  <c r="AH26" i="8" s="1"/>
  <c r="AI26" i="8" s="1"/>
  <c r="AJ26" i="8" s="1"/>
  <c r="AK26" i="8" s="1"/>
  <c r="AL26" i="8" s="1"/>
  <c r="AM26" i="8" s="1"/>
  <c r="AN26" i="8" s="1"/>
  <c r="AP26" i="8" s="1"/>
  <c r="Q20" i="8"/>
  <c r="R20" i="8" s="1"/>
  <c r="S20" i="8" s="1"/>
  <c r="T20" i="8" s="1"/>
  <c r="U20" i="8" s="1"/>
  <c r="V20" i="8" s="1"/>
  <c r="W20" i="8" s="1"/>
  <c r="X20" i="8" s="1"/>
  <c r="Y20" i="8" s="1"/>
  <c r="Z20" i="8" s="1"/>
  <c r="AA20" i="8" s="1"/>
  <c r="AC20" i="8" s="1"/>
  <c r="AD20" i="8" s="1"/>
  <c r="AE20" i="8" s="1"/>
  <c r="AF20" i="8" s="1"/>
  <c r="AG20" i="8" s="1"/>
  <c r="AH20" i="8" s="1"/>
  <c r="AI20" i="8" s="1"/>
  <c r="AJ20" i="8" s="1"/>
  <c r="AK20" i="8" s="1"/>
  <c r="AL20" i="8" s="1"/>
  <c r="AM20" i="8" s="1"/>
  <c r="AN20" i="8" s="1"/>
  <c r="AP20" i="8" s="1"/>
  <c r="I18" i="8"/>
  <c r="I26" i="8"/>
  <c r="I19" i="8"/>
  <c r="I21" i="8"/>
  <c r="I27" i="8"/>
  <c r="I23" i="8"/>
  <c r="I24" i="8"/>
  <c r="I22" i="8"/>
  <c r="I25" i="8"/>
  <c r="AD27" i="8"/>
  <c r="AE27" i="8" s="1"/>
  <c r="AF27" i="8" s="1"/>
  <c r="AG27" i="8" s="1"/>
  <c r="AH27" i="8" s="1"/>
  <c r="AI27" i="8" s="1"/>
  <c r="AJ27" i="8" s="1"/>
  <c r="AK27" i="8" s="1"/>
  <c r="AL27" i="8" s="1"/>
  <c r="AM27" i="8" s="1"/>
  <c r="AN27" i="8" s="1"/>
  <c r="AP27" i="8" s="1"/>
  <c r="AB27" i="8"/>
  <c r="AD24" i="8"/>
  <c r="AE24" i="8" s="1"/>
  <c r="AF24" i="8" s="1"/>
  <c r="AG24" i="8" s="1"/>
  <c r="AH24" i="8" s="1"/>
  <c r="AI24" i="8" s="1"/>
  <c r="AJ24" i="8" s="1"/>
  <c r="AK24" i="8" s="1"/>
  <c r="AL24" i="8" s="1"/>
  <c r="AM24" i="8" s="1"/>
  <c r="AN24" i="8" s="1"/>
  <c r="AP24" i="8" s="1"/>
  <c r="AB24" i="8"/>
  <c r="Q19" i="8"/>
  <c r="R19" i="8" s="1"/>
  <c r="S19" i="8" s="1"/>
  <c r="T19" i="8" s="1"/>
  <c r="U19" i="8" s="1"/>
  <c r="V19" i="8" s="1"/>
  <c r="W19" i="8" s="1"/>
  <c r="X19" i="8" s="1"/>
  <c r="Y19" i="8" s="1"/>
  <c r="Z19" i="8" s="1"/>
  <c r="AA19" i="8" s="1"/>
  <c r="AC19" i="8" s="1"/>
  <c r="N19" i="8"/>
  <c r="N18" i="8"/>
  <c r="AB20" i="8" l="1"/>
  <c r="AB22" i="8"/>
  <c r="AB26" i="8"/>
  <c r="S25" i="8"/>
  <c r="T25" i="8" s="1"/>
  <c r="U25" i="8" s="1"/>
  <c r="V25" i="8" s="1"/>
  <c r="W25" i="8" s="1"/>
  <c r="X25" i="8" s="1"/>
  <c r="Y25" i="8" s="1"/>
  <c r="Z25" i="8" s="1"/>
  <c r="AA25" i="8" s="1"/>
  <c r="AC25" i="8" s="1"/>
  <c r="AD25" i="8" s="1"/>
  <c r="AE25" i="8" s="1"/>
  <c r="AF25" i="8" s="1"/>
  <c r="AG25" i="8" s="1"/>
  <c r="AH25" i="8" s="1"/>
  <c r="AI25" i="8" s="1"/>
  <c r="AJ25" i="8" s="1"/>
  <c r="AK25" i="8" s="1"/>
  <c r="AL25" i="8" s="1"/>
  <c r="AM25" i="8" s="1"/>
  <c r="AN25" i="8" s="1"/>
  <c r="AP25" i="8" s="1"/>
  <c r="DE24" i="8"/>
  <c r="DD23" i="8"/>
  <c r="DD21" i="8"/>
  <c r="K54" i="2" s="1"/>
  <c r="DD26" i="8"/>
  <c r="DD22" i="8"/>
  <c r="K55" i="2" s="1"/>
  <c r="DD27" i="8"/>
  <c r="DE26" i="8"/>
  <c r="DE22" i="8"/>
  <c r="L55" i="2" s="1"/>
  <c r="DE27" i="8"/>
  <c r="DD20" i="8"/>
  <c r="K53" i="2" s="1"/>
  <c r="DD19" i="8"/>
  <c r="K52" i="2" s="1"/>
  <c r="DE20" i="8"/>
  <c r="AO24" i="8"/>
  <c r="AQ27" i="8"/>
  <c r="AR27" i="8" s="1"/>
  <c r="AS27" i="8" s="1"/>
  <c r="AT27" i="8" s="1"/>
  <c r="AU27" i="8" s="1"/>
  <c r="AV27" i="8" s="1"/>
  <c r="AW27" i="8" s="1"/>
  <c r="AX27" i="8" s="1"/>
  <c r="AY27" i="8" s="1"/>
  <c r="AZ27" i="8" s="1"/>
  <c r="BA27" i="8" s="1"/>
  <c r="BC27" i="8" s="1"/>
  <c r="AO27" i="8"/>
  <c r="AQ26" i="8"/>
  <c r="AR26" i="8" s="1"/>
  <c r="AS26" i="8" s="1"/>
  <c r="AT26" i="8" s="1"/>
  <c r="AU26" i="8" s="1"/>
  <c r="AV26" i="8" s="1"/>
  <c r="AW26" i="8" s="1"/>
  <c r="AX26" i="8" s="1"/>
  <c r="AY26" i="8" s="1"/>
  <c r="AZ26" i="8" s="1"/>
  <c r="BA26" i="8" s="1"/>
  <c r="BC26" i="8" s="1"/>
  <c r="AO26" i="8"/>
  <c r="AQ24" i="8"/>
  <c r="AR24" i="8" s="1"/>
  <c r="AS24" i="8" s="1"/>
  <c r="AT24" i="8" s="1"/>
  <c r="AU24" i="8" s="1"/>
  <c r="AV24" i="8" s="1"/>
  <c r="AW24" i="8" s="1"/>
  <c r="AX24" i="8" s="1"/>
  <c r="AY24" i="8" s="1"/>
  <c r="AZ24" i="8" s="1"/>
  <c r="BA24" i="8" s="1"/>
  <c r="BC24" i="8" s="1"/>
  <c r="AD23" i="8"/>
  <c r="AE23" i="8" s="1"/>
  <c r="AF23" i="8" s="1"/>
  <c r="AG23" i="8" s="1"/>
  <c r="AH23" i="8" s="1"/>
  <c r="AI23" i="8" s="1"/>
  <c r="AJ23" i="8" s="1"/>
  <c r="AK23" i="8" s="1"/>
  <c r="AL23" i="8" s="1"/>
  <c r="AM23" i="8" s="1"/>
  <c r="AN23" i="8" s="1"/>
  <c r="AP23" i="8" s="1"/>
  <c r="AB23" i="8"/>
  <c r="AQ22" i="8"/>
  <c r="AR22" i="8" s="1"/>
  <c r="AS22" i="8" s="1"/>
  <c r="AT22" i="8" s="1"/>
  <c r="AU22" i="8" s="1"/>
  <c r="AV22" i="8" s="1"/>
  <c r="AW22" i="8" s="1"/>
  <c r="AX22" i="8" s="1"/>
  <c r="AY22" i="8" s="1"/>
  <c r="AZ22" i="8" s="1"/>
  <c r="BA22" i="8" s="1"/>
  <c r="BC22" i="8" s="1"/>
  <c r="AO22" i="8"/>
  <c r="AD21" i="8"/>
  <c r="AE21" i="8" s="1"/>
  <c r="AF21" i="8" s="1"/>
  <c r="AG21" i="8" s="1"/>
  <c r="AH21" i="8" s="1"/>
  <c r="AI21" i="8" s="1"/>
  <c r="AJ21" i="8" s="1"/>
  <c r="AK21" i="8" s="1"/>
  <c r="AL21" i="8" s="1"/>
  <c r="AM21" i="8" s="1"/>
  <c r="AN21" i="8" s="1"/>
  <c r="AP21" i="8" s="1"/>
  <c r="AB21" i="8"/>
  <c r="AQ20" i="8"/>
  <c r="AR20" i="8" s="1"/>
  <c r="AS20" i="8" s="1"/>
  <c r="AT20" i="8" s="1"/>
  <c r="AU20" i="8" s="1"/>
  <c r="AV20" i="8" s="1"/>
  <c r="AW20" i="8" s="1"/>
  <c r="AX20" i="8" s="1"/>
  <c r="AY20" i="8" s="1"/>
  <c r="AZ20" i="8" s="1"/>
  <c r="BA20" i="8" s="1"/>
  <c r="BC20" i="8" s="1"/>
  <c r="AO20" i="8"/>
  <c r="AD19" i="8"/>
  <c r="AE19" i="8" s="1"/>
  <c r="AF19" i="8" s="1"/>
  <c r="AG19" i="8" s="1"/>
  <c r="AH19" i="8" s="1"/>
  <c r="AI19" i="8" s="1"/>
  <c r="AJ19" i="8" s="1"/>
  <c r="AK19" i="8" s="1"/>
  <c r="AL19" i="8" s="1"/>
  <c r="AM19" i="8" s="1"/>
  <c r="AN19" i="8" s="1"/>
  <c r="AP19" i="8" s="1"/>
  <c r="AB19" i="8"/>
  <c r="DF26" i="8" l="1"/>
  <c r="AB25" i="8"/>
  <c r="DE21" i="8"/>
  <c r="L54" i="2" s="1"/>
  <c r="DF24" i="8"/>
  <c r="DD25" i="8"/>
  <c r="DF22" i="8"/>
  <c r="M55" i="2" s="1"/>
  <c r="DF27" i="8"/>
  <c r="DE23" i="8"/>
  <c r="DG27" i="8"/>
  <c r="BB22" i="8"/>
  <c r="DE25" i="8"/>
  <c r="L53" i="2"/>
  <c r="DF20" i="8"/>
  <c r="DE19" i="8"/>
  <c r="L52" i="2" s="1"/>
  <c r="AO19" i="8"/>
  <c r="AO23" i="8"/>
  <c r="BB20" i="8"/>
  <c r="BB27" i="8"/>
  <c r="BD27" i="8"/>
  <c r="BE27" i="8" s="1"/>
  <c r="BF27" i="8" s="1"/>
  <c r="BG27" i="8" s="1"/>
  <c r="BH27" i="8" s="1"/>
  <c r="BI27" i="8" s="1"/>
  <c r="BJ27" i="8" s="1"/>
  <c r="BK27" i="8" s="1"/>
  <c r="BL27" i="8" s="1"/>
  <c r="BM27" i="8" s="1"/>
  <c r="BN27" i="8" s="1"/>
  <c r="BP27" i="8" s="1"/>
  <c r="BO27" i="8"/>
  <c r="BD26" i="8"/>
  <c r="BE26" i="8" s="1"/>
  <c r="BF26" i="8" s="1"/>
  <c r="BG26" i="8" s="1"/>
  <c r="BH26" i="8" s="1"/>
  <c r="BI26" i="8" s="1"/>
  <c r="BJ26" i="8" s="1"/>
  <c r="BK26" i="8" s="1"/>
  <c r="BL26" i="8" s="1"/>
  <c r="BM26" i="8" s="1"/>
  <c r="BN26" i="8" s="1"/>
  <c r="BP26" i="8" s="1"/>
  <c r="BB26" i="8"/>
  <c r="AQ25" i="8"/>
  <c r="AR25" i="8" s="1"/>
  <c r="AS25" i="8" s="1"/>
  <c r="AT25" i="8" s="1"/>
  <c r="AU25" i="8" s="1"/>
  <c r="AV25" i="8" s="1"/>
  <c r="AW25" i="8" s="1"/>
  <c r="AX25" i="8" s="1"/>
  <c r="AY25" i="8" s="1"/>
  <c r="AZ25" i="8" s="1"/>
  <c r="BA25" i="8" s="1"/>
  <c r="BC25" i="8" s="1"/>
  <c r="AO25" i="8"/>
  <c r="BB24" i="8"/>
  <c r="BD24" i="8"/>
  <c r="BE24" i="8" s="1"/>
  <c r="BF24" i="8" s="1"/>
  <c r="BG24" i="8" s="1"/>
  <c r="BH24" i="8" s="1"/>
  <c r="BI24" i="8" s="1"/>
  <c r="BJ24" i="8" s="1"/>
  <c r="BK24" i="8" s="1"/>
  <c r="BL24" i="8" s="1"/>
  <c r="BM24" i="8" s="1"/>
  <c r="BN24" i="8" s="1"/>
  <c r="BP24" i="8" s="1"/>
  <c r="AQ23" i="8"/>
  <c r="AR23" i="8" s="1"/>
  <c r="AS23" i="8" s="1"/>
  <c r="AT23" i="8" s="1"/>
  <c r="AU23" i="8" s="1"/>
  <c r="AV23" i="8" s="1"/>
  <c r="AW23" i="8" s="1"/>
  <c r="AX23" i="8" s="1"/>
  <c r="AY23" i="8" s="1"/>
  <c r="AZ23" i="8" s="1"/>
  <c r="BA23" i="8" s="1"/>
  <c r="BC23" i="8" s="1"/>
  <c r="BD22" i="8"/>
  <c r="BE22" i="8" s="1"/>
  <c r="BF22" i="8" s="1"/>
  <c r="BG22" i="8" s="1"/>
  <c r="BH22" i="8" s="1"/>
  <c r="BI22" i="8" s="1"/>
  <c r="BJ22" i="8" s="1"/>
  <c r="BK22" i="8" s="1"/>
  <c r="BL22" i="8" s="1"/>
  <c r="BM22" i="8" s="1"/>
  <c r="BN22" i="8" s="1"/>
  <c r="BP22" i="8" s="1"/>
  <c r="BO22" i="8"/>
  <c r="AQ21" i="8"/>
  <c r="AR21" i="8" s="1"/>
  <c r="AS21" i="8" s="1"/>
  <c r="AT21" i="8" s="1"/>
  <c r="AU21" i="8" s="1"/>
  <c r="AV21" i="8" s="1"/>
  <c r="AW21" i="8" s="1"/>
  <c r="AX21" i="8" s="1"/>
  <c r="AY21" i="8" s="1"/>
  <c r="AZ21" i="8" s="1"/>
  <c r="BA21" i="8" s="1"/>
  <c r="BC21" i="8" s="1"/>
  <c r="AO21" i="8"/>
  <c r="BD20" i="8"/>
  <c r="BE20" i="8" s="1"/>
  <c r="BF20" i="8" s="1"/>
  <c r="BG20" i="8" s="1"/>
  <c r="BH20" i="8" s="1"/>
  <c r="BI20" i="8" s="1"/>
  <c r="BJ20" i="8" s="1"/>
  <c r="BK20" i="8" s="1"/>
  <c r="BL20" i="8" s="1"/>
  <c r="BM20" i="8" s="1"/>
  <c r="BN20" i="8" s="1"/>
  <c r="BP20" i="8" s="1"/>
  <c r="AQ19" i="8"/>
  <c r="AR19" i="8" s="1"/>
  <c r="AS19" i="8" s="1"/>
  <c r="AT19" i="8" s="1"/>
  <c r="AU19" i="8" s="1"/>
  <c r="AV19" i="8" s="1"/>
  <c r="AW19" i="8" s="1"/>
  <c r="AX19" i="8" s="1"/>
  <c r="AY19" i="8" s="1"/>
  <c r="AZ19" i="8" s="1"/>
  <c r="BA19" i="8" s="1"/>
  <c r="BC19" i="8" s="1"/>
  <c r="DG24" i="8" l="1"/>
  <c r="DG22" i="8"/>
  <c r="N55" i="2" s="1"/>
  <c r="DG26" i="8"/>
  <c r="DF23" i="8"/>
  <c r="DF25" i="8"/>
  <c r="DF21" i="8"/>
  <c r="M54" i="2" s="1"/>
  <c r="M53" i="2"/>
  <c r="DG20" i="8"/>
  <c r="DF19" i="8"/>
  <c r="M52" i="2" s="1"/>
  <c r="BB25" i="8"/>
  <c r="BB19" i="8"/>
  <c r="BB23" i="8"/>
  <c r="BQ27" i="8"/>
  <c r="BR27" i="8" s="1"/>
  <c r="BS27" i="8" s="1"/>
  <c r="BT27" i="8" s="1"/>
  <c r="BU27" i="8" s="1"/>
  <c r="BV27" i="8" s="1"/>
  <c r="BW27" i="8" s="1"/>
  <c r="BX27" i="8" s="1"/>
  <c r="BY27" i="8" s="1"/>
  <c r="BZ27" i="8" s="1"/>
  <c r="CA27" i="8" s="1"/>
  <c r="CC27" i="8" s="1"/>
  <c r="BQ26" i="8"/>
  <c r="BR26" i="8" s="1"/>
  <c r="BS26" i="8" s="1"/>
  <c r="BT26" i="8" s="1"/>
  <c r="BU26" i="8" s="1"/>
  <c r="BV26" i="8" s="1"/>
  <c r="BW26" i="8" s="1"/>
  <c r="BX26" i="8" s="1"/>
  <c r="BY26" i="8" s="1"/>
  <c r="BZ26" i="8" s="1"/>
  <c r="CA26" i="8" s="1"/>
  <c r="CC26" i="8" s="1"/>
  <c r="BO26" i="8"/>
  <c r="BD25" i="8"/>
  <c r="BE25" i="8" s="1"/>
  <c r="BF25" i="8" s="1"/>
  <c r="BG25" i="8" s="1"/>
  <c r="BH25" i="8" s="1"/>
  <c r="BI25" i="8" s="1"/>
  <c r="BJ25" i="8" s="1"/>
  <c r="BK25" i="8" s="1"/>
  <c r="BL25" i="8" s="1"/>
  <c r="BM25" i="8" s="1"/>
  <c r="BN25" i="8" s="1"/>
  <c r="BP25" i="8" s="1"/>
  <c r="BQ24" i="8"/>
  <c r="BR24" i="8" s="1"/>
  <c r="BS24" i="8" s="1"/>
  <c r="BT24" i="8" s="1"/>
  <c r="BU24" i="8" s="1"/>
  <c r="BV24" i="8" s="1"/>
  <c r="BW24" i="8" s="1"/>
  <c r="BX24" i="8" s="1"/>
  <c r="BY24" i="8" s="1"/>
  <c r="BZ24" i="8" s="1"/>
  <c r="CA24" i="8" s="1"/>
  <c r="CC24" i="8" s="1"/>
  <c r="BO24" i="8"/>
  <c r="BD23" i="8"/>
  <c r="BE23" i="8" s="1"/>
  <c r="BF23" i="8" s="1"/>
  <c r="BG23" i="8" s="1"/>
  <c r="BH23" i="8" s="1"/>
  <c r="BI23" i="8" s="1"/>
  <c r="BJ23" i="8" s="1"/>
  <c r="BK23" i="8" s="1"/>
  <c r="BL23" i="8" s="1"/>
  <c r="BM23" i="8" s="1"/>
  <c r="BN23" i="8" s="1"/>
  <c r="BP23" i="8" s="1"/>
  <c r="BQ22" i="8"/>
  <c r="BR22" i="8" s="1"/>
  <c r="BS22" i="8" s="1"/>
  <c r="BT22" i="8" s="1"/>
  <c r="BU22" i="8" s="1"/>
  <c r="BV22" i="8" s="1"/>
  <c r="BW22" i="8" s="1"/>
  <c r="BX22" i="8" s="1"/>
  <c r="BY22" i="8" s="1"/>
  <c r="BZ22" i="8" s="1"/>
  <c r="CA22" i="8" s="1"/>
  <c r="CC22" i="8" s="1"/>
  <c r="CB22" i="8"/>
  <c r="BB21" i="8"/>
  <c r="BD21" i="8"/>
  <c r="BE21" i="8" s="1"/>
  <c r="BF21" i="8" s="1"/>
  <c r="BG21" i="8" s="1"/>
  <c r="BH21" i="8" s="1"/>
  <c r="BI21" i="8" s="1"/>
  <c r="BJ21" i="8" s="1"/>
  <c r="BK21" i="8" s="1"/>
  <c r="BL21" i="8" s="1"/>
  <c r="BM21" i="8" s="1"/>
  <c r="BN21" i="8" s="1"/>
  <c r="BP21" i="8" s="1"/>
  <c r="BQ20" i="8"/>
  <c r="BR20" i="8" s="1"/>
  <c r="BS20" i="8" s="1"/>
  <c r="BT20" i="8" s="1"/>
  <c r="BU20" i="8" s="1"/>
  <c r="BV20" i="8" s="1"/>
  <c r="BW20" i="8" s="1"/>
  <c r="BX20" i="8" s="1"/>
  <c r="BY20" i="8" s="1"/>
  <c r="BZ20" i="8" s="1"/>
  <c r="CA20" i="8" s="1"/>
  <c r="CC20" i="8" s="1"/>
  <c r="BO20" i="8"/>
  <c r="BD19" i="8"/>
  <c r="BE19" i="8" s="1"/>
  <c r="BF19" i="8" s="1"/>
  <c r="BG19" i="8" s="1"/>
  <c r="BH19" i="8" s="1"/>
  <c r="BI19" i="8" s="1"/>
  <c r="BJ19" i="8" s="1"/>
  <c r="BK19" i="8" s="1"/>
  <c r="BL19" i="8" s="1"/>
  <c r="BM19" i="8" s="1"/>
  <c r="BN19" i="8" s="1"/>
  <c r="BP19" i="8" s="1"/>
  <c r="DG21" i="8" l="1"/>
  <c r="N54" i="2" s="1"/>
  <c r="DH27" i="8"/>
  <c r="DI27" i="8"/>
  <c r="DI24" i="8"/>
  <c r="DH22" i="8"/>
  <c r="O55" i="2" s="1"/>
  <c r="DH24" i="8"/>
  <c r="DI22" i="8"/>
  <c r="P55" i="2" s="1"/>
  <c r="DI26" i="8"/>
  <c r="DG23" i="8"/>
  <c r="DH26" i="8"/>
  <c r="DG25" i="8"/>
  <c r="N53" i="2"/>
  <c r="DI20" i="8"/>
  <c r="DH19" i="8"/>
  <c r="O52" i="2" s="1"/>
  <c r="DH20" i="8"/>
  <c r="DG19" i="8"/>
  <c r="N52" i="2" s="1"/>
  <c r="CB26" i="8"/>
  <c r="BO21" i="8"/>
  <c r="BO19" i="8"/>
  <c r="BO23" i="8"/>
  <c r="CD27" i="8"/>
  <c r="CE27" i="8" s="1"/>
  <c r="CF27" i="8" s="1"/>
  <c r="CG27" i="8" s="1"/>
  <c r="CH27" i="8" s="1"/>
  <c r="CI27" i="8" s="1"/>
  <c r="CJ27" i="8" s="1"/>
  <c r="CK27" i="8" s="1"/>
  <c r="CL27" i="8" s="1"/>
  <c r="CM27" i="8" s="1"/>
  <c r="CN27" i="8" s="1"/>
  <c r="CP27" i="8" s="1"/>
  <c r="CB27" i="8"/>
  <c r="CD26" i="8"/>
  <c r="CE26" i="8" s="1"/>
  <c r="CF26" i="8" s="1"/>
  <c r="CG26" i="8" s="1"/>
  <c r="CH26" i="8" s="1"/>
  <c r="CI26" i="8" s="1"/>
  <c r="CJ26" i="8" s="1"/>
  <c r="CK26" i="8" s="1"/>
  <c r="CL26" i="8" s="1"/>
  <c r="CM26" i="8" s="1"/>
  <c r="CN26" i="8" s="1"/>
  <c r="CP26" i="8" s="1"/>
  <c r="BO25" i="8"/>
  <c r="BQ25" i="8"/>
  <c r="BR25" i="8" s="1"/>
  <c r="BS25" i="8" s="1"/>
  <c r="BT25" i="8" s="1"/>
  <c r="BU25" i="8" s="1"/>
  <c r="BV25" i="8" s="1"/>
  <c r="BW25" i="8" s="1"/>
  <c r="BX25" i="8" s="1"/>
  <c r="BY25" i="8" s="1"/>
  <c r="BZ25" i="8" s="1"/>
  <c r="CA25" i="8" s="1"/>
  <c r="CC25" i="8" s="1"/>
  <c r="CD24" i="8"/>
  <c r="CE24" i="8" s="1"/>
  <c r="CF24" i="8" s="1"/>
  <c r="CG24" i="8" s="1"/>
  <c r="CH24" i="8" s="1"/>
  <c r="CI24" i="8" s="1"/>
  <c r="CJ24" i="8" s="1"/>
  <c r="CK24" i="8" s="1"/>
  <c r="CL24" i="8" s="1"/>
  <c r="CM24" i="8" s="1"/>
  <c r="CN24" i="8" s="1"/>
  <c r="CP24" i="8" s="1"/>
  <c r="CB24" i="8"/>
  <c r="BQ23" i="8"/>
  <c r="BR23" i="8" s="1"/>
  <c r="BS23" i="8" s="1"/>
  <c r="BT23" i="8" s="1"/>
  <c r="BU23" i="8" s="1"/>
  <c r="BV23" i="8" s="1"/>
  <c r="BW23" i="8" s="1"/>
  <c r="BX23" i="8" s="1"/>
  <c r="BY23" i="8" s="1"/>
  <c r="BZ23" i="8" s="1"/>
  <c r="CA23" i="8" s="1"/>
  <c r="CC23" i="8" s="1"/>
  <c r="CD22" i="8"/>
  <c r="CE22" i="8" s="1"/>
  <c r="CF22" i="8" s="1"/>
  <c r="CG22" i="8" s="1"/>
  <c r="CH22" i="8" s="1"/>
  <c r="CI22" i="8" s="1"/>
  <c r="CJ22" i="8" s="1"/>
  <c r="CK22" i="8" s="1"/>
  <c r="CL22" i="8" s="1"/>
  <c r="CM22" i="8" s="1"/>
  <c r="CN22" i="8" s="1"/>
  <c r="CP22" i="8" s="1"/>
  <c r="BQ21" i="8"/>
  <c r="BR21" i="8" s="1"/>
  <c r="BS21" i="8" s="1"/>
  <c r="BT21" i="8" s="1"/>
  <c r="BU21" i="8" s="1"/>
  <c r="BV21" i="8" s="1"/>
  <c r="BW21" i="8" s="1"/>
  <c r="BX21" i="8" s="1"/>
  <c r="BY21" i="8" s="1"/>
  <c r="BZ21" i="8" s="1"/>
  <c r="CA21" i="8" s="1"/>
  <c r="CC21" i="8" s="1"/>
  <c r="CD20" i="8"/>
  <c r="CE20" i="8" s="1"/>
  <c r="CF20" i="8" s="1"/>
  <c r="CG20" i="8" s="1"/>
  <c r="CH20" i="8" s="1"/>
  <c r="CI20" i="8" s="1"/>
  <c r="CJ20" i="8" s="1"/>
  <c r="CK20" i="8" s="1"/>
  <c r="CL20" i="8" s="1"/>
  <c r="CM20" i="8" s="1"/>
  <c r="CN20" i="8" s="1"/>
  <c r="CP20" i="8" s="1"/>
  <c r="CB20" i="8"/>
  <c r="BQ19" i="8"/>
  <c r="BR19" i="8" s="1"/>
  <c r="BS19" i="8" s="1"/>
  <c r="BT19" i="8" s="1"/>
  <c r="BU19" i="8" s="1"/>
  <c r="BV19" i="8" s="1"/>
  <c r="BW19" i="8" s="1"/>
  <c r="BX19" i="8" s="1"/>
  <c r="BY19" i="8" s="1"/>
  <c r="BZ19" i="8" s="1"/>
  <c r="CA19" i="8" s="1"/>
  <c r="CC19" i="8" s="1"/>
  <c r="DH25" i="8" l="1"/>
  <c r="CO26" i="8"/>
  <c r="DI25" i="8"/>
  <c r="DI19" i="8"/>
  <c r="P52" i="2" s="1"/>
  <c r="DJ24" i="8"/>
  <c r="DI23" i="8"/>
  <c r="DH23" i="8"/>
  <c r="DI21" i="8"/>
  <c r="P54" i="2" s="1"/>
  <c r="DJ27" i="8"/>
  <c r="DJ22" i="8"/>
  <c r="Q55" i="2" s="1"/>
  <c r="CO22" i="8"/>
  <c r="DH21" i="8"/>
  <c r="O54" i="2" s="1"/>
  <c r="DJ26" i="8"/>
  <c r="O53" i="2"/>
  <c r="P53" i="2"/>
  <c r="DJ20" i="8"/>
  <c r="CB19" i="8"/>
  <c r="CO24" i="8"/>
  <c r="CO27" i="8"/>
  <c r="CQ27" i="8"/>
  <c r="CR27" i="8" s="1"/>
  <c r="CS27" i="8" s="1"/>
  <c r="CT27" i="8" s="1"/>
  <c r="CU27" i="8" s="1"/>
  <c r="CV27" i="8" s="1"/>
  <c r="CW27" i="8" s="1"/>
  <c r="CX27" i="8" s="1"/>
  <c r="CY27" i="8" s="1"/>
  <c r="CZ27" i="8" s="1"/>
  <c r="DA27" i="8" s="1"/>
  <c r="CQ26" i="8"/>
  <c r="CR26" i="8" s="1"/>
  <c r="CS26" i="8" s="1"/>
  <c r="CT26" i="8" s="1"/>
  <c r="CU26" i="8" s="1"/>
  <c r="CV26" i="8" s="1"/>
  <c r="CW26" i="8" s="1"/>
  <c r="CX26" i="8" s="1"/>
  <c r="CY26" i="8" s="1"/>
  <c r="CZ26" i="8" s="1"/>
  <c r="DA26" i="8" s="1"/>
  <c r="CB25" i="8"/>
  <c r="CD25" i="8"/>
  <c r="CE25" i="8" s="1"/>
  <c r="CF25" i="8" s="1"/>
  <c r="CG25" i="8" s="1"/>
  <c r="CH25" i="8" s="1"/>
  <c r="CI25" i="8" s="1"/>
  <c r="CJ25" i="8" s="1"/>
  <c r="CK25" i="8" s="1"/>
  <c r="CL25" i="8" s="1"/>
  <c r="CM25" i="8" s="1"/>
  <c r="CN25" i="8" s="1"/>
  <c r="CP25" i="8" s="1"/>
  <c r="CQ24" i="8"/>
  <c r="CR24" i="8" s="1"/>
  <c r="CS24" i="8" s="1"/>
  <c r="CT24" i="8" s="1"/>
  <c r="CU24" i="8" s="1"/>
  <c r="CV24" i="8" s="1"/>
  <c r="CW24" i="8" s="1"/>
  <c r="CX24" i="8" s="1"/>
  <c r="CY24" i="8" s="1"/>
  <c r="CZ24" i="8" s="1"/>
  <c r="DA24" i="8" s="1"/>
  <c r="DB24" i="8" s="1"/>
  <c r="CB23" i="8"/>
  <c r="CD23" i="8"/>
  <c r="CE23" i="8" s="1"/>
  <c r="CF23" i="8" s="1"/>
  <c r="CG23" i="8" s="1"/>
  <c r="CH23" i="8" s="1"/>
  <c r="CI23" i="8" s="1"/>
  <c r="CJ23" i="8" s="1"/>
  <c r="CK23" i="8" s="1"/>
  <c r="CL23" i="8" s="1"/>
  <c r="CM23" i="8" s="1"/>
  <c r="CN23" i="8" s="1"/>
  <c r="CP23" i="8" s="1"/>
  <c r="CQ22" i="8"/>
  <c r="CR22" i="8" s="1"/>
  <c r="CS22" i="8" s="1"/>
  <c r="CT22" i="8" s="1"/>
  <c r="CU22" i="8" s="1"/>
  <c r="CV22" i="8" s="1"/>
  <c r="CW22" i="8" s="1"/>
  <c r="CX22" i="8" s="1"/>
  <c r="CY22" i="8" s="1"/>
  <c r="CZ22" i="8" s="1"/>
  <c r="DA22" i="8" s="1"/>
  <c r="CD21" i="8"/>
  <c r="CE21" i="8" s="1"/>
  <c r="CF21" i="8" s="1"/>
  <c r="CG21" i="8" s="1"/>
  <c r="CH21" i="8" s="1"/>
  <c r="CI21" i="8" s="1"/>
  <c r="CJ21" i="8" s="1"/>
  <c r="CK21" i="8" s="1"/>
  <c r="CL21" i="8" s="1"/>
  <c r="CM21" i="8" s="1"/>
  <c r="CN21" i="8" s="1"/>
  <c r="CP21" i="8" s="1"/>
  <c r="CB21" i="8"/>
  <c r="CQ20" i="8"/>
  <c r="CR20" i="8" s="1"/>
  <c r="CS20" i="8" s="1"/>
  <c r="CT20" i="8" s="1"/>
  <c r="CU20" i="8" s="1"/>
  <c r="CV20" i="8" s="1"/>
  <c r="CW20" i="8" s="1"/>
  <c r="CX20" i="8" s="1"/>
  <c r="CY20" i="8" s="1"/>
  <c r="CZ20" i="8" s="1"/>
  <c r="DA20" i="8" s="1"/>
  <c r="CO20" i="8"/>
  <c r="CD19" i="8"/>
  <c r="CE19" i="8" s="1"/>
  <c r="CF19" i="8" s="1"/>
  <c r="CG19" i="8" s="1"/>
  <c r="CH19" i="8" s="1"/>
  <c r="CI19" i="8" s="1"/>
  <c r="CJ19" i="8" s="1"/>
  <c r="CK19" i="8" s="1"/>
  <c r="CL19" i="8" s="1"/>
  <c r="CM19" i="8" s="1"/>
  <c r="CN19" i="8" s="1"/>
  <c r="CP19" i="8" s="1"/>
  <c r="CO23" i="8" l="1"/>
  <c r="DJ23" i="8"/>
  <c r="DJ25" i="8"/>
  <c r="DJ21" i="8"/>
  <c r="Q54" i="2" s="1"/>
  <c r="Q53" i="2"/>
  <c r="DJ19" i="8"/>
  <c r="Q52" i="2" s="1"/>
  <c r="DB22" i="8"/>
  <c r="CO25" i="8"/>
  <c r="DB27" i="8"/>
  <c r="DB26" i="8"/>
  <c r="CQ25" i="8"/>
  <c r="CR25" i="8" s="1"/>
  <c r="CS25" i="8" s="1"/>
  <c r="CT25" i="8" s="1"/>
  <c r="CU25" i="8" s="1"/>
  <c r="CV25" i="8" s="1"/>
  <c r="CW25" i="8" s="1"/>
  <c r="CX25" i="8" s="1"/>
  <c r="CY25" i="8" s="1"/>
  <c r="CZ25" i="8" s="1"/>
  <c r="DA25" i="8" s="1"/>
  <c r="CQ23" i="8"/>
  <c r="CR23" i="8" s="1"/>
  <c r="CS23" i="8" s="1"/>
  <c r="CT23" i="8" s="1"/>
  <c r="CU23" i="8" s="1"/>
  <c r="CV23" i="8" s="1"/>
  <c r="CW23" i="8" s="1"/>
  <c r="CX23" i="8" s="1"/>
  <c r="CY23" i="8" s="1"/>
  <c r="CZ23" i="8" s="1"/>
  <c r="DA23" i="8" s="1"/>
  <c r="CO21" i="8"/>
  <c r="CQ21" i="8"/>
  <c r="CR21" i="8" s="1"/>
  <c r="CS21" i="8" s="1"/>
  <c r="CT21" i="8" s="1"/>
  <c r="CU21" i="8" s="1"/>
  <c r="CV21" i="8" s="1"/>
  <c r="CW21" i="8" s="1"/>
  <c r="CX21" i="8" s="1"/>
  <c r="CY21" i="8" s="1"/>
  <c r="CZ21" i="8" s="1"/>
  <c r="DA21" i="8" s="1"/>
  <c r="DB20" i="8"/>
  <c r="CQ19" i="8"/>
  <c r="CR19" i="8" s="1"/>
  <c r="CS19" i="8" s="1"/>
  <c r="CT19" i="8" s="1"/>
  <c r="CU19" i="8" s="1"/>
  <c r="CV19" i="8" s="1"/>
  <c r="CW19" i="8" s="1"/>
  <c r="CX19" i="8" s="1"/>
  <c r="CY19" i="8" s="1"/>
  <c r="CZ19" i="8" s="1"/>
  <c r="DA19" i="8" s="1"/>
  <c r="CO19" i="8"/>
  <c r="DB23" i="8" l="1"/>
  <c r="DB25" i="8"/>
  <c r="DB21" i="8"/>
  <c r="DB19" i="8"/>
  <c r="G20" i="3" l="1"/>
  <c r="H20" i="3" s="1"/>
  <c r="I20" i="3" s="1"/>
  <c r="J20" i="3" s="1"/>
  <c r="K20" i="3" s="1"/>
  <c r="L20" i="3" s="1"/>
  <c r="G19" i="3"/>
  <c r="H19" i="3" s="1"/>
  <c r="I19" i="3" s="1"/>
  <c r="J19" i="3" s="1"/>
  <c r="K19" i="3" s="1"/>
  <c r="L19" i="3" s="1"/>
  <c r="G18" i="3"/>
  <c r="K44" i="3"/>
  <c r="J44" i="3"/>
  <c r="I44" i="3"/>
  <c r="H44" i="3"/>
  <c r="G44" i="3"/>
  <c r="F44" i="3"/>
  <c r="E21" i="3"/>
  <c r="E20" i="3"/>
  <c r="E19" i="3"/>
  <c r="E18" i="3"/>
  <c r="I17" i="8"/>
  <c r="P18" i="8"/>
  <c r="P17" i="8"/>
  <c r="Q17" i="8" s="1"/>
  <c r="M17" i="8"/>
  <c r="N17" i="8" s="1"/>
  <c r="P16" i="8"/>
  <c r="Q16" i="8" s="1"/>
  <c r="M16" i="8"/>
  <c r="N16" i="8" s="1"/>
  <c r="P15" i="8"/>
  <c r="Q15" i="8" s="1"/>
  <c r="R15" i="8" s="1"/>
  <c r="S15" i="8" s="1"/>
  <c r="T15" i="8" s="1"/>
  <c r="U15" i="8" s="1"/>
  <c r="V15" i="8" s="1"/>
  <c r="W15" i="8" s="1"/>
  <c r="X15" i="8" s="1"/>
  <c r="Y15" i="8" s="1"/>
  <c r="Z15" i="8" s="1"/>
  <c r="AA15" i="8" s="1"/>
  <c r="AC15" i="8" s="1"/>
  <c r="M15" i="8"/>
  <c r="N15" i="8" s="1"/>
  <c r="P14" i="8"/>
  <c r="Q14" i="8" s="1"/>
  <c r="M14" i="8"/>
  <c r="N14" i="8" s="1"/>
  <c r="P13" i="8"/>
  <c r="M13" i="8"/>
  <c r="N13" i="8" s="1"/>
  <c r="P12" i="8"/>
  <c r="Q12" i="8" s="1"/>
  <c r="M12" i="8"/>
  <c r="N12" i="8" s="1"/>
  <c r="P11" i="8"/>
  <c r="M11" i="8"/>
  <c r="L11" i="8"/>
  <c r="Q11" i="8" l="1"/>
  <c r="P28" i="8"/>
  <c r="Q18" i="8"/>
  <c r="R18" i="8" s="1"/>
  <c r="S18" i="8" s="1"/>
  <c r="T18" i="8" s="1"/>
  <c r="U18" i="8" s="1"/>
  <c r="V18" i="8" s="1"/>
  <c r="W18" i="8" s="1"/>
  <c r="X18" i="8" s="1"/>
  <c r="Y18" i="8" s="1"/>
  <c r="Z18" i="8" s="1"/>
  <c r="AA18" i="8" s="1"/>
  <c r="H18" i="3"/>
  <c r="M28" i="8"/>
  <c r="I16" i="8"/>
  <c r="I12" i="8"/>
  <c r="I15" i="8"/>
  <c r="I11" i="8"/>
  <c r="I13" i="8"/>
  <c r="I14" i="8"/>
  <c r="R16" i="8"/>
  <c r="S16" i="8" s="1"/>
  <c r="T16" i="8" s="1"/>
  <c r="U16" i="8" s="1"/>
  <c r="V16" i="8" s="1"/>
  <c r="W16" i="8" s="1"/>
  <c r="X16" i="8" s="1"/>
  <c r="Y16" i="8" s="1"/>
  <c r="Z16" i="8" s="1"/>
  <c r="AA16" i="8" s="1"/>
  <c r="AD15" i="8"/>
  <c r="AE15" i="8" s="1"/>
  <c r="AF15" i="8" s="1"/>
  <c r="AG15" i="8" s="1"/>
  <c r="AH15" i="8" s="1"/>
  <c r="AI15" i="8" s="1"/>
  <c r="AJ15" i="8" s="1"/>
  <c r="AK15" i="8" s="1"/>
  <c r="AL15" i="8" s="1"/>
  <c r="AM15" i="8" s="1"/>
  <c r="AN15" i="8" s="1"/>
  <c r="AP15" i="8" s="1"/>
  <c r="R14" i="8"/>
  <c r="R12" i="8"/>
  <c r="N11" i="8"/>
  <c r="N28" i="8" s="1"/>
  <c r="Q13" i="8"/>
  <c r="DD15" i="8"/>
  <c r="K48" i="2" s="1"/>
  <c r="AB15" i="8"/>
  <c r="R17" i="8"/>
  <c r="S17" i="8" s="1"/>
  <c r="T17" i="8" s="1"/>
  <c r="U17" i="8" s="1"/>
  <c r="V17" i="8" s="1"/>
  <c r="W17" i="8" s="1"/>
  <c r="X17" i="8" s="1"/>
  <c r="Y17" i="8" s="1"/>
  <c r="Z17" i="8" s="1"/>
  <c r="AA17" i="8" s="1"/>
  <c r="AC17" i="8" s="1"/>
  <c r="F11" i="2"/>
  <c r="N9" i="2"/>
  <c r="M9" i="2" s="1"/>
  <c r="L9" i="2" s="1"/>
  <c r="K9" i="2" s="1"/>
  <c r="J12" i="2"/>
  <c r="N17" i="7"/>
  <c r="D22" i="2" s="1"/>
  <c r="F17" i="7"/>
  <c r="D11" i="2" s="1"/>
  <c r="R11" i="8" l="1"/>
  <c r="Q28" i="8"/>
  <c r="D28" i="8"/>
  <c r="B28" i="8"/>
  <c r="C28" i="8"/>
  <c r="DD18" i="8"/>
  <c r="K51" i="2" s="1"/>
  <c r="I18" i="3"/>
  <c r="I28" i="8"/>
  <c r="AB17" i="8"/>
  <c r="AC16" i="8"/>
  <c r="AD16" i="8" s="1"/>
  <c r="AC18" i="8"/>
  <c r="AB18" i="8"/>
  <c r="DD16" i="8"/>
  <c r="K49" i="2" s="1"/>
  <c r="DE15" i="8"/>
  <c r="L48" i="2" s="1"/>
  <c r="AO15" i="8"/>
  <c r="AB16" i="8"/>
  <c r="AD17" i="8"/>
  <c r="AE17" i="8" s="1"/>
  <c r="AF17" i="8" s="1"/>
  <c r="AG17" i="8" s="1"/>
  <c r="AH17" i="8" s="1"/>
  <c r="AI17" i="8" s="1"/>
  <c r="AJ17" i="8" s="1"/>
  <c r="AK17" i="8" s="1"/>
  <c r="AL17" i="8" s="1"/>
  <c r="AM17" i="8" s="1"/>
  <c r="AN17" i="8" s="1"/>
  <c r="AP17" i="8" s="1"/>
  <c r="S14" i="8"/>
  <c r="S12" i="8"/>
  <c r="R13" i="8"/>
  <c r="DD17" i="8"/>
  <c r="K50" i="2" s="1"/>
  <c r="AQ15" i="8"/>
  <c r="AR15" i="8" s="1"/>
  <c r="AS15" i="8" s="1"/>
  <c r="AT15" i="8" s="1"/>
  <c r="AU15" i="8" s="1"/>
  <c r="AV15" i="8" s="1"/>
  <c r="AW15" i="8" s="1"/>
  <c r="AX15" i="8" s="1"/>
  <c r="AY15" i="8" s="1"/>
  <c r="AZ15" i="8" s="1"/>
  <c r="BA15" i="8" s="1"/>
  <c r="BC15" i="8" s="1"/>
  <c r="O9" i="2"/>
  <c r="P9" i="2" s="1"/>
  <c r="Q9" i="2" s="1"/>
  <c r="C3" i="2"/>
  <c r="C9" i="2"/>
  <c r="D23" i="4"/>
  <c r="D14" i="4"/>
  <c r="D5" i="4"/>
  <c r="H12" i="3" l="1"/>
  <c r="R28" i="8"/>
  <c r="S11" i="8"/>
  <c r="F12" i="3"/>
  <c r="G12" i="3"/>
  <c r="AD18" i="8"/>
  <c r="AE18" i="8" s="1"/>
  <c r="AF18" i="8" s="1"/>
  <c r="AG18" i="8" s="1"/>
  <c r="AH18" i="8" s="1"/>
  <c r="AI18" i="8" s="1"/>
  <c r="AJ18" i="8" s="1"/>
  <c r="AK18" i="8" s="1"/>
  <c r="AL18" i="8" s="1"/>
  <c r="AM18" i="8" s="1"/>
  <c r="AN18" i="8" s="1"/>
  <c r="AP18" i="8" s="1"/>
  <c r="J18" i="3"/>
  <c r="I12" i="3"/>
  <c r="DE17" i="8"/>
  <c r="L50" i="2" s="1"/>
  <c r="AE16" i="8"/>
  <c r="AF16" i="8" s="1"/>
  <c r="AG16" i="8" s="1"/>
  <c r="AH16" i="8" s="1"/>
  <c r="AI16" i="8" s="1"/>
  <c r="AJ16" i="8" s="1"/>
  <c r="AK16" i="8" s="1"/>
  <c r="AL16" i="8" s="1"/>
  <c r="AM16" i="8" s="1"/>
  <c r="AN16" i="8" s="1"/>
  <c r="AP16" i="8" s="1"/>
  <c r="AQ16" i="8" s="1"/>
  <c r="AR16" i="8" s="1"/>
  <c r="AS16" i="8" s="1"/>
  <c r="AT16" i="8" s="1"/>
  <c r="AU16" i="8" s="1"/>
  <c r="AV16" i="8" s="1"/>
  <c r="AW16" i="8" s="1"/>
  <c r="AX16" i="8" s="1"/>
  <c r="AY16" i="8" s="1"/>
  <c r="AZ16" i="8" s="1"/>
  <c r="BA16" i="8" s="1"/>
  <c r="BC16" i="8" s="1"/>
  <c r="BB15" i="8"/>
  <c r="BD15" i="8"/>
  <c r="BE15" i="8" s="1"/>
  <c r="BF15" i="8" s="1"/>
  <c r="BG15" i="8" s="1"/>
  <c r="BH15" i="8" s="1"/>
  <c r="BI15" i="8" s="1"/>
  <c r="BJ15" i="8" s="1"/>
  <c r="BK15" i="8" s="1"/>
  <c r="BL15" i="8" s="1"/>
  <c r="BM15" i="8" s="1"/>
  <c r="BN15" i="8" s="1"/>
  <c r="BP15" i="8" s="1"/>
  <c r="DF15" i="8"/>
  <c r="M48" i="2" s="1"/>
  <c r="T14" i="8"/>
  <c r="AQ17" i="8"/>
  <c r="AR17" i="8" s="1"/>
  <c r="AS17" i="8" s="1"/>
  <c r="AT17" i="8" s="1"/>
  <c r="AU17" i="8" s="1"/>
  <c r="AV17" i="8" s="1"/>
  <c r="AW17" i="8" s="1"/>
  <c r="AX17" i="8" s="1"/>
  <c r="AY17" i="8" s="1"/>
  <c r="AZ17" i="8" s="1"/>
  <c r="BA17" i="8" s="1"/>
  <c r="BC17" i="8" s="1"/>
  <c r="S13" i="8"/>
  <c r="T12" i="8"/>
  <c r="AO17" i="8"/>
  <c r="D9" i="2"/>
  <c r="C25" i="2"/>
  <c r="C24" i="2"/>
  <c r="D24" i="2"/>
  <c r="D25" i="2"/>
  <c r="C8" i="5"/>
  <c r="C7" i="5"/>
  <c r="G37" i="2" s="1"/>
  <c r="C6" i="5"/>
  <c r="G38" i="2" s="1"/>
  <c r="F6" i="5"/>
  <c r="G34" i="2" s="1"/>
  <c r="C30" i="2"/>
  <c r="D21" i="2"/>
  <c r="D17" i="2"/>
  <c r="D16" i="2"/>
  <c r="D4" i="9" s="1"/>
  <c r="C15" i="2"/>
  <c r="S28" i="8" l="1"/>
  <c r="T11" i="8"/>
  <c r="DE18" i="8"/>
  <c r="L51" i="2" s="1"/>
  <c r="AO16" i="8"/>
  <c r="AO18" i="8"/>
  <c r="G17" i="2"/>
  <c r="E12" i="3"/>
  <c r="E14" i="3" s="1"/>
  <c r="E22" i="3" s="1"/>
  <c r="DE16" i="8"/>
  <c r="L49" i="2" s="1"/>
  <c r="AQ18" i="8"/>
  <c r="K18" i="3"/>
  <c r="J12" i="3"/>
  <c r="BD16" i="8"/>
  <c r="BE16" i="8" s="1"/>
  <c r="BF16" i="8" s="1"/>
  <c r="BG16" i="8" s="1"/>
  <c r="BH16" i="8" s="1"/>
  <c r="BI16" i="8" s="1"/>
  <c r="BJ16" i="8" s="1"/>
  <c r="BK16" i="8" s="1"/>
  <c r="BL16" i="8" s="1"/>
  <c r="BM16" i="8" s="1"/>
  <c r="BN16" i="8" s="1"/>
  <c r="BP16" i="8" s="1"/>
  <c r="BB16" i="8"/>
  <c r="DF16" i="8"/>
  <c r="M49" i="2" s="1"/>
  <c r="BO15" i="8"/>
  <c r="DG15" i="8"/>
  <c r="N48" i="2" s="1"/>
  <c r="T13" i="8"/>
  <c r="DF17" i="8"/>
  <c r="M50" i="2" s="1"/>
  <c r="U14" i="8"/>
  <c r="BB17" i="8"/>
  <c r="BQ15" i="8"/>
  <c r="BR15" i="8" s="1"/>
  <c r="BS15" i="8" s="1"/>
  <c r="BT15" i="8" s="1"/>
  <c r="BU15" i="8" s="1"/>
  <c r="BV15" i="8" s="1"/>
  <c r="BW15" i="8" s="1"/>
  <c r="BX15" i="8" s="1"/>
  <c r="BY15" i="8" s="1"/>
  <c r="BZ15" i="8" s="1"/>
  <c r="CA15" i="8" s="1"/>
  <c r="CC15" i="8" s="1"/>
  <c r="U12" i="8"/>
  <c r="BD17" i="8"/>
  <c r="BE17" i="8" s="1"/>
  <c r="BF17" i="8" s="1"/>
  <c r="BG17" i="8" s="1"/>
  <c r="BH17" i="8" s="1"/>
  <c r="BI17" i="8" s="1"/>
  <c r="BJ17" i="8" s="1"/>
  <c r="BK17" i="8" s="1"/>
  <c r="BL17" i="8" s="1"/>
  <c r="BM17" i="8" s="1"/>
  <c r="BN17" i="8" s="1"/>
  <c r="BP17" i="8" s="1"/>
  <c r="D15" i="2"/>
  <c r="D8" i="6"/>
  <c r="D7" i="6"/>
  <c r="D9" i="6" s="1"/>
  <c r="D10" i="6" s="1"/>
  <c r="G6" i="6"/>
  <c r="C9" i="5"/>
  <c r="C10" i="5" s="1"/>
  <c r="G14" i="4"/>
  <c r="F14" i="4"/>
  <c r="F5" i="4" s="1"/>
  <c r="T28" i="8" l="1"/>
  <c r="U11" i="8"/>
  <c r="K12" i="3"/>
  <c r="L18" i="3"/>
  <c r="L12" i="3" s="1"/>
  <c r="BO16" i="8"/>
  <c r="DG16" i="8"/>
  <c r="N49" i="2" s="1"/>
  <c r="AR18" i="8"/>
  <c r="DG17" i="8"/>
  <c r="N50" i="2" s="1"/>
  <c r="BO17" i="8"/>
  <c r="BQ16" i="8"/>
  <c r="DH15" i="8"/>
  <c r="O48" i="2" s="1"/>
  <c r="CB15" i="8"/>
  <c r="U13" i="8"/>
  <c r="V14" i="8"/>
  <c r="BQ17" i="8"/>
  <c r="BR17" i="8" s="1"/>
  <c r="BS17" i="8" s="1"/>
  <c r="BT17" i="8" s="1"/>
  <c r="BU17" i="8" s="1"/>
  <c r="BV17" i="8" s="1"/>
  <c r="BW17" i="8" s="1"/>
  <c r="BX17" i="8" s="1"/>
  <c r="BY17" i="8" s="1"/>
  <c r="BZ17" i="8" s="1"/>
  <c r="CA17" i="8" s="1"/>
  <c r="CC17" i="8" s="1"/>
  <c r="CD15" i="8"/>
  <c r="CE15" i="8" s="1"/>
  <c r="CF15" i="8" s="1"/>
  <c r="CG15" i="8" s="1"/>
  <c r="CH15" i="8" s="1"/>
  <c r="CI15" i="8" s="1"/>
  <c r="CJ15" i="8" s="1"/>
  <c r="CK15" i="8" s="1"/>
  <c r="CL15" i="8" s="1"/>
  <c r="CM15" i="8" s="1"/>
  <c r="CN15" i="8" s="1"/>
  <c r="CP15" i="8" s="1"/>
  <c r="V12" i="8"/>
  <c r="F353" i="6"/>
  <c r="F348" i="6"/>
  <c r="F354" i="6"/>
  <c r="E354" i="6"/>
  <c r="G362" i="6"/>
  <c r="G353" i="6"/>
  <c r="E376" i="5"/>
  <c r="D376" i="5"/>
  <c r="F371" i="5"/>
  <c r="D367" i="5"/>
  <c r="E358" i="5"/>
  <c r="F349" i="5"/>
  <c r="D345" i="5"/>
  <c r="E374" i="5"/>
  <c r="E369" i="5"/>
  <c r="D360" i="5"/>
  <c r="F355" i="5"/>
  <c r="E346" i="5"/>
  <c r="D374" i="5"/>
  <c r="D369" i="5"/>
  <c r="F364" i="5"/>
  <c r="E355" i="5"/>
  <c r="D346" i="5"/>
  <c r="F341" i="5"/>
  <c r="E372" i="5"/>
  <c r="E367" i="5"/>
  <c r="F362" i="5"/>
  <c r="E353" i="5"/>
  <c r="D344" i="5"/>
  <c r="F360" i="5"/>
  <c r="E344" i="5"/>
  <c r="F365" i="5"/>
  <c r="E360" i="5"/>
  <c r="E349" i="5"/>
  <c r="E375" i="5"/>
  <c r="D364" i="5"/>
  <c r="F353" i="5"/>
  <c r="D348" i="5"/>
  <c r="D371" i="5"/>
  <c r="F358" i="5"/>
  <c r="E352" i="5"/>
  <c r="F346" i="5"/>
  <c r="F370" i="5"/>
  <c r="E364" i="5"/>
  <c r="D358" i="5"/>
  <c r="D352" i="5"/>
  <c r="E370" i="5"/>
  <c r="D368" i="5"/>
  <c r="D356" i="5"/>
  <c r="E343" i="5"/>
  <c r="D370" i="5"/>
  <c r="F369" i="5"/>
  <c r="F354" i="5"/>
  <c r="E362" i="5"/>
  <c r="D355" i="5"/>
  <c r="F347" i="5"/>
  <c r="D362" i="5"/>
  <c r="E347" i="5"/>
  <c r="F359" i="5"/>
  <c r="F344" i="5"/>
  <c r="F374" i="5"/>
  <c r="E359" i="5"/>
  <c r="F351" i="5"/>
  <c r="E357" i="5"/>
  <c r="E348" i="5"/>
  <c r="E366" i="5"/>
  <c r="F367" i="5"/>
  <c r="D357" i="5"/>
  <c r="F376" i="5"/>
  <c r="F366" i="5"/>
  <c r="D347" i="5"/>
  <c r="E373" i="5"/>
  <c r="E363" i="5"/>
  <c r="D353" i="5"/>
  <c r="D343" i="5"/>
  <c r="D373" i="5"/>
  <c r="D363" i="5"/>
  <c r="F342" i="5"/>
  <c r="F361" i="5"/>
  <c r="F352" i="5"/>
  <c r="E342" i="5"/>
  <c r="D342" i="5"/>
  <c r="F356" i="5"/>
  <c r="D372" i="5"/>
  <c r="D341" i="5"/>
  <c r="F373" i="5"/>
  <c r="F357" i="5"/>
  <c r="E341" i="5"/>
  <c r="E356" i="5"/>
  <c r="E354" i="5"/>
  <c r="F372" i="5"/>
  <c r="E371" i="5"/>
  <c r="D354" i="5"/>
  <c r="F368" i="5"/>
  <c r="D366" i="5"/>
  <c r="F350" i="5"/>
  <c r="E350" i="5"/>
  <c r="E365" i="5"/>
  <c r="D350" i="5"/>
  <c r="D365" i="5"/>
  <c r="F375" i="5"/>
  <c r="E368" i="5"/>
  <c r="F363" i="5"/>
  <c r="D375" i="5"/>
  <c r="F343" i="5"/>
  <c r="E361" i="5"/>
  <c r="D361" i="5"/>
  <c r="D359" i="5"/>
  <c r="E351" i="5"/>
  <c r="D351" i="5"/>
  <c r="D349" i="5"/>
  <c r="E345" i="5"/>
  <c r="F348" i="5"/>
  <c r="F345" i="5"/>
  <c r="G372" i="6"/>
  <c r="E368" i="6"/>
  <c r="F359" i="6"/>
  <c r="G350" i="6"/>
  <c r="E346" i="6"/>
  <c r="F372" i="6"/>
  <c r="G363" i="6"/>
  <c r="E359" i="6"/>
  <c r="F350" i="6"/>
  <c r="G341" i="6"/>
  <c r="G370" i="6"/>
  <c r="E366" i="6"/>
  <c r="F357" i="6"/>
  <c r="G348" i="6"/>
  <c r="E344" i="6"/>
  <c r="G374" i="6"/>
  <c r="E370" i="6"/>
  <c r="F361" i="6"/>
  <c r="G352" i="6"/>
  <c r="E348" i="6"/>
  <c r="G376" i="6"/>
  <c r="F371" i="6"/>
  <c r="G360" i="6"/>
  <c r="F355" i="6"/>
  <c r="G344" i="6"/>
  <c r="F376" i="6"/>
  <c r="E371" i="6"/>
  <c r="G365" i="6"/>
  <c r="F360" i="6"/>
  <c r="E355" i="6"/>
  <c r="G349" i="6"/>
  <c r="F344" i="6"/>
  <c r="E376" i="6"/>
  <c r="F370" i="6"/>
  <c r="G364" i="6"/>
  <c r="G358" i="6"/>
  <c r="E341" i="6"/>
  <c r="F364" i="6"/>
  <c r="F358" i="6"/>
  <c r="F352" i="6"/>
  <c r="E364" i="6"/>
  <c r="E358" i="6"/>
  <c r="E352" i="6"/>
  <c r="G346" i="6"/>
  <c r="G375" i="6"/>
  <c r="G369" i="6"/>
  <c r="F346" i="6"/>
  <c r="E375" i="6"/>
  <c r="E369" i="6"/>
  <c r="E363" i="6"/>
  <c r="G357" i="6"/>
  <c r="G351" i="6"/>
  <c r="G345" i="6"/>
  <c r="E362" i="6"/>
  <c r="E356" i="6"/>
  <c r="E350" i="6"/>
  <c r="F375" i="6"/>
  <c r="F367" i="6"/>
  <c r="E351" i="6"/>
  <c r="E343" i="6"/>
  <c r="E367" i="6"/>
  <c r="G359" i="6"/>
  <c r="F373" i="6"/>
  <c r="F365" i="6"/>
  <c r="F368" i="6"/>
  <c r="F374" i="6"/>
  <c r="E365" i="6"/>
  <c r="E347" i="6"/>
  <c r="G354" i="6"/>
  <c r="E374" i="6"/>
  <c r="G355" i="6"/>
  <c r="F345" i="6"/>
  <c r="G371" i="6"/>
  <c r="E361" i="6"/>
  <c r="G342" i="6"/>
  <c r="G373" i="6"/>
  <c r="F362" i="6"/>
  <c r="E373" i="6"/>
  <c r="G361" i="6"/>
  <c r="F349" i="6"/>
  <c r="E357" i="6"/>
  <c r="E345" i="6"/>
  <c r="G356" i="6"/>
  <c r="F343" i="6"/>
  <c r="F356" i="6"/>
  <c r="E342" i="6"/>
  <c r="E372" i="6"/>
  <c r="F342" i="6"/>
  <c r="E353" i="6"/>
  <c r="G366" i="6"/>
  <c r="F351" i="6"/>
  <c r="F363" i="6"/>
  <c r="F366" i="6"/>
  <c r="E349" i="6"/>
  <c r="E360" i="6"/>
  <c r="F341" i="6"/>
  <c r="G367" i="6"/>
  <c r="F347" i="6"/>
  <c r="F369" i="6"/>
  <c r="G368" i="6"/>
  <c r="G347" i="6"/>
  <c r="G343" i="6"/>
  <c r="U28" i="8" l="1"/>
  <c r="V11" i="8"/>
  <c r="AS18" i="8"/>
  <c r="DI17" i="8"/>
  <c r="P50" i="2" s="1"/>
  <c r="BR16" i="8"/>
  <c r="BS16" i="8" s="1"/>
  <c r="BT16" i="8" s="1"/>
  <c r="BU16" i="8" s="1"/>
  <c r="BV16" i="8" s="1"/>
  <c r="BW16" i="8" s="1"/>
  <c r="BX16" i="8" s="1"/>
  <c r="BY16" i="8" s="1"/>
  <c r="BZ16" i="8" s="1"/>
  <c r="CA16" i="8" s="1"/>
  <c r="CC16" i="8" s="1"/>
  <c r="DH17" i="8"/>
  <c r="O50" i="2" s="1"/>
  <c r="CB17" i="8"/>
  <c r="DI15" i="8"/>
  <c r="P48" i="2" s="1"/>
  <c r="CO15" i="8"/>
  <c r="W14" i="8"/>
  <c r="V13" i="8"/>
  <c r="CQ15" i="8"/>
  <c r="CR15" i="8" s="1"/>
  <c r="CS15" i="8" s="1"/>
  <c r="CT15" i="8" s="1"/>
  <c r="CU15" i="8" s="1"/>
  <c r="CV15" i="8" s="1"/>
  <c r="CW15" i="8" s="1"/>
  <c r="CX15" i="8" s="1"/>
  <c r="CY15" i="8" s="1"/>
  <c r="CZ15" i="8" s="1"/>
  <c r="DA15" i="8" s="1"/>
  <c r="W12" i="8"/>
  <c r="CD17" i="8"/>
  <c r="CE17" i="8" s="1"/>
  <c r="CF17" i="8" s="1"/>
  <c r="CG17" i="8" s="1"/>
  <c r="CH17" i="8" s="1"/>
  <c r="CI17" i="8" s="1"/>
  <c r="CJ17" i="8" s="1"/>
  <c r="CK17" i="8" s="1"/>
  <c r="CL17" i="8" s="1"/>
  <c r="CM17" i="8" s="1"/>
  <c r="CN17" i="8" s="1"/>
  <c r="CP17" i="8" s="1"/>
  <c r="G341" i="5"/>
  <c r="G368" i="5"/>
  <c r="H368" i="5" s="1"/>
  <c r="H348" i="6"/>
  <c r="I348" i="6" s="1"/>
  <c r="H375" i="6"/>
  <c r="I375" i="6" s="1"/>
  <c r="H345" i="6"/>
  <c r="I345" i="6" s="1"/>
  <c r="H350" i="6"/>
  <c r="I350" i="6" s="1"/>
  <c r="H365" i="6"/>
  <c r="I365" i="6" s="1"/>
  <c r="G365" i="5"/>
  <c r="H373" i="6"/>
  <c r="I373" i="6" s="1"/>
  <c r="H353" i="6"/>
  <c r="I353" i="6" s="1"/>
  <c r="H341" i="6"/>
  <c r="I341" i="6" s="1"/>
  <c r="H354" i="6"/>
  <c r="I354" i="6" s="1"/>
  <c r="H362" i="6"/>
  <c r="I362" i="6" s="1"/>
  <c r="H359" i="6"/>
  <c r="I359" i="6" s="1"/>
  <c r="G351" i="5"/>
  <c r="H351" i="5" s="1"/>
  <c r="H374" i="6"/>
  <c r="I374" i="6" s="1"/>
  <c r="G356" i="5"/>
  <c r="H356" i="5" s="1"/>
  <c r="G352" i="5"/>
  <c r="H352" i="5" s="1"/>
  <c r="G360" i="5"/>
  <c r="H360" i="5" s="1"/>
  <c r="G345" i="5"/>
  <c r="H345" i="5" s="1"/>
  <c r="H367" i="6"/>
  <c r="I367" i="6" s="1"/>
  <c r="H370" i="6"/>
  <c r="I370" i="6" s="1"/>
  <c r="H361" i="6"/>
  <c r="I361" i="6" s="1"/>
  <c r="G371" i="5"/>
  <c r="H371" i="5" s="1"/>
  <c r="G353" i="5"/>
  <c r="H352" i="6"/>
  <c r="I352" i="6" s="1"/>
  <c r="G347" i="5"/>
  <c r="H347" i="5" s="1"/>
  <c r="G367" i="5"/>
  <c r="H367" i="5" s="1"/>
  <c r="H372" i="6"/>
  <c r="I372" i="6" s="1"/>
  <c r="H366" i="6"/>
  <c r="I366" i="6" s="1"/>
  <c r="H360" i="6"/>
  <c r="I360" i="6" s="1"/>
  <c r="H363" i="6"/>
  <c r="I363" i="6" s="1"/>
  <c r="G359" i="5"/>
  <c r="H359" i="5" s="1"/>
  <c r="G362" i="5"/>
  <c r="H362" i="5" s="1"/>
  <c r="H376" i="6"/>
  <c r="I376" i="6" s="1"/>
  <c r="H347" i="6"/>
  <c r="I347" i="6" s="1"/>
  <c r="H356" i="6"/>
  <c r="I356" i="6" s="1"/>
  <c r="G372" i="5"/>
  <c r="H372" i="5" s="1"/>
  <c r="G346" i="5"/>
  <c r="H346" i="5" s="1"/>
  <c r="H346" i="6"/>
  <c r="I346" i="6" s="1"/>
  <c r="G348" i="5"/>
  <c r="H348" i="5" s="1"/>
  <c r="G342" i="5"/>
  <c r="H342" i="5" s="1"/>
  <c r="G364" i="5"/>
  <c r="H364" i="5" s="1"/>
  <c r="H349" i="6"/>
  <c r="I349" i="6" s="1"/>
  <c r="G357" i="5"/>
  <c r="H357" i="5" s="1"/>
  <c r="H358" i="6"/>
  <c r="I358" i="6" s="1"/>
  <c r="H343" i="6"/>
  <c r="I343" i="6" s="1"/>
  <c r="G375" i="5"/>
  <c r="H375" i="5" s="1"/>
  <c r="G355" i="5"/>
  <c r="H355" i="5" s="1"/>
  <c r="H357" i="6"/>
  <c r="I357" i="6" s="1"/>
  <c r="G369" i="5"/>
  <c r="H369" i="5" s="1"/>
  <c r="G366" i="5"/>
  <c r="H366" i="5" s="1"/>
  <c r="G343" i="5"/>
  <c r="H343" i="5" s="1"/>
  <c r="G374" i="5"/>
  <c r="H374" i="5" s="1"/>
  <c r="G344" i="5"/>
  <c r="H344" i="5" s="1"/>
  <c r="H342" i="6"/>
  <c r="I342" i="6" s="1"/>
  <c r="H368" i="6"/>
  <c r="I368" i="6" s="1"/>
  <c r="H364" i="6"/>
  <c r="I364" i="6" s="1"/>
  <c r="G361" i="5"/>
  <c r="H361" i="5" s="1"/>
  <c r="G358" i="5"/>
  <c r="H358" i="5" s="1"/>
  <c r="H351" i="6"/>
  <c r="I351" i="6" s="1"/>
  <c r="G350" i="5"/>
  <c r="H350" i="5" s="1"/>
  <c r="G363" i="5"/>
  <c r="H363" i="5" s="1"/>
  <c r="H344" i="6"/>
  <c r="I344" i="6" s="1"/>
  <c r="G354" i="5"/>
  <c r="H354" i="5" s="1"/>
  <c r="G373" i="5"/>
  <c r="H373" i="5" s="1"/>
  <c r="G370" i="5"/>
  <c r="H370" i="5" s="1"/>
  <c r="G349" i="5"/>
  <c r="H349" i="5" s="1"/>
  <c r="H355" i="6"/>
  <c r="I355" i="6" s="1"/>
  <c r="G376" i="5"/>
  <c r="H376" i="5" s="1"/>
  <c r="H369" i="6"/>
  <c r="I369" i="6" s="1"/>
  <c r="H371" i="6"/>
  <c r="I371" i="6" s="1"/>
  <c r="V28" i="8" l="1"/>
  <c r="W11" i="8"/>
  <c r="CB16" i="8"/>
  <c r="DH16" i="8"/>
  <c r="O49" i="2" s="1"/>
  <c r="AT18" i="8"/>
  <c r="AU18" i="8" s="1"/>
  <c r="AV18" i="8" s="1"/>
  <c r="AW18" i="8" s="1"/>
  <c r="AX18" i="8" s="1"/>
  <c r="AY18" i="8" s="1"/>
  <c r="AZ18" i="8" s="1"/>
  <c r="BA18" i="8" s="1"/>
  <c r="BC18" i="8" s="1"/>
  <c r="CD16" i="8"/>
  <c r="CE16" i="8" s="1"/>
  <c r="CF16" i="8" s="1"/>
  <c r="CG16" i="8" s="1"/>
  <c r="CH16" i="8" s="1"/>
  <c r="CI16" i="8" s="1"/>
  <c r="CJ16" i="8" s="1"/>
  <c r="CK16" i="8" s="1"/>
  <c r="CL16" i="8" s="1"/>
  <c r="CM16" i="8" s="1"/>
  <c r="CN16" i="8" s="1"/>
  <c r="CP16" i="8" s="1"/>
  <c r="DJ17" i="8"/>
  <c r="Q50" i="2" s="1"/>
  <c r="CO17" i="8"/>
  <c r="DJ15" i="8"/>
  <c r="Q48" i="2" s="1"/>
  <c r="DB15" i="8"/>
  <c r="W13" i="8"/>
  <c r="X12" i="8"/>
  <c r="X14" i="8"/>
  <c r="CQ17" i="8"/>
  <c r="CR17" i="8" s="1"/>
  <c r="CS17" i="8" s="1"/>
  <c r="CT17" i="8" s="1"/>
  <c r="CU17" i="8" s="1"/>
  <c r="CV17" i="8" s="1"/>
  <c r="CW17" i="8" s="1"/>
  <c r="CX17" i="8" s="1"/>
  <c r="CY17" i="8" s="1"/>
  <c r="CZ17" i="8" s="1"/>
  <c r="DA17" i="8" s="1"/>
  <c r="H365" i="5"/>
  <c r="I376" i="5"/>
  <c r="H353" i="5"/>
  <c r="I364" i="5"/>
  <c r="H341" i="5"/>
  <c r="I352" i="5"/>
  <c r="W28" i="8" l="1"/>
  <c r="X11" i="8"/>
  <c r="CO16" i="8"/>
  <c r="BB18" i="8"/>
  <c r="BD18" i="8"/>
  <c r="BE18" i="8" s="1"/>
  <c r="BF18" i="8" s="1"/>
  <c r="BG18" i="8" s="1"/>
  <c r="BH18" i="8" s="1"/>
  <c r="BI18" i="8" s="1"/>
  <c r="BJ18" i="8" s="1"/>
  <c r="BK18" i="8" s="1"/>
  <c r="BL18" i="8" s="1"/>
  <c r="BM18" i="8" s="1"/>
  <c r="BN18" i="8" s="1"/>
  <c r="BP18" i="8" s="1"/>
  <c r="DF18" i="8"/>
  <c r="DI16" i="8"/>
  <c r="P49" i="2" s="1"/>
  <c r="CQ16" i="8"/>
  <c r="CR16" i="8" s="1"/>
  <c r="CS16" i="8" s="1"/>
  <c r="CT16" i="8" s="1"/>
  <c r="CU16" i="8" s="1"/>
  <c r="CV16" i="8" s="1"/>
  <c r="CW16" i="8" s="1"/>
  <c r="CX16" i="8" s="1"/>
  <c r="CY16" i="8" s="1"/>
  <c r="CZ16" i="8" s="1"/>
  <c r="DA16" i="8" s="1"/>
  <c r="Y12" i="8"/>
  <c r="X13" i="8"/>
  <c r="Y14" i="8"/>
  <c r="DB17" i="8"/>
  <c r="X28" i="8" l="1"/>
  <c r="Y11" i="8"/>
  <c r="BO18" i="8"/>
  <c r="M51" i="2"/>
  <c r="BQ18" i="8"/>
  <c r="BR18" i="8" s="1"/>
  <c r="BS18" i="8" s="1"/>
  <c r="BT18" i="8" s="1"/>
  <c r="BU18" i="8" s="1"/>
  <c r="BV18" i="8" s="1"/>
  <c r="BW18" i="8" s="1"/>
  <c r="BX18" i="8" s="1"/>
  <c r="BY18" i="8" s="1"/>
  <c r="BZ18" i="8" s="1"/>
  <c r="CA18" i="8" s="1"/>
  <c r="CC18" i="8" s="1"/>
  <c r="DG18" i="8"/>
  <c r="DJ16" i="8"/>
  <c r="Q49" i="2" s="1"/>
  <c r="DB16" i="8"/>
  <c r="Z14" i="8"/>
  <c r="Z12" i="8"/>
  <c r="Y13" i="8"/>
  <c r="Y28" i="8" l="1"/>
  <c r="Z11" i="8"/>
  <c r="CB18" i="8"/>
  <c r="N51" i="2"/>
  <c r="CD18" i="8"/>
  <c r="CE18" i="8" s="1"/>
  <c r="CF18" i="8" s="1"/>
  <c r="CG18" i="8" s="1"/>
  <c r="CH18" i="8" s="1"/>
  <c r="CI18" i="8" s="1"/>
  <c r="CJ18" i="8" s="1"/>
  <c r="CK18" i="8" s="1"/>
  <c r="CL18" i="8" s="1"/>
  <c r="CM18" i="8" s="1"/>
  <c r="CN18" i="8" s="1"/>
  <c r="CP18" i="8" s="1"/>
  <c r="DI18" i="8"/>
  <c r="DH18" i="8"/>
  <c r="Z13" i="8"/>
  <c r="AA12" i="8"/>
  <c r="AC12" i="8" s="1"/>
  <c r="AA14" i="8"/>
  <c r="AC14" i="8" s="1"/>
  <c r="Z28" i="8" l="1"/>
  <c r="AA11" i="8"/>
  <c r="CO18" i="8"/>
  <c r="O51" i="2"/>
  <c r="P51" i="2"/>
  <c r="CQ18" i="8"/>
  <c r="CR18" i="8" s="1"/>
  <c r="CS18" i="8" s="1"/>
  <c r="CT18" i="8" s="1"/>
  <c r="CU18" i="8" s="1"/>
  <c r="CV18" i="8" s="1"/>
  <c r="CW18" i="8" s="1"/>
  <c r="CX18" i="8" s="1"/>
  <c r="CY18" i="8" s="1"/>
  <c r="CZ18" i="8" s="1"/>
  <c r="DA18" i="8" s="1"/>
  <c r="DJ18" i="8"/>
  <c r="DD14" i="8"/>
  <c r="K47" i="2" s="1"/>
  <c r="AB12" i="8"/>
  <c r="DD12" i="8"/>
  <c r="K45" i="2" s="1"/>
  <c r="AB14" i="8"/>
  <c r="AA13" i="8"/>
  <c r="AC13" i="8" s="1"/>
  <c r="AC11" i="8" l="1"/>
  <c r="AD11" i="8" s="1"/>
  <c r="AE11" i="8" s="1"/>
  <c r="AA28" i="8"/>
  <c r="AB11" i="8"/>
  <c r="DD11" i="8"/>
  <c r="K44" i="2" s="1"/>
  <c r="Q51" i="2"/>
  <c r="DB18" i="8"/>
  <c r="AD12" i="8"/>
  <c r="AB13" i="8"/>
  <c r="DD13" i="8"/>
  <c r="AD14" i="8"/>
  <c r="AB28" i="8" l="1"/>
  <c r="DD28" i="8"/>
  <c r="F9" i="3" s="1"/>
  <c r="G15" i="2" s="1"/>
  <c r="K46" i="2"/>
  <c r="K56" i="2" s="1"/>
  <c r="K37" i="2" s="1"/>
  <c r="AD13" i="8"/>
  <c r="AC28" i="8"/>
  <c r="AE14" i="8"/>
  <c r="AF11" i="8"/>
  <c r="AE12" i="8"/>
  <c r="F10" i="3" l="1"/>
  <c r="AF12" i="8"/>
  <c r="AE13" i="8"/>
  <c r="AD28" i="8"/>
  <c r="AF14" i="8"/>
  <c r="AG11" i="8"/>
  <c r="F11" i="3" l="1"/>
  <c r="F21" i="3" s="1"/>
  <c r="G19" i="2" s="1"/>
  <c r="G16" i="2"/>
  <c r="G18" i="2" s="1"/>
  <c r="AH11" i="8"/>
  <c r="AF13" i="8"/>
  <c r="AE28" i="8"/>
  <c r="AG14" i="8"/>
  <c r="AG12" i="8"/>
  <c r="F14" i="3" l="1"/>
  <c r="F22" i="3" s="1"/>
  <c r="F45" i="3" s="1"/>
  <c r="F46" i="3" s="1"/>
  <c r="G20" i="2"/>
  <c r="AH14" i="8"/>
  <c r="AH12" i="8"/>
  <c r="AI11" i="8"/>
  <c r="AG13" i="8"/>
  <c r="AG28" i="8" s="1"/>
  <c r="AF28" i="8"/>
  <c r="AI14" i="8" l="1"/>
  <c r="AJ11" i="8"/>
  <c r="AH13" i="8"/>
  <c r="AH28" i="8" s="1"/>
  <c r="AI12" i="8"/>
  <c r="AK11" i="8" l="1"/>
  <c r="AJ12" i="8"/>
  <c r="AI13" i="8"/>
  <c r="AJ14" i="8"/>
  <c r="AL11" i="8" l="1"/>
  <c r="AK14" i="8"/>
  <c r="AJ13" i="8"/>
  <c r="AK12" i="8"/>
  <c r="AI28" i="8"/>
  <c r="AM11" i="8" l="1"/>
  <c r="AK13" i="8"/>
  <c r="AK28" i="8" s="1"/>
  <c r="AJ28" i="8"/>
  <c r="AL12" i="8"/>
  <c r="AL14" i="8"/>
  <c r="AL13" i="8" l="1"/>
  <c r="AN11" i="8"/>
  <c r="AP11" i="8" s="1"/>
  <c r="AM14" i="8"/>
  <c r="AM12" i="8"/>
  <c r="AN12" i="8" l="1"/>
  <c r="AM13" i="8"/>
  <c r="AM28" i="8" s="1"/>
  <c r="AN14" i="8"/>
  <c r="AP14" i="8" s="1"/>
  <c r="AL28" i="8"/>
  <c r="AO11" i="8"/>
  <c r="DE11" i="8"/>
  <c r="L44" i="2" l="1"/>
  <c r="DE12" i="8"/>
  <c r="L45" i="2" s="1"/>
  <c r="AP12" i="8"/>
  <c r="AO14" i="8"/>
  <c r="DE14" i="8"/>
  <c r="L47" i="2" s="1"/>
  <c r="AQ11" i="8"/>
  <c r="AN13" i="8"/>
  <c r="AO12" i="8"/>
  <c r="DE13" i="8" l="1"/>
  <c r="L46" i="2" s="1"/>
  <c r="AP13" i="8"/>
  <c r="AO13" i="8"/>
  <c r="AO28" i="8" s="1"/>
  <c r="AN28" i="8"/>
  <c r="AQ14" i="8"/>
  <c r="AQ12" i="8"/>
  <c r="AR11" i="8"/>
  <c r="DE28" i="8" l="1"/>
  <c r="G9" i="3" s="1"/>
  <c r="AS11" i="8"/>
  <c r="AQ13" i="8"/>
  <c r="AP28" i="8"/>
  <c r="AR14" i="8"/>
  <c r="AR12" i="8"/>
  <c r="G10" i="3" l="1"/>
  <c r="G11" i="3" s="1"/>
  <c r="AR13" i="8"/>
  <c r="AR28" i="8" s="1"/>
  <c r="AQ28" i="8"/>
  <c r="AS12" i="8"/>
  <c r="AT11" i="8"/>
  <c r="AS14" i="8"/>
  <c r="G21" i="3" l="1"/>
  <c r="G14" i="3"/>
  <c r="AU11" i="8"/>
  <c r="AT12" i="8"/>
  <c r="AS13" i="8"/>
  <c r="AS28" i="8" s="1"/>
  <c r="AT14" i="8"/>
  <c r="G22" i="3" l="1"/>
  <c r="G45" i="3" s="1"/>
  <c r="G46" i="3" s="1"/>
  <c r="AT13" i="8"/>
  <c r="AV11" i="8"/>
  <c r="AU14" i="8"/>
  <c r="AU12" i="8"/>
  <c r="AW11" i="8" l="1"/>
  <c r="AV12" i="8"/>
  <c r="AV14" i="8"/>
  <c r="AU13" i="8"/>
  <c r="AT28" i="8"/>
  <c r="AV13" i="8" l="1"/>
  <c r="AU28" i="8"/>
  <c r="AX11" i="8"/>
  <c r="AW14" i="8"/>
  <c r="AW12" i="8"/>
  <c r="AY11" i="8" l="1"/>
  <c r="AX14" i="8"/>
  <c r="AW13" i="8"/>
  <c r="AW28" i="8" s="1"/>
  <c r="AV28" i="8"/>
  <c r="AX12" i="8"/>
  <c r="AZ11" i="8" l="1"/>
  <c r="AX13" i="8"/>
  <c r="AY14" i="8"/>
  <c r="AY12" i="8"/>
  <c r="L56" i="2"/>
  <c r="L57" i="2" l="1"/>
  <c r="L38" i="2" s="1"/>
  <c r="L37" i="2"/>
  <c r="AZ12" i="8"/>
  <c r="BA11" i="8"/>
  <c r="BC11" i="8" s="1"/>
  <c r="AZ14" i="8"/>
  <c r="AY13" i="8"/>
  <c r="AY28" i="8" s="1"/>
  <c r="AX28" i="8"/>
  <c r="BB11" i="8" l="1"/>
  <c r="DF11" i="8"/>
  <c r="AZ13" i="8"/>
  <c r="BA12" i="8"/>
  <c r="BC12" i="8" s="1"/>
  <c r="BA14" i="8"/>
  <c r="BC14" i="8" s="1"/>
  <c r="M44" i="2" l="1"/>
  <c r="DF14" i="8"/>
  <c r="M47" i="2" s="1"/>
  <c r="BD11" i="8"/>
  <c r="BB14" i="8"/>
  <c r="BB12" i="8"/>
  <c r="DF12" i="8"/>
  <c r="M45" i="2" s="1"/>
  <c r="BA13" i="8"/>
  <c r="BC13" i="8" s="1"/>
  <c r="AZ28" i="8"/>
  <c r="BD14" i="8" l="1"/>
  <c r="BD12" i="8"/>
  <c r="BE11" i="8"/>
  <c r="BB13" i="8"/>
  <c r="BB28" i="8" s="1"/>
  <c r="BA28" i="8"/>
  <c r="DF13" i="8"/>
  <c r="M46" i="2" s="1"/>
  <c r="DF28" i="8" l="1"/>
  <c r="H9" i="3" s="1"/>
  <c r="H10" i="3" s="1"/>
  <c r="H11" i="3" s="1"/>
  <c r="M56" i="2"/>
  <c r="BF11" i="8"/>
  <c r="BD13" i="8"/>
  <c r="BC28" i="8"/>
  <c r="BE14" i="8"/>
  <c r="BE12" i="8"/>
  <c r="P34" i="2"/>
  <c r="D27" i="2" s="1"/>
  <c r="Q34" i="2"/>
  <c r="O34" i="2"/>
  <c r="D12" i="2" s="1"/>
  <c r="K34" i="2"/>
  <c r="G28" i="2" s="1"/>
  <c r="M57" i="2" l="1"/>
  <c r="M38" i="2" s="1"/>
  <c r="M37" i="2"/>
  <c r="H21" i="3"/>
  <c r="H14" i="3"/>
  <c r="BG11" i="8"/>
  <c r="BF12" i="8"/>
  <c r="BF14" i="8"/>
  <c r="BE13" i="8"/>
  <c r="BE28" i="8" s="1"/>
  <c r="BD28" i="8"/>
  <c r="G10" i="2"/>
  <c r="O10" i="7"/>
  <c r="O9" i="7"/>
  <c r="O16" i="7"/>
  <c r="O8" i="7"/>
  <c r="O15" i="7"/>
  <c r="O7" i="7"/>
  <c r="O14" i="7"/>
  <c r="O6" i="7"/>
  <c r="O13" i="7"/>
  <c r="O5" i="7"/>
  <c r="O12" i="7"/>
  <c r="O11" i="7"/>
  <c r="O17" i="7"/>
  <c r="G26" i="7"/>
  <c r="G27" i="7"/>
  <c r="G17" i="7"/>
  <c r="G28" i="7"/>
  <c r="G21" i="7"/>
  <c r="G22" i="7"/>
  <c r="G30" i="7"/>
  <c r="G24" i="7"/>
  <c r="G25" i="7"/>
  <c r="G29" i="7"/>
  <c r="G23" i="7"/>
  <c r="G35" i="7"/>
  <c r="G20" i="7"/>
  <c r="G29" i="2"/>
  <c r="H22" i="3" l="1"/>
  <c r="H45" i="3" s="1"/>
  <c r="BG14" i="8"/>
  <c r="BH11" i="8"/>
  <c r="BF13" i="8"/>
  <c r="BG12" i="8"/>
  <c r="H46" i="3" l="1"/>
  <c r="BG13" i="8"/>
  <c r="BF28" i="8"/>
  <c r="BH12" i="8"/>
  <c r="BH14" i="8"/>
  <c r="BI11" i="8"/>
  <c r="BG28" i="8"/>
  <c r="BI14" i="8" l="1"/>
  <c r="BH13" i="8"/>
  <c r="BH28" i="8" s="1"/>
  <c r="BJ11" i="8"/>
  <c r="BI12" i="8"/>
  <c r="BK11" i="8" l="1"/>
  <c r="BJ14" i="8"/>
  <c r="BJ12" i="8"/>
  <c r="BI13" i="8"/>
  <c r="BK14" i="8" l="1"/>
  <c r="BL11" i="8"/>
  <c r="BK12" i="8"/>
  <c r="BJ13" i="8"/>
  <c r="BI28" i="8"/>
  <c r="BK13" i="8" l="1"/>
  <c r="BJ28" i="8"/>
  <c r="BL14" i="8"/>
  <c r="BL12" i="8"/>
  <c r="BM11" i="8"/>
  <c r="BN11" i="8" l="1"/>
  <c r="BP11" i="8" s="1"/>
  <c r="BM14" i="8"/>
  <c r="BL13" i="8"/>
  <c r="BK28" i="8"/>
  <c r="BM12" i="8"/>
  <c r="DG11" i="8" l="1"/>
  <c r="N44" i="2" s="1"/>
  <c r="BN12" i="8"/>
  <c r="BP12" i="8" s="1"/>
  <c r="BN14" i="8"/>
  <c r="BP14" i="8" s="1"/>
  <c r="BO11" i="8"/>
  <c r="BM13" i="8"/>
  <c r="BM28" i="8" s="1"/>
  <c r="BL28" i="8"/>
  <c r="BN13" i="8" l="1"/>
  <c r="BP13" i="8" s="1"/>
  <c r="BO12" i="8"/>
  <c r="BQ11" i="8"/>
  <c r="BO14" i="8"/>
  <c r="DG12" i="8"/>
  <c r="DG14" i="8"/>
  <c r="N47" i="2" s="1"/>
  <c r="DG13" i="8" l="1"/>
  <c r="N46" i="2" s="1"/>
  <c r="N45" i="2"/>
  <c r="BR11" i="8"/>
  <c r="BQ14" i="8"/>
  <c r="BQ12" i="8"/>
  <c r="BO13" i="8"/>
  <c r="BO28" i="8" s="1"/>
  <c r="BN28" i="8"/>
  <c r="DG28" i="8" l="1"/>
  <c r="I9" i="3" s="1"/>
  <c r="N56" i="2"/>
  <c r="BR12" i="8"/>
  <c r="BS11" i="8"/>
  <c r="BQ13" i="8"/>
  <c r="BR14" i="8"/>
  <c r="BP28" i="8"/>
  <c r="N57" i="2" l="1"/>
  <c r="N38" i="2" s="1"/>
  <c r="N37" i="2"/>
  <c r="I10" i="3"/>
  <c r="I11" i="3" s="1"/>
  <c r="BS14" i="8"/>
  <c r="BR13" i="8"/>
  <c r="BT11" i="8"/>
  <c r="BS12" i="8"/>
  <c r="BQ28" i="8"/>
  <c r="I21" i="3" l="1"/>
  <c r="I14" i="3"/>
  <c r="BS13" i="8"/>
  <c r="BR28" i="8"/>
  <c r="BU11" i="8"/>
  <c r="BT12" i="8"/>
  <c r="BT14" i="8"/>
  <c r="I22" i="3" l="1"/>
  <c r="BU14" i="8"/>
  <c r="BV11" i="8"/>
  <c r="BT13" i="8"/>
  <c r="BS28" i="8"/>
  <c r="BU12" i="8"/>
  <c r="I45" i="3" l="1"/>
  <c r="I46" i="3" s="1"/>
  <c r="M11" i="2"/>
  <c r="M12" i="2" s="1"/>
  <c r="L11" i="2"/>
  <c r="L12" i="2" s="1"/>
  <c r="Q11" i="2"/>
  <c r="Q12" i="2" s="1"/>
  <c r="K11" i="2"/>
  <c r="K12" i="2" s="1"/>
  <c r="P11" i="2"/>
  <c r="P12" i="2" s="1"/>
  <c r="O11" i="2"/>
  <c r="O12" i="2" s="1"/>
  <c r="N11" i="2"/>
  <c r="N12" i="2" s="1"/>
  <c r="BW11" i="8"/>
  <c r="BV12" i="8"/>
  <c r="BV14" i="8"/>
  <c r="BU13" i="8"/>
  <c r="BT28" i="8"/>
  <c r="BW12" i="8" l="1"/>
  <c r="BX11" i="8"/>
  <c r="BV13" i="8"/>
  <c r="BV28" i="8" s="1"/>
  <c r="BU28" i="8"/>
  <c r="BW14" i="8"/>
  <c r="BX12" i="8" l="1"/>
  <c r="BW13" i="8"/>
  <c r="BX14" i="8"/>
  <c r="BY11" i="8"/>
  <c r="BX13" i="8" l="1"/>
  <c r="BW28" i="8"/>
  <c r="BZ11" i="8"/>
  <c r="BY12" i="8"/>
  <c r="BY14" i="8"/>
  <c r="CA11" i="8" l="1"/>
  <c r="CC11" i="8" s="1"/>
  <c r="BZ12" i="8"/>
  <c r="BY13" i="8"/>
  <c r="BX28" i="8"/>
  <c r="BZ14" i="8"/>
  <c r="CA12" i="8" l="1"/>
  <c r="CC12" i="8" s="1"/>
  <c r="CA14" i="8"/>
  <c r="CC14" i="8" s="1"/>
  <c r="CB11" i="8"/>
  <c r="DH11" i="8"/>
  <c r="BZ13" i="8"/>
  <c r="BZ28" i="8" s="1"/>
  <c r="BY28" i="8"/>
  <c r="O44" i="2" l="1"/>
  <c r="DH12" i="8"/>
  <c r="O45" i="2" s="1"/>
  <c r="CA13" i="8"/>
  <c r="CD11" i="8"/>
  <c r="CB14" i="8"/>
  <c r="CB12" i="8"/>
  <c r="DH14" i="8"/>
  <c r="O47" i="2" s="1"/>
  <c r="DH13" i="8" l="1"/>
  <c r="DH28" i="8" s="1"/>
  <c r="J9" i="3" s="1"/>
  <c r="CC13" i="8"/>
  <c r="CB13" i="8"/>
  <c r="CB28" i="8" s="1"/>
  <c r="CA28" i="8"/>
  <c r="CE11" i="8"/>
  <c r="CD12" i="8"/>
  <c r="CD14" i="8"/>
  <c r="O46" i="2" l="1"/>
  <c r="O56" i="2" s="1"/>
  <c r="CD13" i="8"/>
  <c r="CC28" i="8"/>
  <c r="CF11" i="8"/>
  <c r="CE14" i="8"/>
  <c r="CE12" i="8"/>
  <c r="O57" i="2" l="1"/>
  <c r="O38" i="2" s="1"/>
  <c r="O37" i="2"/>
  <c r="J10" i="3"/>
  <c r="J11" i="3" s="1"/>
  <c r="CE13" i="8"/>
  <c r="CD28" i="8"/>
  <c r="CF14" i="8"/>
  <c r="CF12" i="8"/>
  <c r="CG11" i="8"/>
  <c r="J21" i="3" l="1"/>
  <c r="J14" i="3"/>
  <c r="CH11" i="8"/>
  <c r="CG14" i="8"/>
  <c r="CF13" i="8"/>
  <c r="CE28" i="8"/>
  <c r="CG12" i="8"/>
  <c r="J22" i="3" l="1"/>
  <c r="J45" i="3" s="1"/>
  <c r="J46" i="3" s="1"/>
  <c r="CH14" i="8"/>
  <c r="CI11" i="8"/>
  <c r="CH12" i="8"/>
  <c r="CG13" i="8"/>
  <c r="CF28" i="8"/>
  <c r="CH13" i="8" l="1"/>
  <c r="CJ11" i="8"/>
  <c r="CG28" i="8"/>
  <c r="CI12" i="8"/>
  <c r="CI14" i="8"/>
  <c r="CJ12" i="8" l="1"/>
  <c r="CJ14" i="8"/>
  <c r="CK11" i="8"/>
  <c r="CI13" i="8"/>
  <c r="CH28" i="8"/>
  <c r="CL11" i="8" l="1"/>
  <c r="CJ13" i="8"/>
  <c r="CK14" i="8"/>
  <c r="CK12" i="8"/>
  <c r="CI28" i="8"/>
  <c r="CK13" i="8" l="1"/>
  <c r="CJ28" i="8"/>
  <c r="CL12" i="8"/>
  <c r="CM11" i="8"/>
  <c r="CL14" i="8"/>
  <c r="CM14" i="8" l="1"/>
  <c r="CN11" i="8"/>
  <c r="CP11" i="8" s="1"/>
  <c r="DI11" i="8"/>
  <c r="CL13" i="8"/>
  <c r="CM12" i="8"/>
  <c r="CK28" i="8"/>
  <c r="P44" i="2" l="1"/>
  <c r="CO11" i="8"/>
  <c r="CN12" i="8"/>
  <c r="CP12" i="8" s="1"/>
  <c r="CN14" i="8"/>
  <c r="CP14" i="8" s="1"/>
  <c r="CM13" i="8"/>
  <c r="CL28" i="8"/>
  <c r="CN13" i="8" l="1"/>
  <c r="CP13" i="8" s="1"/>
  <c r="CM28" i="8"/>
  <c r="CO14" i="8"/>
  <c r="DI14" i="8"/>
  <c r="P47" i="2" s="1"/>
  <c r="CQ11" i="8"/>
  <c r="DI13" i="8"/>
  <c r="P46" i="2" s="1"/>
  <c r="CO12" i="8"/>
  <c r="CN28" i="8"/>
  <c r="DI12" i="8"/>
  <c r="P45" i="2" l="1"/>
  <c r="P56" i="2" s="1"/>
  <c r="DI28" i="8"/>
  <c r="K9" i="3" s="1"/>
  <c r="CR11" i="8"/>
  <c r="CO13" i="8"/>
  <c r="CO28" i="8" s="1"/>
  <c r="CQ14" i="8"/>
  <c r="CQ12" i="8"/>
  <c r="P57" i="2" l="1"/>
  <c r="P38" i="2" s="1"/>
  <c r="P37" i="2"/>
  <c r="K10" i="3"/>
  <c r="K11" i="3" s="1"/>
  <c r="CQ13" i="8"/>
  <c r="CQ28" i="8" s="1"/>
  <c r="CP28" i="8"/>
  <c r="CS11" i="8"/>
  <c r="CR12" i="8"/>
  <c r="CR14" i="8"/>
  <c r="K14" i="3" l="1"/>
  <c r="K21" i="3"/>
  <c r="CT11" i="8"/>
  <c r="CS14" i="8"/>
  <c r="CS12" i="8"/>
  <c r="CR13" i="8"/>
  <c r="K22" i="3" l="1"/>
  <c r="K45" i="3" s="1"/>
  <c r="K46" i="3" s="1"/>
  <c r="CS13" i="8"/>
  <c r="CS28" i="8" s="1"/>
  <c r="CR28" i="8"/>
  <c r="CT12" i="8"/>
  <c r="CT14" i="8"/>
  <c r="CU11" i="8"/>
  <c r="CT13" i="8" l="1"/>
  <c r="CT28" i="8" s="1"/>
  <c r="CU12" i="8"/>
  <c r="CV11" i="8"/>
  <c r="CU14" i="8"/>
  <c r="CV14" i="8" l="1"/>
  <c r="CV12" i="8"/>
  <c r="CU13" i="8"/>
  <c r="CU28" i="8" s="1"/>
  <c r="CW11" i="8"/>
  <c r="CV13" i="8" l="1"/>
  <c r="CW12" i="8"/>
  <c r="CX11" i="8"/>
  <c r="CV28" i="8"/>
  <c r="CW14" i="8"/>
  <c r="CY11" i="8" l="1"/>
  <c r="CX14" i="8"/>
  <c r="CX12" i="8"/>
  <c r="CW13" i="8"/>
  <c r="CZ11" i="8" l="1"/>
  <c r="CY12" i="8"/>
  <c r="CY14" i="8"/>
  <c r="CX13" i="8"/>
  <c r="CX28" i="8" s="1"/>
  <c r="CW28" i="8"/>
  <c r="CZ14" i="8" l="1"/>
  <c r="CZ12" i="8"/>
  <c r="CY13" i="8"/>
  <c r="CY28" i="8" s="1"/>
  <c r="DA11" i="8"/>
  <c r="DJ11" i="8" s="1"/>
  <c r="Q44" i="2" l="1"/>
  <c r="CZ13" i="8"/>
  <c r="CZ28" i="8" s="1"/>
  <c r="DB11" i="8"/>
  <c r="DA12" i="8"/>
  <c r="DA14" i="8"/>
  <c r="DB12" i="8" l="1"/>
  <c r="DB14" i="8"/>
  <c r="DJ14" i="8"/>
  <c r="Q47" i="2" s="1"/>
  <c r="DJ12" i="8"/>
  <c r="DA13" i="8"/>
  <c r="DA28" i="8" s="1"/>
  <c r="Q45" i="2" l="1"/>
  <c r="DB13" i="8"/>
  <c r="DB28" i="8" s="1"/>
  <c r="DJ13" i="8"/>
  <c r="Q46" i="2" s="1"/>
  <c r="DJ28" i="8" l="1"/>
  <c r="L9" i="3" s="1"/>
  <c r="L10" i="3" s="1"/>
  <c r="L11" i="3" s="1"/>
  <c r="Q56" i="2"/>
  <c r="Q57" i="2" l="1"/>
  <c r="Q38" i="2" s="1"/>
  <c r="Q37" i="2"/>
  <c r="L21" i="3"/>
  <c r="L14" i="3"/>
  <c r="F36" i="7"/>
  <c r="L22" i="3" l="1"/>
  <c r="L45" i="3" s="1"/>
  <c r="L46" i="3" s="1"/>
  <c r="D10" i="2"/>
  <c r="D13" i="2" s="1"/>
  <c r="G9" i="2" s="1"/>
  <c r="D3" i="9"/>
  <c r="G36" i="7"/>
  <c r="D29" i="2" l="1"/>
  <c r="D8" i="9" s="1"/>
  <c r="D12" i="9" s="1"/>
  <c r="D16" i="9" s="1"/>
  <c r="D30" i="2" l="1"/>
  <c r="G11" i="2" s="1"/>
  <c r="D14" i="9"/>
  <c r="D15" i="9"/>
  <c r="D17" i="9" s="1"/>
  <c r="D32" i="2" l="1"/>
  <c r="G27" i="2" s="1"/>
  <c r="G5" i="6" l="1"/>
  <c r="G7" i="6" s="1"/>
  <c r="G8" i="6" s="1"/>
  <c r="G12" i="2"/>
  <c r="F5" i="5"/>
  <c r="F7" i="5" s="1"/>
  <c r="F8" i="5" s="1"/>
  <c r="G33" i="2"/>
  <c r="G35" i="2" s="1"/>
  <c r="G36" i="2" s="1"/>
  <c r="P14" i="3" s="1"/>
  <c r="Q10" i="2"/>
  <c r="P10" i="2"/>
  <c r="N10" i="2"/>
  <c r="G30" i="2"/>
  <c r="P13" i="3" s="1"/>
  <c r="K10" i="2"/>
  <c r="M10" i="2"/>
  <c r="L10" i="2"/>
  <c r="O10" i="2"/>
  <c r="L49" i="3" l="1"/>
  <c r="L31" i="3"/>
  <c r="G31" i="3"/>
  <c r="F31" i="3"/>
  <c r="I31" i="3"/>
  <c r="H31" i="3"/>
  <c r="K31" i="3"/>
  <c r="J31" i="3"/>
  <c r="O15" i="2"/>
  <c r="M15" i="2"/>
  <c r="L15" i="2"/>
  <c r="P15" i="2"/>
  <c r="Q15" i="2"/>
  <c r="N15" i="2"/>
  <c r="K15" i="2"/>
  <c r="D6" i="4"/>
  <c r="C5" i="5"/>
  <c r="C13" i="5" s="1"/>
  <c r="H5" i="5" s="1"/>
  <c r="G39" i="2"/>
  <c r="G40" i="2" s="1"/>
  <c r="E335" i="5" l="1"/>
  <c r="E340" i="5"/>
  <c r="E338" i="5"/>
  <c r="E337" i="5"/>
  <c r="E339" i="5"/>
  <c r="E336" i="5"/>
  <c r="E332" i="5"/>
  <c r="E334" i="5"/>
  <c r="E330" i="5"/>
  <c r="E331" i="5"/>
  <c r="E329" i="5"/>
  <c r="E333" i="5"/>
  <c r="J49" i="3"/>
  <c r="K49" i="3"/>
  <c r="G49" i="3"/>
  <c r="I49" i="3"/>
  <c r="H49" i="3"/>
  <c r="F49" i="3"/>
  <c r="E322" i="5"/>
  <c r="E318" i="5"/>
  <c r="E305" i="5"/>
  <c r="E317" i="5"/>
  <c r="E327" i="5"/>
  <c r="E319" i="5"/>
  <c r="E314" i="5"/>
  <c r="E325" i="5"/>
  <c r="E321" i="5"/>
  <c r="E324" i="5"/>
  <c r="E320" i="5"/>
  <c r="E315" i="5"/>
  <c r="E308" i="5"/>
  <c r="E289" i="5"/>
  <c r="E280" i="5"/>
  <c r="E276" i="5"/>
  <c r="E272" i="5"/>
  <c r="E267" i="5"/>
  <c r="E323" i="5"/>
  <c r="E306" i="5"/>
  <c r="E293" i="5"/>
  <c r="E300" i="5"/>
  <c r="E296" i="5"/>
  <c r="E291" i="5"/>
  <c r="E287" i="5"/>
  <c r="E274" i="5"/>
  <c r="E257" i="5"/>
  <c r="E328" i="5"/>
  <c r="E316" i="5"/>
  <c r="E307" i="5"/>
  <c r="E297" i="5"/>
  <c r="E281" i="5"/>
  <c r="E288" i="5"/>
  <c r="E275" i="5"/>
  <c r="E326" i="5"/>
  <c r="E303" i="5"/>
  <c r="E299" i="5"/>
  <c r="E295" i="5"/>
  <c r="E290" i="5"/>
  <c r="E286" i="5"/>
  <c r="E269" i="5"/>
  <c r="E313" i="5"/>
  <c r="E310" i="5"/>
  <c r="E283" i="5"/>
  <c r="E270" i="5"/>
  <c r="E265" i="5"/>
  <c r="E312" i="5"/>
  <c r="E309" i="5"/>
  <c r="E304" i="5"/>
  <c r="E302" i="5"/>
  <c r="E273" i="5"/>
  <c r="E262" i="5"/>
  <c r="E245" i="5"/>
  <c r="E249" i="5"/>
  <c r="E244" i="5"/>
  <c r="E236" i="5"/>
  <c r="E225" i="5"/>
  <c r="E277" i="5"/>
  <c r="E271" i="5"/>
  <c r="E263" i="5"/>
  <c r="E259" i="5"/>
  <c r="E254" i="5"/>
  <c r="E238" i="5"/>
  <c r="E231" i="5"/>
  <c r="E311" i="5"/>
  <c r="E285" i="5"/>
  <c r="E261" i="5"/>
  <c r="E255" i="5"/>
  <c r="E252" i="5"/>
  <c r="E248" i="5"/>
  <c r="E228" i="5"/>
  <c r="E258" i="5"/>
  <c r="E253" i="5"/>
  <c r="E233" i="5"/>
  <c r="E230" i="5"/>
  <c r="E220" i="5"/>
  <c r="E282" i="5"/>
  <c r="E278" i="5"/>
  <c r="E260" i="5"/>
  <c r="E251" i="5"/>
  <c r="E242" i="5"/>
  <c r="E232" i="5"/>
  <c r="E227" i="5"/>
  <c r="E294" i="5"/>
  <c r="E292" i="5"/>
  <c r="E264" i="5"/>
  <c r="E250" i="5"/>
  <c r="E235" i="5"/>
  <c r="E223" i="5"/>
  <c r="E216" i="5"/>
  <c r="E189" i="5"/>
  <c r="E178" i="5"/>
  <c r="E301" i="5"/>
  <c r="E240" i="5"/>
  <c r="E197" i="5"/>
  <c r="E198" i="5"/>
  <c r="E191" i="5"/>
  <c r="E186" i="5"/>
  <c r="E173" i="5"/>
  <c r="E174" i="5"/>
  <c r="E161" i="5"/>
  <c r="E284" i="5"/>
  <c r="E268" i="5"/>
  <c r="E247" i="5"/>
  <c r="E243" i="5"/>
  <c r="E224" i="5"/>
  <c r="E214" i="5"/>
  <c r="E204" i="5"/>
  <c r="E194" i="5"/>
  <c r="E188" i="5"/>
  <c r="E237" i="5"/>
  <c r="E221" i="5"/>
  <c r="E226" i="5"/>
  <c r="E212" i="5"/>
  <c r="E207" i="5"/>
  <c r="E201" i="5"/>
  <c r="E196" i="5"/>
  <c r="E183" i="5"/>
  <c r="E279" i="5"/>
  <c r="E239" i="5"/>
  <c r="E229" i="5"/>
  <c r="E217" i="5"/>
  <c r="E208" i="5"/>
  <c r="E202" i="5"/>
  <c r="E185" i="5"/>
  <c r="E190" i="5"/>
  <c r="E246" i="5"/>
  <c r="E209" i="5"/>
  <c r="E199" i="5"/>
  <c r="E181" i="5"/>
  <c r="E175" i="5"/>
  <c r="E256" i="5"/>
  <c r="E241" i="5"/>
  <c r="E210" i="5"/>
  <c r="E172" i="5"/>
  <c r="E159" i="5"/>
  <c r="E155" i="5"/>
  <c r="E151" i="5"/>
  <c r="E150" i="5"/>
  <c r="E137" i="5"/>
  <c r="E144" i="5"/>
  <c r="E140" i="5"/>
  <c r="E129" i="5"/>
  <c r="E200" i="5"/>
  <c r="E180" i="5"/>
  <c r="E168" i="5"/>
  <c r="E164" i="5"/>
  <c r="E134" i="5"/>
  <c r="E298" i="5"/>
  <c r="E218" i="5"/>
  <c r="E203" i="5"/>
  <c r="E193" i="5"/>
  <c r="E187" i="5"/>
  <c r="E184" i="5"/>
  <c r="E182" i="5"/>
  <c r="E177" i="5"/>
  <c r="E165" i="5"/>
  <c r="E158" i="5"/>
  <c r="E154" i="5"/>
  <c r="E147" i="5"/>
  <c r="E143" i="5"/>
  <c r="E125" i="5"/>
  <c r="E128" i="5"/>
  <c r="E266" i="5"/>
  <c r="E222" i="5"/>
  <c r="E215" i="5"/>
  <c r="E206" i="5"/>
  <c r="E171" i="5"/>
  <c r="E167" i="5"/>
  <c r="E160" i="5"/>
  <c r="E133" i="5"/>
  <c r="E192" i="5"/>
  <c r="E169" i="5"/>
  <c r="E157" i="5"/>
  <c r="E153" i="5"/>
  <c r="E146" i="5"/>
  <c r="E142" i="5"/>
  <c r="E126" i="5"/>
  <c r="E211" i="5"/>
  <c r="E205" i="5"/>
  <c r="E170" i="5"/>
  <c r="E166" i="5"/>
  <c r="E148" i="5"/>
  <c r="E139" i="5"/>
  <c r="E132" i="5"/>
  <c r="E234" i="5"/>
  <c r="E219" i="5"/>
  <c r="E195" i="5"/>
  <c r="E179" i="5"/>
  <c r="E176" i="5"/>
  <c r="E152" i="5"/>
  <c r="E130" i="5"/>
  <c r="E121" i="5"/>
  <c r="E110" i="5"/>
  <c r="E97" i="5"/>
  <c r="E85" i="5"/>
  <c r="E65" i="5"/>
  <c r="E68" i="5"/>
  <c r="E67" i="5"/>
  <c r="E136" i="5"/>
  <c r="E118" i="5"/>
  <c r="E112" i="5"/>
  <c r="E99" i="5"/>
  <c r="E91" i="5"/>
  <c r="E83" i="5"/>
  <c r="E71" i="5"/>
  <c r="E145" i="5"/>
  <c r="E124" i="5"/>
  <c r="E120" i="5"/>
  <c r="E109" i="5"/>
  <c r="E96" i="5"/>
  <c r="E84" i="5"/>
  <c r="E79" i="5"/>
  <c r="E74" i="5"/>
  <c r="E53" i="5"/>
  <c r="E138" i="5"/>
  <c r="E135" i="5"/>
  <c r="E117" i="5"/>
  <c r="E106" i="5"/>
  <c r="E82" i="5"/>
  <c r="E69" i="5"/>
  <c r="E163" i="5"/>
  <c r="E149" i="5"/>
  <c r="E141" i="5"/>
  <c r="E127" i="5"/>
  <c r="E123" i="5"/>
  <c r="E119" i="5"/>
  <c r="E101" i="5"/>
  <c r="E108" i="5"/>
  <c r="E100" i="5"/>
  <c r="E95" i="5"/>
  <c r="E92" i="5"/>
  <c r="E88" i="5"/>
  <c r="E87" i="5"/>
  <c r="E131" i="5"/>
  <c r="E113" i="5"/>
  <c r="E116" i="5"/>
  <c r="E115" i="5"/>
  <c r="E105" i="5"/>
  <c r="E102" i="5"/>
  <c r="E81" i="5"/>
  <c r="E76" i="5"/>
  <c r="E75" i="5"/>
  <c r="E162" i="5"/>
  <c r="E156" i="5"/>
  <c r="E122" i="5"/>
  <c r="E213" i="5"/>
  <c r="E111" i="5"/>
  <c r="E98" i="5"/>
  <c r="E62" i="5"/>
  <c r="E54" i="5"/>
  <c r="E52" i="5"/>
  <c r="E51" i="5"/>
  <c r="E114" i="5"/>
  <c r="E104" i="5"/>
  <c r="E77" i="5"/>
  <c r="E78" i="5"/>
  <c r="E57" i="5"/>
  <c r="E46" i="5"/>
  <c r="E45" i="5"/>
  <c r="H8" i="5"/>
  <c r="E107" i="5"/>
  <c r="E94" i="5"/>
  <c r="E90" i="5"/>
  <c r="E70" i="5"/>
  <c r="E60" i="5"/>
  <c r="E49" i="5"/>
  <c r="E103" i="5"/>
  <c r="E63" i="5"/>
  <c r="E55" i="5"/>
  <c r="E41" i="5"/>
  <c r="E86" i="5"/>
  <c r="E58" i="5"/>
  <c r="E47" i="5"/>
  <c r="E44" i="5"/>
  <c r="E89" i="5"/>
  <c r="E80" i="5"/>
  <c r="E73" i="5"/>
  <c r="E64" i="5"/>
  <c r="E61" i="5"/>
  <c r="E50" i="5"/>
  <c r="E42" i="5"/>
  <c r="H16" i="5"/>
  <c r="D17" i="5" s="1"/>
  <c r="E72" i="5"/>
  <c r="E56" i="5"/>
  <c r="E93" i="5"/>
  <c r="E66" i="5"/>
  <c r="E59" i="5"/>
  <c r="E48" i="5"/>
  <c r="E43" i="5"/>
  <c r="C11" i="5"/>
  <c r="C12" i="5" s="1"/>
  <c r="F7" i="4"/>
  <c r="D15" i="4"/>
  <c r="D10" i="4"/>
  <c r="F23" i="3" l="1"/>
  <c r="H23" i="3"/>
  <c r="G23" i="3"/>
  <c r="G16" i="4"/>
  <c r="D24" i="4"/>
  <c r="D19" i="4"/>
  <c r="F17" i="5"/>
  <c r="E17" i="5" s="1"/>
  <c r="G17" i="5" s="1"/>
  <c r="H17" i="5" l="1"/>
  <c r="F18" i="5" s="1"/>
  <c r="E18" i="5" s="1"/>
  <c r="G18" i="5" s="1"/>
  <c r="H25" i="4"/>
  <c r="D28" i="4"/>
  <c r="D33" i="4"/>
  <c r="D18" i="5" l="1"/>
  <c r="H18" i="5" s="1"/>
  <c r="I34" i="4"/>
  <c r="D42" i="4"/>
  <c r="D51" i="4" s="1"/>
  <c r="D37" i="4"/>
  <c r="D55" i="4" l="1"/>
  <c r="K52" i="4"/>
  <c r="F19" i="5"/>
  <c r="E19" i="5" s="1"/>
  <c r="G19" i="5" s="1"/>
  <c r="D19" i="5"/>
  <c r="J43" i="4"/>
  <c r="D46" i="4"/>
  <c r="H19" i="5" l="1"/>
  <c r="D20" i="5" s="1"/>
  <c r="F20" i="5" l="1"/>
  <c r="E20" i="5" s="1"/>
  <c r="G20" i="5" s="1"/>
  <c r="H20" i="5" l="1"/>
  <c r="F21" i="5" s="1"/>
  <c r="E21" i="5" s="1"/>
  <c r="G21" i="5" s="1"/>
  <c r="D21" i="5" l="1"/>
  <c r="H21" i="5" s="1"/>
  <c r="D22" i="5" s="1"/>
  <c r="F22" i="5" l="1"/>
  <c r="E22" i="5" s="1"/>
  <c r="G22" i="5" s="1"/>
  <c r="H22" i="5" l="1"/>
  <c r="F23" i="5" s="1"/>
  <c r="E23" i="5" s="1"/>
  <c r="G23" i="5" s="1"/>
  <c r="D23" i="5" l="1"/>
  <c r="H23" i="5" s="1"/>
  <c r="F24" i="5" l="1"/>
  <c r="E24" i="5" s="1"/>
  <c r="G24" i="5" s="1"/>
  <c r="D24" i="5"/>
  <c r="H24" i="5" l="1"/>
  <c r="F25" i="5" s="1"/>
  <c r="E25" i="5" s="1"/>
  <c r="G25" i="5" s="1"/>
  <c r="D25" i="5" l="1"/>
  <c r="H25" i="5" s="1"/>
  <c r="F26" i="5" l="1"/>
  <c r="E26" i="5" s="1"/>
  <c r="G26" i="5" s="1"/>
  <c r="D26" i="5"/>
  <c r="H26" i="5" l="1"/>
  <c r="F27" i="5" s="1"/>
  <c r="E27" i="5" s="1"/>
  <c r="G27" i="5" s="1"/>
  <c r="D27" i="5" l="1"/>
  <c r="H27" i="5" s="1"/>
  <c r="D28" i="5" l="1"/>
  <c r="F28" i="5"/>
  <c r="E28" i="5" s="1"/>
  <c r="G28" i="5" s="1"/>
  <c r="I28" i="5" s="1"/>
  <c r="E29" i="5"/>
  <c r="H28" i="5" l="1"/>
  <c r="D29" i="5"/>
  <c r="F47" i="3"/>
  <c r="M13" i="2" s="1"/>
  <c r="M14" i="2" s="1"/>
  <c r="M17" i="2" s="1"/>
  <c r="M18" i="2" s="1"/>
  <c r="F29" i="5"/>
  <c r="G29" i="5" s="1"/>
  <c r="H29" i="5" s="1"/>
  <c r="D30" i="5" s="1"/>
  <c r="K13" i="2"/>
  <c r="K14" i="2" s="1"/>
  <c r="K17" i="2" s="1"/>
  <c r="K18" i="2" s="1"/>
  <c r="L13" i="2"/>
  <c r="L14" i="2" s="1"/>
  <c r="L17" i="2" s="1"/>
  <c r="L18" i="2" s="1"/>
  <c r="P13" i="2"/>
  <c r="P14" i="2" s="1"/>
  <c r="P17" i="2" s="1"/>
  <c r="P18" i="2" s="1"/>
  <c r="F48" i="3"/>
  <c r="F50" i="3" s="1"/>
  <c r="F53" i="3" s="1"/>
  <c r="O13" i="2"/>
  <c r="O14" i="2" s="1"/>
  <c r="O17" i="2" s="1"/>
  <c r="O18" i="2" s="1"/>
  <c r="Q13" i="2"/>
  <c r="Q14" i="2" s="1"/>
  <c r="Q17" i="2" s="1"/>
  <c r="Q18" i="2" s="1"/>
  <c r="N13" i="2" l="1"/>
  <c r="N14" i="2" s="1"/>
  <c r="N17" i="2" s="1"/>
  <c r="N18" i="2" s="1"/>
  <c r="F52" i="3"/>
  <c r="F30" i="5"/>
  <c r="E30" i="5"/>
  <c r="G30" i="5" l="1"/>
  <c r="H30" i="5" s="1"/>
  <c r="F31" i="5" s="1"/>
  <c r="D31" i="5" l="1"/>
  <c r="E31" i="5"/>
  <c r="G31" i="5" s="1"/>
  <c r="H31" i="5" l="1"/>
  <c r="D32" i="5" s="1"/>
  <c r="F32" i="5"/>
  <c r="E32" i="5" l="1"/>
  <c r="G32" i="5" s="1"/>
  <c r="H32" i="5" s="1"/>
  <c r="F33" i="5" l="1"/>
  <c r="D33" i="5"/>
  <c r="E33" i="5" l="1"/>
  <c r="G33" i="5" s="1"/>
  <c r="H33" i="5" s="1"/>
  <c r="F34" i="5" l="1"/>
  <c r="D34" i="5"/>
  <c r="E34" i="5" l="1"/>
  <c r="G34" i="5" s="1"/>
  <c r="H34" i="5" s="1"/>
  <c r="F35" i="5" l="1"/>
  <c r="D35" i="5"/>
  <c r="E35" i="5" l="1"/>
  <c r="G35" i="5" s="1"/>
  <c r="H35" i="5" s="1"/>
  <c r="F36" i="5" l="1"/>
  <c r="D36" i="5"/>
  <c r="E36" i="5" l="1"/>
  <c r="G36" i="5" s="1"/>
  <c r="H36" i="5" s="1"/>
  <c r="F37" i="5" l="1"/>
  <c r="D37" i="5"/>
  <c r="E37" i="5" l="1"/>
  <c r="G37" i="5" s="1"/>
  <c r="H37" i="5" s="1"/>
  <c r="F38" i="5" l="1"/>
  <c r="D38" i="5"/>
  <c r="E38" i="5" l="1"/>
  <c r="G38" i="5" s="1"/>
  <c r="H38" i="5" s="1"/>
  <c r="F39" i="5" l="1"/>
  <c r="D39" i="5"/>
  <c r="E39" i="5" l="1"/>
  <c r="G39" i="5" s="1"/>
  <c r="H39" i="5" s="1"/>
  <c r="F40" i="5" l="1"/>
  <c r="D40" i="5"/>
  <c r="E40" i="5" l="1"/>
  <c r="G40" i="5" s="1"/>
  <c r="I40" i="5" l="1"/>
  <c r="H40" i="5"/>
  <c r="D41" i="5" l="1"/>
  <c r="G47" i="3"/>
  <c r="G48" i="3" s="1"/>
  <c r="G50" i="3" s="1"/>
  <c r="F41" i="5"/>
  <c r="G41" i="5" s="1"/>
  <c r="F25" i="3"/>
  <c r="G21" i="2"/>
  <c r="F24" i="3"/>
  <c r="G24" i="2" l="1"/>
  <c r="G23" i="2"/>
  <c r="G25" i="2" s="1"/>
  <c r="G53" i="3"/>
  <c r="F9" i="4"/>
  <c r="G52" i="3"/>
  <c r="F28" i="3"/>
  <c r="E44" i="4"/>
  <c r="E46" i="4" s="1"/>
  <c r="E53" i="4"/>
  <c r="E55" i="4" s="1"/>
  <c r="E35" i="4"/>
  <c r="F39" i="3"/>
  <c r="G25" i="3"/>
  <c r="G24" i="3"/>
  <c r="H41" i="5"/>
  <c r="F53" i="4" l="1"/>
  <c r="F55" i="4" s="1"/>
  <c r="G28" i="3"/>
  <c r="G29" i="3" s="1"/>
  <c r="G39" i="3"/>
  <c r="F35" i="4"/>
  <c r="F44" i="4"/>
  <c r="F46" i="4" s="1"/>
  <c r="H24" i="3"/>
  <c r="H25" i="3"/>
  <c r="I23" i="3"/>
  <c r="D42" i="5"/>
  <c r="F42" i="5"/>
  <c r="G42" i="5" s="1"/>
  <c r="F29" i="3"/>
  <c r="F40" i="3"/>
  <c r="E37" i="4"/>
  <c r="E26" i="4"/>
  <c r="G40" i="3" l="1"/>
  <c r="H42" i="5"/>
  <c r="D43" i="5" s="1"/>
  <c r="F37" i="4"/>
  <c r="F26" i="4"/>
  <c r="E17" i="4"/>
  <c r="E28" i="4"/>
  <c r="G53" i="4"/>
  <c r="G55" i="4" s="1"/>
  <c r="G35" i="4"/>
  <c r="G44" i="4"/>
  <c r="G46" i="4" s="1"/>
  <c r="H39" i="3"/>
  <c r="H28" i="3"/>
  <c r="H29" i="3" s="1"/>
  <c r="G32" i="3"/>
  <c r="G35" i="3" s="1"/>
  <c r="G38" i="3" s="1"/>
  <c r="J23" i="3"/>
  <c r="I24" i="3"/>
  <c r="I25" i="3"/>
  <c r="F32" i="3"/>
  <c r="F35" i="3" s="1"/>
  <c r="F38" i="3" s="1"/>
  <c r="F43" i="5" l="1"/>
  <c r="G43" i="5" s="1"/>
  <c r="H43" i="5" s="1"/>
  <c r="G34" i="3"/>
  <c r="G37" i="3" s="1"/>
  <c r="F34" i="3"/>
  <c r="F37" i="3" s="1"/>
  <c r="H35" i="4"/>
  <c r="H44" i="4"/>
  <c r="H46" i="4" s="1"/>
  <c r="I39" i="3"/>
  <c r="H53" i="4"/>
  <c r="H55" i="4" s="1"/>
  <c r="I28" i="3"/>
  <c r="I29" i="3" s="1"/>
  <c r="E19" i="4"/>
  <c r="E8" i="4"/>
  <c r="E10" i="4" s="1"/>
  <c r="J24" i="3"/>
  <c r="K23" i="3"/>
  <c r="J25" i="3"/>
  <c r="G26" i="4"/>
  <c r="G37" i="4"/>
  <c r="F28" i="4"/>
  <c r="F17" i="4"/>
  <c r="H32" i="3"/>
  <c r="H35" i="3" s="1"/>
  <c r="H38" i="3" s="1"/>
  <c r="H34" i="3" l="1"/>
  <c r="H37" i="3" s="1"/>
  <c r="G17" i="4"/>
  <c r="G28" i="4"/>
  <c r="I53" i="4"/>
  <c r="I55" i="4" s="1"/>
  <c r="I35" i="4"/>
  <c r="J39" i="3"/>
  <c r="J28" i="3"/>
  <c r="J29" i="3" s="1"/>
  <c r="I44" i="4"/>
  <c r="I46" i="4" s="1"/>
  <c r="I32" i="3"/>
  <c r="I35" i="3" s="1"/>
  <c r="I38" i="3" s="1"/>
  <c r="F19" i="4"/>
  <c r="F8" i="4"/>
  <c r="F10" i="4" s="1"/>
  <c r="G10" i="4" s="1"/>
  <c r="G41" i="3" s="1"/>
  <c r="F44" i="5"/>
  <c r="G44" i="5" s="1"/>
  <c r="D44" i="5"/>
  <c r="K24" i="3"/>
  <c r="K25" i="3"/>
  <c r="L23" i="3"/>
  <c r="H26" i="4"/>
  <c r="H37" i="4"/>
  <c r="I34" i="3" l="1"/>
  <c r="I37" i="3" s="1"/>
  <c r="H44" i="5"/>
  <c r="F45" i="5" s="1"/>
  <c r="G45" i="5" s="1"/>
  <c r="L24" i="3"/>
  <c r="L25" i="3"/>
  <c r="J53" i="4"/>
  <c r="J55" i="4" s="1"/>
  <c r="K28" i="3"/>
  <c r="K29" i="3" s="1"/>
  <c r="J44" i="4"/>
  <c r="K39" i="3"/>
  <c r="J32" i="3"/>
  <c r="J35" i="3" s="1"/>
  <c r="J38" i="3" s="1"/>
  <c r="J34" i="3" l="1"/>
  <c r="J37" i="3" s="1"/>
  <c r="D45" i="5"/>
  <c r="H45" i="5" s="1"/>
  <c r="K32" i="3"/>
  <c r="K35" i="3" s="1"/>
  <c r="K38" i="3" s="1"/>
  <c r="L39" i="3"/>
  <c r="L28" i="3"/>
  <c r="L29" i="3" s="1"/>
  <c r="K53" i="4"/>
  <c r="K34" i="3" l="1"/>
  <c r="K37" i="3" s="1"/>
  <c r="L32" i="3"/>
  <c r="L35" i="3" s="1"/>
  <c r="L38" i="3" s="1"/>
  <c r="D46" i="5"/>
  <c r="F46" i="5"/>
  <c r="G46" i="5" s="1"/>
  <c r="L34" i="3" l="1"/>
  <c r="L37" i="3" s="1"/>
  <c r="H46" i="5"/>
  <c r="D47" i="5" l="1"/>
  <c r="F47" i="5"/>
  <c r="G47" i="5" s="1"/>
  <c r="H47" i="5" l="1"/>
  <c r="D48" i="5" l="1"/>
  <c r="F48" i="5"/>
  <c r="G48" i="5" s="1"/>
  <c r="H48" i="5" l="1"/>
  <c r="D49" i="5" l="1"/>
  <c r="F49" i="5"/>
  <c r="G49" i="5" s="1"/>
  <c r="H49" i="5" l="1"/>
  <c r="D50" i="5" l="1"/>
  <c r="F50" i="5"/>
  <c r="G50" i="5" s="1"/>
  <c r="H50" i="5" l="1"/>
  <c r="F51" i="5" l="1"/>
  <c r="G51" i="5" s="1"/>
  <c r="D51" i="5"/>
  <c r="H51" i="5" l="1"/>
  <c r="D52" i="5" s="1"/>
  <c r="F52" i="5" l="1"/>
  <c r="G52" i="5" s="1"/>
  <c r="I52" i="5" s="1"/>
  <c r="H52" i="5" l="1"/>
  <c r="D53" i="5" s="1"/>
  <c r="F53" i="5"/>
  <c r="G53" i="5" s="1"/>
  <c r="H53" i="5" l="1"/>
  <c r="F54" i="5" s="1"/>
  <c r="G54" i="5" s="1"/>
  <c r="H47" i="3"/>
  <c r="H48" i="3" s="1"/>
  <c r="H50" i="3" s="1"/>
  <c r="H52" i="3" s="1"/>
  <c r="D54" i="5"/>
  <c r="H40" i="3" l="1"/>
  <c r="H53" i="3"/>
  <c r="G18" i="4"/>
  <c r="G19" i="4" s="1"/>
  <c r="H19" i="4" s="1"/>
  <c r="H41" i="3" s="1"/>
  <c r="H54" i="5"/>
  <c r="D55" i="5" l="1"/>
  <c r="F55" i="5"/>
  <c r="G55" i="5" s="1"/>
  <c r="H55" i="5" l="1"/>
  <c r="D56" i="5" l="1"/>
  <c r="F56" i="5"/>
  <c r="G56" i="5" s="1"/>
  <c r="H56" i="5" l="1"/>
  <c r="F57" i="5" l="1"/>
  <c r="G57" i="5" s="1"/>
  <c r="D57" i="5"/>
  <c r="H57" i="5" l="1"/>
  <c r="D58" i="5" s="1"/>
  <c r="F58" i="5" l="1"/>
  <c r="G58" i="5" s="1"/>
  <c r="H58" i="5" s="1"/>
  <c r="F59" i="5" l="1"/>
  <c r="G59" i="5" s="1"/>
  <c r="D59" i="5"/>
  <c r="H59" i="5" l="1"/>
  <c r="F60" i="5" s="1"/>
  <c r="G60" i="5" s="1"/>
  <c r="D60" i="5" l="1"/>
  <c r="H60" i="5" s="1"/>
  <c r="F61" i="5" l="1"/>
  <c r="G61" i="5" s="1"/>
  <c r="D61" i="5"/>
  <c r="H61" i="5" l="1"/>
  <c r="F62" i="5" s="1"/>
  <c r="G62" i="5" s="1"/>
  <c r="D62" i="5" l="1"/>
  <c r="H62" i="5" s="1"/>
  <c r="F63" i="5" s="1"/>
  <c r="G63" i="5" s="1"/>
  <c r="D63" i="5" l="1"/>
  <c r="H63" i="5" s="1"/>
  <c r="D64" i="5" s="1"/>
  <c r="F64" i="5" l="1"/>
  <c r="G64" i="5" s="1"/>
  <c r="I64" i="5" s="1"/>
  <c r="H64" i="5" l="1"/>
  <c r="I47" i="3" s="1"/>
  <c r="I48" i="3" s="1"/>
  <c r="I50" i="3" s="1"/>
  <c r="D65" i="5"/>
  <c r="F65" i="5"/>
  <c r="G65" i="5" s="1"/>
  <c r="I40" i="3"/>
  <c r="H65" i="5" l="1"/>
  <c r="F66" i="5" s="1"/>
  <c r="G66" i="5" s="1"/>
  <c r="I52" i="3"/>
  <c r="I53" i="3"/>
  <c r="H27" i="4"/>
  <c r="H28" i="4" s="1"/>
  <c r="I28" i="4" s="1"/>
  <c r="I41" i="3" s="1"/>
  <c r="D66" i="5" l="1"/>
  <c r="H66" i="5" s="1"/>
  <c r="D67" i="5" s="1"/>
  <c r="F67" i="5" l="1"/>
  <c r="G67" i="5" s="1"/>
  <c r="H67" i="5" s="1"/>
  <c r="F68" i="5" s="1"/>
  <c r="G68" i="5" s="1"/>
  <c r="D68" i="5" l="1"/>
  <c r="H68" i="5" s="1"/>
  <c r="D69" i="5" l="1"/>
  <c r="F69" i="5"/>
  <c r="G69" i="5" s="1"/>
  <c r="H69" i="5" l="1"/>
  <c r="F70" i="5" l="1"/>
  <c r="G70" i="5" s="1"/>
  <c r="D70" i="5"/>
  <c r="H70" i="5" l="1"/>
  <c r="F71" i="5" s="1"/>
  <c r="G71" i="5" s="1"/>
  <c r="D71" i="5" l="1"/>
  <c r="H71" i="5" s="1"/>
  <c r="D72" i="5" l="1"/>
  <c r="F72" i="5"/>
  <c r="G72" i="5" s="1"/>
  <c r="H72" i="5" l="1"/>
  <c r="F73" i="5" l="1"/>
  <c r="G73" i="5" s="1"/>
  <c r="D73" i="5"/>
  <c r="H73" i="5" l="1"/>
  <c r="F74" i="5" s="1"/>
  <c r="G74" i="5" s="1"/>
  <c r="D74" i="5" l="1"/>
  <c r="H74" i="5" s="1"/>
  <c r="F75" i="5" s="1"/>
  <c r="G75" i="5" s="1"/>
  <c r="D75" i="5" l="1"/>
  <c r="H75" i="5" s="1"/>
  <c r="D76" i="5" s="1"/>
  <c r="F76" i="5" l="1"/>
  <c r="G76" i="5" s="1"/>
  <c r="I76" i="5" s="1"/>
  <c r="H76" i="5" l="1"/>
  <c r="J47" i="3"/>
  <c r="J48" i="3" s="1"/>
  <c r="D77" i="5"/>
  <c r="F77" i="5"/>
  <c r="G77" i="5" s="1"/>
  <c r="D5" i="6"/>
  <c r="F253" i="6" l="1"/>
  <c r="F258" i="6"/>
  <c r="F146" i="6"/>
  <c r="F131" i="6"/>
  <c r="F194" i="6"/>
  <c r="F246" i="6"/>
  <c r="F212" i="6"/>
  <c r="F316" i="6"/>
  <c r="F238" i="6"/>
  <c r="F226" i="6"/>
  <c r="F172" i="6"/>
  <c r="F44" i="6"/>
  <c r="F181" i="6"/>
  <c r="F331" i="6"/>
  <c r="F299" i="6"/>
  <c r="F308" i="6"/>
  <c r="F216" i="6"/>
  <c r="F222" i="6"/>
  <c r="F155" i="6"/>
  <c r="F99" i="6"/>
  <c r="F230" i="6"/>
  <c r="F192" i="6"/>
  <c r="F72" i="6"/>
  <c r="F293" i="6"/>
  <c r="F283" i="6"/>
  <c r="F127" i="6"/>
  <c r="F90" i="6"/>
  <c r="F245" i="6"/>
  <c r="F224" i="6"/>
  <c r="F220" i="6"/>
  <c r="F311" i="6"/>
  <c r="F235" i="6"/>
  <c r="F153" i="6"/>
  <c r="F104" i="6"/>
  <c r="F50" i="6"/>
  <c r="F64" i="6"/>
  <c r="F120" i="6"/>
  <c r="F63" i="6"/>
  <c r="F326" i="6"/>
  <c r="F319" i="6"/>
  <c r="F313" i="6"/>
  <c r="F82" i="6"/>
  <c r="F187" i="6"/>
  <c r="F337" i="6"/>
  <c r="F307" i="6"/>
  <c r="F241" i="6"/>
  <c r="F176" i="6"/>
  <c r="F322" i="6"/>
  <c r="F130" i="6"/>
  <c r="F144" i="6"/>
  <c r="F183" i="6"/>
  <c r="F265" i="6"/>
  <c r="F227" i="6"/>
  <c r="F53" i="6"/>
  <c r="F200" i="6"/>
  <c r="F278" i="6"/>
  <c r="F161" i="6"/>
  <c r="F143" i="6"/>
  <c r="F97" i="6"/>
  <c r="F116" i="6"/>
  <c r="F240" i="6"/>
  <c r="F171" i="6"/>
  <c r="F335" i="6"/>
  <c r="F260" i="6"/>
  <c r="F170" i="6"/>
  <c r="F112" i="6"/>
  <c r="F47" i="6"/>
  <c r="F163" i="6"/>
  <c r="F174" i="6"/>
  <c r="F169" i="6"/>
  <c r="F327" i="6"/>
  <c r="F255" i="6"/>
  <c r="F166" i="6"/>
  <c r="F114" i="6"/>
  <c r="I16" i="6"/>
  <c r="E17" i="6" s="1"/>
  <c r="G17" i="6" s="1"/>
  <c r="F17" i="6" s="1"/>
  <c r="H17" i="6" s="1"/>
  <c r="I17" i="6" s="1"/>
  <c r="F165" i="6"/>
  <c r="F80" i="6"/>
  <c r="F106" i="6"/>
  <c r="F318" i="6"/>
  <c r="F190" i="6"/>
  <c r="F134" i="6"/>
  <c r="F74" i="6"/>
  <c r="F201" i="6"/>
  <c r="F157" i="6"/>
  <c r="F231" i="6"/>
  <c r="F338" i="6"/>
  <c r="F215" i="6"/>
  <c r="F167" i="6"/>
  <c r="F91" i="6"/>
  <c r="F46" i="6"/>
  <c r="F56" i="6"/>
  <c r="F332" i="6"/>
  <c r="F179" i="6"/>
  <c r="F49" i="6"/>
  <c r="F102" i="6"/>
  <c r="F108" i="6"/>
  <c r="F182" i="6"/>
  <c r="F199" i="6"/>
  <c r="F333" i="6"/>
  <c r="F136" i="6"/>
  <c r="F329" i="6"/>
  <c r="F277" i="6"/>
  <c r="F178" i="6"/>
  <c r="F250" i="6"/>
  <c r="F288" i="6"/>
  <c r="F100" i="6"/>
  <c r="F233" i="6"/>
  <c r="F269" i="6"/>
  <c r="F145" i="6"/>
  <c r="F239" i="6"/>
  <c r="F275" i="6"/>
  <c r="F129" i="6"/>
  <c r="F281" i="6"/>
  <c r="F236" i="6"/>
  <c r="F320" i="6"/>
  <c r="F123" i="6"/>
  <c r="F103" i="6"/>
  <c r="F75" i="6"/>
  <c r="F149" i="6"/>
  <c r="F137" i="6"/>
  <c r="F271" i="6"/>
  <c r="F304" i="6"/>
  <c r="F196" i="6"/>
  <c r="F148" i="6"/>
  <c r="F62" i="6"/>
  <c r="F154" i="6"/>
  <c r="F156" i="6"/>
  <c r="F223" i="6"/>
  <c r="F263" i="6"/>
  <c r="F272" i="6"/>
  <c r="F186" i="6"/>
  <c r="F115" i="6"/>
  <c r="F57" i="6"/>
  <c r="F185" i="6"/>
  <c r="F92" i="6"/>
  <c r="F321" i="6"/>
  <c r="F257" i="6"/>
  <c r="F229" i="6"/>
  <c r="F117" i="6"/>
  <c r="F86" i="6"/>
  <c r="F184" i="6"/>
  <c r="F162" i="6"/>
  <c r="F128" i="6"/>
  <c r="F274" i="6"/>
  <c r="F234" i="6"/>
  <c r="F328" i="6"/>
  <c r="F65" i="6"/>
  <c r="F60" i="6"/>
  <c r="F295" i="6"/>
  <c r="F286" i="6"/>
  <c r="F205" i="6"/>
  <c r="F336" i="6"/>
  <c r="F96" i="6"/>
  <c r="F244" i="6"/>
  <c r="F42" i="6"/>
  <c r="F177" i="6"/>
  <c r="F208" i="6"/>
  <c r="F268" i="6"/>
  <c r="F93" i="6"/>
  <c r="F132" i="6"/>
  <c r="F248" i="6"/>
  <c r="F289" i="6"/>
  <c r="F109" i="6"/>
  <c r="F211" i="6"/>
  <c r="F273" i="6"/>
  <c r="F325" i="6"/>
  <c r="F180" i="6"/>
  <c r="F191" i="6"/>
  <c r="F202" i="6"/>
  <c r="F59" i="6"/>
  <c r="F324" i="6"/>
  <c r="F243" i="6"/>
  <c r="F247" i="6"/>
  <c r="F188" i="6"/>
  <c r="F48" i="6"/>
  <c r="F51" i="6"/>
  <c r="F68" i="6"/>
  <c r="F126" i="6"/>
  <c r="F298" i="6"/>
  <c r="F323" i="6"/>
  <c r="F204" i="6"/>
  <c r="F110" i="6"/>
  <c r="F55" i="6"/>
  <c r="F77" i="6"/>
  <c r="F219" i="6"/>
  <c r="F193" i="6"/>
  <c r="F290" i="6"/>
  <c r="F291" i="6"/>
  <c r="F195" i="6"/>
  <c r="F107" i="6"/>
  <c r="F85" i="6"/>
  <c r="F84" i="6"/>
  <c r="F287" i="6"/>
  <c r="F259" i="6"/>
  <c r="F218" i="6"/>
  <c r="F173" i="6"/>
  <c r="F139" i="6"/>
  <c r="F43" i="6"/>
  <c r="F164" i="6"/>
  <c r="F135" i="6"/>
  <c r="F111" i="6"/>
  <c r="F285" i="6"/>
  <c r="F254" i="6"/>
  <c r="F118" i="6"/>
  <c r="F83" i="6"/>
  <c r="F305" i="6"/>
  <c r="F294" i="6"/>
  <c r="F279" i="6"/>
  <c r="F197" i="6"/>
  <c r="F237" i="6"/>
  <c r="F67" i="6"/>
  <c r="F225" i="6"/>
  <c r="F150" i="6"/>
  <c r="F73" i="6"/>
  <c r="F296" i="6"/>
  <c r="F314" i="6"/>
  <c r="F88" i="6"/>
  <c r="F95" i="6"/>
  <c r="F213" i="6"/>
  <c r="F69" i="6"/>
  <c r="F302" i="6"/>
  <c r="F261" i="6"/>
  <c r="F214" i="6"/>
  <c r="F198" i="6"/>
  <c r="F282" i="6"/>
  <c r="F252" i="6"/>
  <c r="F52" i="6"/>
  <c r="F256" i="6"/>
  <c r="F267" i="6"/>
  <c r="F175" i="6"/>
  <c r="F121" i="6"/>
  <c r="F58" i="6"/>
  <c r="D11" i="6"/>
  <c r="D12" i="6" s="1"/>
  <c r="F66" i="6"/>
  <c r="F119" i="6"/>
  <c r="F309" i="6"/>
  <c r="F206" i="6"/>
  <c r="F138" i="6"/>
  <c r="F98" i="6"/>
  <c r="F284" i="6"/>
  <c r="F125" i="6"/>
  <c r="F71" i="6"/>
  <c r="F160" i="6"/>
  <c r="F301" i="6"/>
  <c r="F315" i="6"/>
  <c r="F133" i="6"/>
  <c r="F94" i="6"/>
  <c r="F303" i="6"/>
  <c r="F81" i="6"/>
  <c r="F251" i="6"/>
  <c r="F300" i="6"/>
  <c r="F210" i="6"/>
  <c r="F207" i="6"/>
  <c r="F151" i="6"/>
  <c r="F61" i="6"/>
  <c r="F142" i="6"/>
  <c r="F122" i="6"/>
  <c r="F105" i="6"/>
  <c r="F310" i="6"/>
  <c r="F189" i="6"/>
  <c r="F124" i="6"/>
  <c r="F70" i="6"/>
  <c r="F312" i="6"/>
  <c r="F217" i="6"/>
  <c r="F264" i="6"/>
  <c r="F203" i="6"/>
  <c r="F276" i="6"/>
  <c r="F45" i="6"/>
  <c r="F76" i="6"/>
  <c r="F334" i="6"/>
  <c r="F221" i="6"/>
  <c r="F141" i="6"/>
  <c r="F101" i="6"/>
  <c r="F266" i="6"/>
  <c r="F113" i="6"/>
  <c r="F140" i="6"/>
  <c r="F330" i="6"/>
  <c r="F340" i="6"/>
  <c r="F158" i="6"/>
  <c r="F79" i="6"/>
  <c r="F339" i="6"/>
  <c r="F249" i="6"/>
  <c r="F306" i="6"/>
  <c r="F270" i="6"/>
  <c r="F297" i="6"/>
  <c r="F262" i="6"/>
  <c r="F209" i="6"/>
  <c r="F242" i="6"/>
  <c r="F41" i="6"/>
  <c r="F168" i="6"/>
  <c r="F159" i="6"/>
  <c r="F317" i="6"/>
  <c r="F280" i="6"/>
  <c r="F232" i="6"/>
  <c r="F89" i="6"/>
  <c r="F228" i="6"/>
  <c r="F54" i="6"/>
  <c r="F152" i="6"/>
  <c r="F78" i="6"/>
  <c r="F292" i="6"/>
  <c r="F147" i="6"/>
  <c r="F87" i="6"/>
  <c r="H77" i="5"/>
  <c r="J40" i="3"/>
  <c r="J50" i="3"/>
  <c r="E18" i="6" l="1"/>
  <c r="G18" i="6"/>
  <c r="F18" i="6" s="1"/>
  <c r="H18" i="6" s="1"/>
  <c r="I18" i="6" s="1"/>
  <c r="D78" i="5"/>
  <c r="F78" i="5"/>
  <c r="G78" i="5" s="1"/>
  <c r="I36" i="4"/>
  <c r="I37" i="4" s="1"/>
  <c r="J37" i="4" s="1"/>
  <c r="J41" i="3" s="1"/>
  <c r="J53" i="3"/>
  <c r="J52" i="3"/>
  <c r="G19" i="6" l="1"/>
  <c r="F19" i="6" s="1"/>
  <c r="H19" i="6" s="1"/>
  <c r="E19" i="6"/>
  <c r="H78" i="5"/>
  <c r="I19" i="6" l="1"/>
  <c r="G20" i="6" s="1"/>
  <c r="F20" i="6" s="1"/>
  <c r="H20" i="6" s="1"/>
  <c r="D79" i="5"/>
  <c r="F79" i="5"/>
  <c r="G79" i="5" s="1"/>
  <c r="E20" i="6" l="1"/>
  <c r="I20" i="6" s="1"/>
  <c r="E21" i="6" s="1"/>
  <c r="H79" i="5"/>
  <c r="D80" i="5" s="1"/>
  <c r="G21" i="6" l="1"/>
  <c r="F21" i="6" s="1"/>
  <c r="H21" i="6" s="1"/>
  <c r="I21" i="6" s="1"/>
  <c r="F80" i="5"/>
  <c r="G80" i="5" s="1"/>
  <c r="H80" i="5" s="1"/>
  <c r="F81" i="5" l="1"/>
  <c r="G81" i="5" s="1"/>
  <c r="D81" i="5"/>
  <c r="E22" i="6"/>
  <c r="G22" i="6"/>
  <c r="F22" i="6" s="1"/>
  <c r="H22" i="6" s="1"/>
  <c r="H81" i="5" l="1"/>
  <c r="F82" i="5" s="1"/>
  <c r="G82" i="5" s="1"/>
  <c r="I22" i="6"/>
  <c r="D82" i="5" l="1"/>
  <c r="H82" i="5" s="1"/>
  <c r="D83" i="5" s="1"/>
  <c r="G23" i="6"/>
  <c r="F23" i="6" s="1"/>
  <c r="H23" i="6" s="1"/>
  <c r="E23" i="6"/>
  <c r="F83" i="5" l="1"/>
  <c r="G83" i="5" s="1"/>
  <c r="H83" i="5" s="1"/>
  <c r="D84" i="5" s="1"/>
  <c r="I23" i="6"/>
  <c r="E24" i="6" s="1"/>
  <c r="G24" i="6" l="1"/>
  <c r="F24" i="6" s="1"/>
  <c r="H24" i="6" s="1"/>
  <c r="I24" i="6" s="1"/>
  <c r="E25" i="6" s="1"/>
  <c r="F84" i="5"/>
  <c r="G84" i="5" s="1"/>
  <c r="H84" i="5" s="1"/>
  <c r="G25" i="6" l="1"/>
  <c r="F25" i="6" s="1"/>
  <c r="H25" i="6" s="1"/>
  <c r="I25" i="6" s="1"/>
  <c r="F85" i="5"/>
  <c r="G85" i="5" s="1"/>
  <c r="D85" i="5"/>
  <c r="H85" i="5" l="1"/>
  <c r="F86" i="5" s="1"/>
  <c r="G86" i="5" s="1"/>
  <c r="G26" i="6"/>
  <c r="F26" i="6" s="1"/>
  <c r="H26" i="6" s="1"/>
  <c r="E26" i="6"/>
  <c r="D86" i="5" l="1"/>
  <c r="H86" i="5" s="1"/>
  <c r="I26" i="6"/>
  <c r="G27" i="6" s="1"/>
  <c r="F27" i="6" s="1"/>
  <c r="H27" i="6" s="1"/>
  <c r="D87" i="5" l="1"/>
  <c r="F87" i="5"/>
  <c r="G87" i="5" s="1"/>
  <c r="E27" i="6"/>
  <c r="I27" i="6" s="1"/>
  <c r="H87" i="5" l="1"/>
  <c r="E28" i="6"/>
  <c r="G28" i="6"/>
  <c r="F28" i="6" s="1"/>
  <c r="H28" i="6" s="1"/>
  <c r="J28" i="6" s="1"/>
  <c r="F88" i="5"/>
  <c r="G88" i="5" s="1"/>
  <c r="I88" i="5" s="1"/>
  <c r="D88" i="5"/>
  <c r="I28" i="6" l="1"/>
  <c r="E29" i="6" s="1"/>
  <c r="H88" i="5"/>
  <c r="F89" i="5" s="1"/>
  <c r="G89" i="5" s="1"/>
  <c r="D89" i="5" l="1"/>
  <c r="H89" i="5" s="1"/>
  <c r="F90" i="5" s="1"/>
  <c r="G90" i="5" s="1"/>
  <c r="G29" i="6"/>
  <c r="F29" i="6" s="1"/>
  <c r="H29" i="6" s="1"/>
  <c r="I29" i="6" s="1"/>
  <c r="K47" i="3"/>
  <c r="K48" i="3" s="1"/>
  <c r="K40" i="3" s="1"/>
  <c r="D90" i="5" l="1"/>
  <c r="H90" i="5" s="1"/>
  <c r="D91" i="5" s="1"/>
  <c r="K50" i="3"/>
  <c r="K52" i="3" s="1"/>
  <c r="G30" i="6"/>
  <c r="F30" i="6" s="1"/>
  <c r="H30" i="6" s="1"/>
  <c r="E30" i="6"/>
  <c r="F91" i="5" l="1"/>
  <c r="G91" i="5" s="1"/>
  <c r="H91" i="5" s="1"/>
  <c r="J45" i="4"/>
  <c r="J46" i="4" s="1"/>
  <c r="K46" i="4" s="1"/>
  <c r="K41" i="3" s="1"/>
  <c r="K53" i="3"/>
  <c r="I30" i="6"/>
  <c r="G31" i="6" s="1"/>
  <c r="F31" i="6" s="1"/>
  <c r="H31" i="6" s="1"/>
  <c r="E31" i="6" l="1"/>
  <c r="I31" i="6" s="1"/>
  <c r="G32" i="6" s="1"/>
  <c r="F32" i="6" s="1"/>
  <c r="H32" i="6" s="1"/>
  <c r="D92" i="5"/>
  <c r="F92" i="5"/>
  <c r="G92" i="5" s="1"/>
  <c r="E32" i="6" l="1"/>
  <c r="I32" i="6" s="1"/>
  <c r="H92" i="5"/>
  <c r="G33" i="6" l="1"/>
  <c r="F33" i="6" s="1"/>
  <c r="H33" i="6" s="1"/>
  <c r="E33" i="6"/>
  <c r="F93" i="5"/>
  <c r="G93" i="5" s="1"/>
  <c r="D93" i="5"/>
  <c r="I33" i="6" l="1"/>
  <c r="G34" i="6" s="1"/>
  <c r="F34" i="6" s="1"/>
  <c r="H34" i="6" s="1"/>
  <c r="H93" i="5"/>
  <c r="F94" i="5" s="1"/>
  <c r="G94" i="5" s="1"/>
  <c r="E34" i="6" l="1"/>
  <c r="I34" i="6" s="1"/>
  <c r="E35" i="6" s="1"/>
  <c r="D94" i="5"/>
  <c r="H94" i="5" s="1"/>
  <c r="F95" i="5" s="1"/>
  <c r="G95" i="5" s="1"/>
  <c r="G35" i="6" l="1"/>
  <c r="F35" i="6" s="1"/>
  <c r="H35" i="6" s="1"/>
  <c r="I35" i="6" s="1"/>
  <c r="D95" i="5"/>
  <c r="H95" i="5" s="1"/>
  <c r="D96" i="5" s="1"/>
  <c r="F96" i="5" l="1"/>
  <c r="G96" i="5" s="1"/>
  <c r="H96" i="5" s="1"/>
  <c r="G36" i="6"/>
  <c r="F36" i="6" s="1"/>
  <c r="H36" i="6" s="1"/>
  <c r="E36" i="6"/>
  <c r="I36" i="6" l="1"/>
  <c r="E37" i="6" s="1"/>
  <c r="F97" i="5"/>
  <c r="G97" i="5" s="1"/>
  <c r="D97" i="5"/>
  <c r="G37" i="6" l="1"/>
  <c r="F37" i="6" s="1"/>
  <c r="H37" i="6" s="1"/>
  <c r="I37" i="6" s="1"/>
  <c r="E38" i="6" s="1"/>
  <c r="H97" i="5"/>
  <c r="D98" i="5" s="1"/>
  <c r="F98" i="5" l="1"/>
  <c r="G98" i="5" s="1"/>
  <c r="H98" i="5" s="1"/>
  <c r="G38" i="6"/>
  <c r="F38" i="6" s="1"/>
  <c r="H38" i="6" s="1"/>
  <c r="I38" i="6" s="1"/>
  <c r="G39" i="6" l="1"/>
  <c r="F39" i="6" s="1"/>
  <c r="H39" i="6" s="1"/>
  <c r="E39" i="6"/>
  <c r="D99" i="5"/>
  <c r="F99" i="5"/>
  <c r="G99" i="5" s="1"/>
  <c r="I39" i="6" l="1"/>
  <c r="G40" i="6" s="1"/>
  <c r="F40" i="6" s="1"/>
  <c r="H40" i="6" s="1"/>
  <c r="J40" i="6" s="1"/>
  <c r="H99" i="5"/>
  <c r="F100" i="5" s="1"/>
  <c r="G100" i="5" s="1"/>
  <c r="I100" i="5" s="1"/>
  <c r="E40" i="6" l="1"/>
  <c r="I40" i="6" s="1"/>
  <c r="D100" i="5"/>
  <c r="H100" i="5" s="1"/>
  <c r="E41" i="6" l="1"/>
  <c r="G41" i="6"/>
  <c r="H41" i="6" s="1"/>
  <c r="D101" i="5"/>
  <c r="L47" i="3"/>
  <c r="L48" i="3" s="1"/>
  <c r="F101" i="5"/>
  <c r="G101" i="5" s="1"/>
  <c r="L40" i="3" l="1"/>
  <c r="L50" i="3"/>
  <c r="H101" i="5"/>
  <c r="I41" i="6"/>
  <c r="E42" i="6" l="1"/>
  <c r="G42" i="6"/>
  <c r="H42" i="6" s="1"/>
  <c r="D102" i="5"/>
  <c r="F102" i="5"/>
  <c r="G102" i="5" s="1"/>
  <c r="L52" i="3"/>
  <c r="K54" i="4"/>
  <c r="K55" i="4" s="1"/>
  <c r="L55" i="4" s="1"/>
  <c r="L41" i="3" s="1"/>
  <c r="L53" i="3"/>
  <c r="H102" i="5" l="1"/>
  <c r="F103" i="5" s="1"/>
  <c r="G103" i="5" s="1"/>
  <c r="I42" i="6"/>
  <c r="D103" i="5" l="1"/>
  <c r="H103" i="5" s="1"/>
  <c r="F104" i="5" s="1"/>
  <c r="G104" i="5" s="1"/>
  <c r="E43" i="6"/>
  <c r="G43" i="6"/>
  <c r="H43" i="6" s="1"/>
  <c r="D104" i="5" l="1"/>
  <c r="H104" i="5" s="1"/>
  <c r="I43" i="6"/>
  <c r="D105" i="5" l="1"/>
  <c r="F105" i="5"/>
  <c r="G105" i="5" s="1"/>
  <c r="G44" i="6"/>
  <c r="H44" i="6" s="1"/>
  <c r="E44" i="6"/>
  <c r="H105" i="5" l="1"/>
  <c r="D106" i="5" s="1"/>
  <c r="I44" i="6"/>
  <c r="G45" i="6" s="1"/>
  <c r="H45" i="6" s="1"/>
  <c r="F106" i="5" l="1"/>
  <c r="G106" i="5" s="1"/>
  <c r="H106" i="5" s="1"/>
  <c r="D107" i="5" s="1"/>
  <c r="E45" i="6"/>
  <c r="I45" i="6" s="1"/>
  <c r="F107" i="5" l="1"/>
  <c r="G107" i="5" s="1"/>
  <c r="H107" i="5" s="1"/>
  <c r="D108" i="5" s="1"/>
  <c r="G46" i="6"/>
  <c r="H46" i="6" s="1"/>
  <c r="E46" i="6"/>
  <c r="F108" i="5" l="1"/>
  <c r="G108" i="5" s="1"/>
  <c r="H108" i="5" s="1"/>
  <c r="F109" i="5" s="1"/>
  <c r="G109" i="5" s="1"/>
  <c r="I46" i="6"/>
  <c r="E47" i="6" s="1"/>
  <c r="D109" i="5" l="1"/>
  <c r="H109" i="5" s="1"/>
  <c r="D110" i="5" s="1"/>
  <c r="G47" i="6"/>
  <c r="H47" i="6" s="1"/>
  <c r="I47" i="6" s="1"/>
  <c r="F110" i="5" l="1"/>
  <c r="G110" i="5" s="1"/>
  <c r="H110" i="5" s="1"/>
  <c r="G48" i="6"/>
  <c r="H48" i="6" s="1"/>
  <c r="E48" i="6"/>
  <c r="F111" i="5" l="1"/>
  <c r="G111" i="5" s="1"/>
  <c r="D111" i="5"/>
  <c r="I48" i="6"/>
  <c r="E49" i="6" s="1"/>
  <c r="G49" i="6" l="1"/>
  <c r="H49" i="6" s="1"/>
  <c r="I49" i="6" s="1"/>
  <c r="H111" i="5"/>
  <c r="F112" i="5" s="1"/>
  <c r="G112" i="5" s="1"/>
  <c r="I112" i="5" s="1"/>
  <c r="D112" i="5" l="1"/>
  <c r="H112" i="5" s="1"/>
  <c r="E50" i="6"/>
  <c r="G50" i="6"/>
  <c r="H50" i="6" s="1"/>
  <c r="F113" i="5" l="1"/>
  <c r="G113" i="5" s="1"/>
  <c r="D113" i="5"/>
  <c r="I50" i="6"/>
  <c r="H113" i="5" l="1"/>
  <c r="F114" i="5" s="1"/>
  <c r="G114" i="5" s="1"/>
  <c r="D114" i="5"/>
  <c r="H114" i="5" s="1"/>
  <c r="G51" i="6"/>
  <c r="H51" i="6" s="1"/>
  <c r="E51" i="6"/>
  <c r="F115" i="5" l="1"/>
  <c r="G115" i="5" s="1"/>
  <c r="D115" i="5"/>
  <c r="I51" i="6"/>
  <c r="G52" i="6" s="1"/>
  <c r="H52" i="6" s="1"/>
  <c r="J52" i="6" s="1"/>
  <c r="H115" i="5" l="1"/>
  <c r="F116" i="5" s="1"/>
  <c r="G116" i="5" s="1"/>
  <c r="E52" i="6"/>
  <c r="I52" i="6" s="1"/>
  <c r="G53" i="6" s="1"/>
  <c r="H53" i="6" s="1"/>
  <c r="D116" i="5"/>
  <c r="H116" i="5" l="1"/>
  <c r="F117" i="5" s="1"/>
  <c r="G117" i="5" s="1"/>
  <c r="D117" i="5"/>
  <c r="E53" i="6"/>
  <c r="I53" i="6" s="1"/>
  <c r="H117" i="5"/>
  <c r="D118" i="5" s="1"/>
  <c r="F118" i="5" l="1"/>
  <c r="G118" i="5" s="1"/>
  <c r="G54" i="6"/>
  <c r="H54" i="6" s="1"/>
  <c r="E54" i="6"/>
  <c r="H118" i="5"/>
  <c r="I54" i="6" l="1"/>
  <c r="F119" i="5"/>
  <c r="G119" i="5" s="1"/>
  <c r="D119" i="5"/>
  <c r="E55" i="6"/>
  <c r="G55" i="6"/>
  <c r="H55" i="6" s="1"/>
  <c r="H119" i="5" l="1"/>
  <c r="F120" i="5" s="1"/>
  <c r="G120" i="5" s="1"/>
  <c r="I55" i="6"/>
  <c r="E56" i="6" s="1"/>
  <c r="D120" i="5" l="1"/>
  <c r="H120" i="5" s="1"/>
  <c r="G56" i="6"/>
  <c r="H56" i="6" s="1"/>
  <c r="I56" i="6" s="1"/>
  <c r="G57" i="6" l="1"/>
  <c r="H57" i="6" s="1"/>
  <c r="E57" i="6"/>
  <c r="D121" i="5"/>
  <c r="F121" i="5"/>
  <c r="G121" i="5" s="1"/>
  <c r="I57" i="6" l="1"/>
  <c r="G58" i="6" s="1"/>
  <c r="H58" i="6" s="1"/>
  <c r="H121" i="5"/>
  <c r="D122" i="5" s="1"/>
  <c r="E58" i="6" l="1"/>
  <c r="F122" i="5"/>
  <c r="G122" i="5" s="1"/>
  <c r="H122" i="5" s="1"/>
  <c r="I58" i="6"/>
  <c r="D123" i="5" l="1"/>
  <c r="F123" i="5"/>
  <c r="G123" i="5" s="1"/>
  <c r="E59" i="6"/>
  <c r="G59" i="6"/>
  <c r="H59" i="6" s="1"/>
  <c r="I59" i="6" l="1"/>
  <c r="H123" i="5"/>
  <c r="D124" i="5" l="1"/>
  <c r="F124" i="5"/>
  <c r="G124" i="5" s="1"/>
  <c r="I124" i="5" s="1"/>
  <c r="G60" i="6"/>
  <c r="H60" i="6" s="1"/>
  <c r="E60" i="6"/>
  <c r="I60" i="6" l="1"/>
  <c r="H124" i="5"/>
  <c r="D125" i="5" l="1"/>
  <c r="F125" i="5"/>
  <c r="G125" i="5" s="1"/>
  <c r="G61" i="6"/>
  <c r="H61" i="6" s="1"/>
  <c r="E61" i="6"/>
  <c r="I61" i="6" l="1"/>
  <c r="G62" i="6" s="1"/>
  <c r="H62" i="6" s="1"/>
  <c r="E62" i="6"/>
  <c r="H125" i="5"/>
  <c r="I62" i="6" l="1"/>
  <c r="G63" i="6" s="1"/>
  <c r="H63" i="6" s="1"/>
  <c r="F126" i="5"/>
  <c r="G126" i="5" s="1"/>
  <c r="D126" i="5"/>
  <c r="E63" i="6" l="1"/>
  <c r="I63" i="6" s="1"/>
  <c r="G64" i="6" s="1"/>
  <c r="H64" i="6" s="1"/>
  <c r="J64" i="6" s="1"/>
  <c r="H126" i="5"/>
  <c r="D127" i="5" s="1"/>
  <c r="F127" i="5" l="1"/>
  <c r="G127" i="5" s="1"/>
  <c r="H127" i="5" s="1"/>
  <c r="E64" i="6"/>
  <c r="I64" i="6" s="1"/>
  <c r="G65" i="6" l="1"/>
  <c r="H65" i="6" s="1"/>
  <c r="E65" i="6"/>
  <c r="D128" i="5"/>
  <c r="F128" i="5"/>
  <c r="G128" i="5" s="1"/>
  <c r="I65" i="6" l="1"/>
  <c r="E66" i="6" s="1"/>
  <c r="H128" i="5"/>
  <c r="F129" i="5" s="1"/>
  <c r="G129" i="5" s="1"/>
  <c r="D129" i="5" l="1"/>
  <c r="H129" i="5" s="1"/>
  <c r="F130" i="5" s="1"/>
  <c r="G130" i="5" s="1"/>
  <c r="G66" i="6"/>
  <c r="H66" i="6" s="1"/>
  <c r="I66" i="6" s="1"/>
  <c r="D130" i="5" l="1"/>
  <c r="H130" i="5" s="1"/>
  <c r="D131" i="5" s="1"/>
  <c r="G67" i="6"/>
  <c r="H67" i="6" s="1"/>
  <c r="E67" i="6"/>
  <c r="I67" i="6" l="1"/>
  <c r="G68" i="6" s="1"/>
  <c r="H68" i="6" s="1"/>
  <c r="F131" i="5"/>
  <c r="G131" i="5" s="1"/>
  <c r="H131" i="5" s="1"/>
  <c r="E68" i="6" l="1"/>
  <c r="I68" i="6" s="1"/>
  <c r="G69" i="6" s="1"/>
  <c r="H69" i="6" s="1"/>
  <c r="F132" i="5"/>
  <c r="G132" i="5" s="1"/>
  <c r="D132" i="5"/>
  <c r="E69" i="6" l="1"/>
  <c r="I69" i="6" s="1"/>
  <c r="E70" i="6" s="1"/>
  <c r="H132" i="5"/>
  <c r="F133" i="5" s="1"/>
  <c r="G133" i="5" s="1"/>
  <c r="G70" i="6" l="1"/>
  <c r="H70" i="6" s="1"/>
  <c r="I70" i="6" s="1"/>
  <c r="G71" i="6" s="1"/>
  <c r="H71" i="6" s="1"/>
  <c r="D133" i="5"/>
  <c r="H133" i="5" s="1"/>
  <c r="F134" i="5" s="1"/>
  <c r="G134" i="5" s="1"/>
  <c r="E71" i="6" l="1"/>
  <c r="I71" i="6" s="1"/>
  <c r="E72" i="6" s="1"/>
  <c r="D134" i="5"/>
  <c r="H134" i="5" s="1"/>
  <c r="G72" i="6" l="1"/>
  <c r="H72" i="6" s="1"/>
  <c r="I72" i="6" s="1"/>
  <c r="F135" i="5"/>
  <c r="G135" i="5" s="1"/>
  <c r="D135" i="5"/>
  <c r="H135" i="5" l="1"/>
  <c r="G73" i="6"/>
  <c r="H73" i="6" s="1"/>
  <c r="E73" i="6"/>
  <c r="F136" i="5" l="1"/>
  <c r="G136" i="5" s="1"/>
  <c r="I136" i="5" s="1"/>
  <c r="D136" i="5"/>
  <c r="I73" i="6"/>
  <c r="G74" i="6" s="1"/>
  <c r="H74" i="6" s="1"/>
  <c r="H136" i="5" l="1"/>
  <c r="F137" i="5" s="1"/>
  <c r="G137" i="5" s="1"/>
  <c r="E74" i="6"/>
  <c r="I74" i="6" s="1"/>
  <c r="E75" i="6" s="1"/>
  <c r="D137" i="5"/>
  <c r="H137" i="5" l="1"/>
  <c r="F138" i="5" s="1"/>
  <c r="G138" i="5" s="1"/>
  <c r="G75" i="6"/>
  <c r="H75" i="6" s="1"/>
  <c r="I75" i="6" s="1"/>
  <c r="E76" i="6" s="1"/>
  <c r="D138" i="5" l="1"/>
  <c r="H138" i="5" s="1"/>
  <c r="F139" i="5" s="1"/>
  <c r="G139" i="5" s="1"/>
  <c r="G76" i="6"/>
  <c r="H76" i="6" s="1"/>
  <c r="J76" i="6" s="1"/>
  <c r="D139" i="5"/>
  <c r="H139" i="5" l="1"/>
  <c r="F140" i="5" s="1"/>
  <c r="G140" i="5" s="1"/>
  <c r="I76" i="6"/>
  <c r="E77" i="6" s="1"/>
  <c r="D140" i="5"/>
  <c r="H140" i="5" s="1"/>
  <c r="G77" i="6" l="1"/>
  <c r="H77" i="6" s="1"/>
  <c r="I77" i="6" s="1"/>
  <c r="E78" i="6" s="1"/>
  <c r="F141" i="5"/>
  <c r="G141" i="5" s="1"/>
  <c r="D141" i="5"/>
  <c r="G78" i="6" l="1"/>
  <c r="H78" i="6" s="1"/>
  <c r="I78" i="6" s="1"/>
  <c r="E79" i="6" s="1"/>
  <c r="H141" i="5"/>
  <c r="D142" i="5" s="1"/>
  <c r="G79" i="6" l="1"/>
  <c r="H79" i="6" s="1"/>
  <c r="I79" i="6" s="1"/>
  <c r="E80" i="6" s="1"/>
  <c r="F142" i="5"/>
  <c r="G142" i="5" s="1"/>
  <c r="H142" i="5" s="1"/>
  <c r="D143" i="5" s="1"/>
  <c r="G80" i="6" l="1"/>
  <c r="H80" i="6" s="1"/>
  <c r="I80" i="6" s="1"/>
  <c r="F143" i="5"/>
  <c r="G143" i="5" s="1"/>
  <c r="H143" i="5" s="1"/>
  <c r="D144" i="5" s="1"/>
  <c r="E81" i="6" l="1"/>
  <c r="G81" i="6"/>
  <c r="H81" i="6" s="1"/>
  <c r="F144" i="5"/>
  <c r="G144" i="5" s="1"/>
  <c r="H144" i="5" s="1"/>
  <c r="F145" i="5" s="1"/>
  <c r="G145" i="5" s="1"/>
  <c r="I81" i="6" l="1"/>
  <c r="D145" i="5"/>
  <c r="H145" i="5" s="1"/>
  <c r="F146" i="5" s="1"/>
  <c r="G146" i="5" s="1"/>
  <c r="G82" i="6" l="1"/>
  <c r="H82" i="6" s="1"/>
  <c r="E82" i="6"/>
  <c r="D146" i="5"/>
  <c r="H146" i="5" s="1"/>
  <c r="I82" i="6" l="1"/>
  <c r="E83" i="6" s="1"/>
  <c r="D147" i="5"/>
  <c r="F147" i="5"/>
  <c r="G147" i="5" s="1"/>
  <c r="G83" i="6" l="1"/>
  <c r="H83" i="6" s="1"/>
  <c r="I83" i="6" s="1"/>
  <c r="E84" i="6" s="1"/>
  <c r="H147" i="5"/>
  <c r="G84" i="6" l="1"/>
  <c r="H84" i="6" s="1"/>
  <c r="I84" i="6" s="1"/>
  <c r="D148" i="5"/>
  <c r="F148" i="5"/>
  <c r="G148" i="5" s="1"/>
  <c r="I148" i="5" s="1"/>
  <c r="G85" i="6" l="1"/>
  <c r="H85" i="6" s="1"/>
  <c r="E85" i="6"/>
  <c r="H148" i="5"/>
  <c r="I85" i="6" l="1"/>
  <c r="G86" i="6" s="1"/>
  <c r="H86" i="6" s="1"/>
  <c r="D149" i="5"/>
  <c r="F149" i="5"/>
  <c r="G149" i="5" s="1"/>
  <c r="E86" i="6" l="1"/>
  <c r="I86" i="6" s="1"/>
  <c r="G87" i="6" s="1"/>
  <c r="H87" i="6" s="1"/>
  <c r="H149" i="5"/>
  <c r="E87" i="6" l="1"/>
  <c r="I87" i="6" s="1"/>
  <c r="G88" i="6" s="1"/>
  <c r="H88" i="6" s="1"/>
  <c r="J88" i="6" s="1"/>
  <c r="D150" i="5"/>
  <c r="F150" i="5"/>
  <c r="G150" i="5" s="1"/>
  <c r="E88" i="6" l="1"/>
  <c r="I88" i="6" s="1"/>
  <c r="H150" i="5"/>
  <c r="E89" i="6" l="1"/>
  <c r="G89" i="6"/>
  <c r="H89" i="6" s="1"/>
  <c r="F151" i="5"/>
  <c r="G151" i="5" s="1"/>
  <c r="D151" i="5"/>
  <c r="I89" i="6" l="1"/>
  <c r="G90" i="6" s="1"/>
  <c r="H90" i="6" s="1"/>
  <c r="H151" i="5"/>
  <c r="F152" i="5" s="1"/>
  <c r="G152" i="5" s="1"/>
  <c r="E90" i="6" l="1"/>
  <c r="I90" i="6" s="1"/>
  <c r="D152" i="5"/>
  <c r="H152" i="5" s="1"/>
  <c r="E91" i="6" l="1"/>
  <c r="G91" i="6"/>
  <c r="H91" i="6" s="1"/>
  <c r="D153" i="5"/>
  <c r="F153" i="5"/>
  <c r="G153" i="5" s="1"/>
  <c r="I91" i="6" l="1"/>
  <c r="H153" i="5"/>
  <c r="D154" i="5" s="1"/>
  <c r="G92" i="6" l="1"/>
  <c r="H92" i="6" s="1"/>
  <c r="E92" i="6"/>
  <c r="F154" i="5"/>
  <c r="G154" i="5" s="1"/>
  <c r="H154" i="5" s="1"/>
  <c r="F155" i="5" s="1"/>
  <c r="G155" i="5" s="1"/>
  <c r="I92" i="6" l="1"/>
  <c r="E93" i="6" s="1"/>
  <c r="D155" i="5"/>
  <c r="H155" i="5" s="1"/>
  <c r="G93" i="6" l="1"/>
  <c r="H93" i="6" s="1"/>
  <c r="I93" i="6" s="1"/>
  <c r="F156" i="5"/>
  <c r="G156" i="5" s="1"/>
  <c r="D156" i="5"/>
  <c r="E94" i="6" l="1"/>
  <c r="G94" i="6"/>
  <c r="H94" i="6" s="1"/>
  <c r="H156" i="5"/>
  <c r="D157" i="5" s="1"/>
  <c r="I94" i="6" l="1"/>
  <c r="F157" i="5"/>
  <c r="G157" i="5" s="1"/>
  <c r="H157" i="5" s="1"/>
  <c r="D158" i="5" s="1"/>
  <c r="E95" i="6" l="1"/>
  <c r="G95" i="6"/>
  <c r="H95" i="6" s="1"/>
  <c r="F158" i="5"/>
  <c r="G158" i="5" s="1"/>
  <c r="H158" i="5" s="1"/>
  <c r="I95" i="6" l="1"/>
  <c r="F159" i="5"/>
  <c r="G159" i="5" s="1"/>
  <c r="D159" i="5"/>
  <c r="H159" i="5" l="1"/>
  <c r="F160" i="5" s="1"/>
  <c r="G160" i="5" s="1"/>
  <c r="I160" i="5" s="1"/>
  <c r="G96" i="6"/>
  <c r="H96" i="6" s="1"/>
  <c r="E96" i="6"/>
  <c r="D160" i="5"/>
  <c r="H160" i="5" s="1"/>
  <c r="I96" i="6" l="1"/>
  <c r="G97" i="6" s="1"/>
  <c r="H97" i="6" s="1"/>
  <c r="F161" i="5"/>
  <c r="G161" i="5" s="1"/>
  <c r="D161" i="5"/>
  <c r="E97" i="6" l="1"/>
  <c r="I97" i="6" s="1"/>
  <c r="G98" i="6" s="1"/>
  <c r="H98" i="6" s="1"/>
  <c r="H161" i="5"/>
  <c r="F162" i="5" s="1"/>
  <c r="G162" i="5" s="1"/>
  <c r="E98" i="6" l="1"/>
  <c r="I98" i="6" s="1"/>
  <c r="D162" i="5"/>
  <c r="H162" i="5" s="1"/>
  <c r="F163" i="5" s="1"/>
  <c r="G163" i="5" s="1"/>
  <c r="G99" i="6" l="1"/>
  <c r="H99" i="6" s="1"/>
  <c r="E99" i="6"/>
  <c r="D163" i="5"/>
  <c r="H163" i="5" s="1"/>
  <c r="F164" i="5" s="1"/>
  <c r="G164" i="5" s="1"/>
  <c r="I99" i="6" l="1"/>
  <c r="D164" i="5"/>
  <c r="H164" i="5" s="1"/>
  <c r="D165" i="5" s="1"/>
  <c r="G100" i="6" l="1"/>
  <c r="H100" i="6" s="1"/>
  <c r="J100" i="6" s="1"/>
  <c r="E100" i="6"/>
  <c r="F165" i="5"/>
  <c r="G165" i="5" s="1"/>
  <c r="H165" i="5" s="1"/>
  <c r="F166" i="5" s="1"/>
  <c r="G166" i="5" s="1"/>
  <c r="I100" i="6" l="1"/>
  <c r="E101" i="6" s="1"/>
  <c r="D166" i="5"/>
  <c r="H166" i="5" s="1"/>
  <c r="G101" i="6" l="1"/>
  <c r="H101" i="6" s="1"/>
  <c r="I101" i="6" s="1"/>
  <c r="D167" i="5"/>
  <c r="F167" i="5"/>
  <c r="G167" i="5" s="1"/>
  <c r="E102" i="6" l="1"/>
  <c r="G102" i="6"/>
  <c r="H102" i="6" s="1"/>
  <c r="H167" i="5"/>
  <c r="I102" i="6" l="1"/>
  <c r="E103" i="6"/>
  <c r="G103" i="6"/>
  <c r="H103" i="6" s="1"/>
  <c r="F168" i="5"/>
  <c r="G168" i="5" s="1"/>
  <c r="D168" i="5"/>
  <c r="I103" i="6" l="1"/>
  <c r="H168" i="5"/>
  <c r="F169" i="5" s="1"/>
  <c r="G169" i="5" s="1"/>
  <c r="G104" i="6" l="1"/>
  <c r="H104" i="6" s="1"/>
  <c r="E104" i="6"/>
  <c r="D169" i="5"/>
  <c r="H169" i="5" s="1"/>
  <c r="F170" i="5" s="1"/>
  <c r="G170" i="5" s="1"/>
  <c r="I104" i="6" l="1"/>
  <c r="E105" i="6" s="1"/>
  <c r="D170" i="5"/>
  <c r="H170" i="5" s="1"/>
  <c r="G105" i="6" l="1"/>
  <c r="H105" i="6" s="1"/>
  <c r="I105" i="6" s="1"/>
  <c r="G106" i="6" s="1"/>
  <c r="H106" i="6" s="1"/>
  <c r="D171" i="5"/>
  <c r="F171" i="5"/>
  <c r="G171" i="5" s="1"/>
  <c r="E106" i="6" l="1"/>
  <c r="I106" i="6" s="1"/>
  <c r="E107" i="6" s="1"/>
  <c r="H171" i="5"/>
  <c r="G107" i="6" l="1"/>
  <c r="H107" i="6" s="1"/>
  <c r="I107" i="6" s="1"/>
  <c r="G108" i="6" s="1"/>
  <c r="H108" i="6" s="1"/>
  <c r="D172" i="5"/>
  <c r="F172" i="5"/>
  <c r="G172" i="5" s="1"/>
  <c r="I172" i="5" s="1"/>
  <c r="E108" i="6" l="1"/>
  <c r="I108" i="6" s="1"/>
  <c r="G109" i="6" s="1"/>
  <c r="H109" i="6" s="1"/>
  <c r="H172" i="5"/>
  <c r="E109" i="6" l="1"/>
  <c r="I109" i="6" s="1"/>
  <c r="G110" i="6" s="1"/>
  <c r="H110" i="6" s="1"/>
  <c r="F173" i="5"/>
  <c r="G173" i="5" s="1"/>
  <c r="D173" i="5"/>
  <c r="E110" i="6" l="1"/>
  <c r="I110" i="6" s="1"/>
  <c r="G111" i="6" s="1"/>
  <c r="H111" i="6" s="1"/>
  <c r="H173" i="5"/>
  <c r="D174" i="5" s="1"/>
  <c r="E111" i="6" l="1"/>
  <c r="I111" i="6" s="1"/>
  <c r="G112" i="6" s="1"/>
  <c r="H112" i="6" s="1"/>
  <c r="J112" i="6" s="1"/>
  <c r="F174" i="5"/>
  <c r="G174" i="5" s="1"/>
  <c r="H174" i="5" s="1"/>
  <c r="E112" i="6" l="1"/>
  <c r="I112" i="6" s="1"/>
  <c r="D175" i="5"/>
  <c r="F175" i="5"/>
  <c r="G175" i="5" s="1"/>
  <c r="E113" i="6" l="1"/>
  <c r="G113" i="6"/>
  <c r="H113" i="6" s="1"/>
  <c r="H175" i="5"/>
  <c r="F176" i="5" s="1"/>
  <c r="G176" i="5" s="1"/>
  <c r="I113" i="6" l="1"/>
  <c r="D176" i="5"/>
  <c r="H176" i="5" s="1"/>
  <c r="G114" i="6" l="1"/>
  <c r="H114" i="6" s="1"/>
  <c r="E114" i="6"/>
  <c r="D177" i="5"/>
  <c r="F177" i="5"/>
  <c r="G177" i="5" s="1"/>
  <c r="I114" i="6" l="1"/>
  <c r="H177" i="5"/>
  <c r="D178" i="5" s="1"/>
  <c r="G115" i="6" l="1"/>
  <c r="H115" i="6" s="1"/>
  <c r="E115" i="6"/>
  <c r="F178" i="5"/>
  <c r="G178" i="5" s="1"/>
  <c r="H178" i="5" s="1"/>
  <c r="I115" i="6" l="1"/>
  <c r="E116" i="6" s="1"/>
  <c r="F179" i="5"/>
  <c r="G179" i="5" s="1"/>
  <c r="D179" i="5"/>
  <c r="G116" i="6" l="1"/>
  <c r="H116" i="6" s="1"/>
  <c r="I116" i="6" s="1"/>
  <c r="E117" i="6" s="1"/>
  <c r="H179" i="5"/>
  <c r="D180" i="5" s="1"/>
  <c r="G117" i="6" l="1"/>
  <c r="H117" i="6" s="1"/>
  <c r="F180" i="5"/>
  <c r="G180" i="5" s="1"/>
  <c r="H180" i="5" s="1"/>
  <c r="I117" i="6"/>
  <c r="G118" i="6" s="1"/>
  <c r="H118" i="6" s="1"/>
  <c r="E118" i="6" l="1"/>
  <c r="I118" i="6" s="1"/>
  <c r="F181" i="5"/>
  <c r="G181" i="5" s="1"/>
  <c r="D181" i="5"/>
  <c r="E119" i="6" l="1"/>
  <c r="G119" i="6"/>
  <c r="H119" i="6" s="1"/>
  <c r="H181" i="5"/>
  <c r="F182" i="5" s="1"/>
  <c r="G182" i="5" s="1"/>
  <c r="I119" i="6" l="1"/>
  <c r="E120" i="6" s="1"/>
  <c r="D182" i="5"/>
  <c r="H182" i="5" s="1"/>
  <c r="D183" i="5" s="1"/>
  <c r="G120" i="6" l="1"/>
  <c r="H120" i="6" s="1"/>
  <c r="I120" i="6" s="1"/>
  <c r="G121" i="6" s="1"/>
  <c r="H121" i="6" s="1"/>
  <c r="F183" i="5"/>
  <c r="G183" i="5" s="1"/>
  <c r="H183" i="5" s="1"/>
  <c r="E121" i="6" l="1"/>
  <c r="I121" i="6" s="1"/>
  <c r="D184" i="5"/>
  <c r="F184" i="5"/>
  <c r="G184" i="5" s="1"/>
  <c r="I184" i="5" s="1"/>
  <c r="E122" i="6" l="1"/>
  <c r="G122" i="6"/>
  <c r="H122" i="6" s="1"/>
  <c r="H184" i="5"/>
  <c r="I122" i="6" l="1"/>
  <c r="G123" i="6" s="1"/>
  <c r="H123" i="6" s="1"/>
  <c r="D185" i="5"/>
  <c r="F185" i="5"/>
  <c r="G185" i="5" s="1"/>
  <c r="E123" i="6" l="1"/>
  <c r="I123" i="6" s="1"/>
  <c r="E124" i="6" s="1"/>
  <c r="H185" i="5"/>
  <c r="G124" i="6" l="1"/>
  <c r="H124" i="6" s="1"/>
  <c r="J124" i="6" s="1"/>
  <c r="D186" i="5"/>
  <c r="F186" i="5"/>
  <c r="G186" i="5" s="1"/>
  <c r="I124" i="6" l="1"/>
  <c r="E125" i="6" s="1"/>
  <c r="H186" i="5"/>
  <c r="G125" i="6" l="1"/>
  <c r="H125" i="6" s="1"/>
  <c r="I125" i="6" s="1"/>
  <c r="E126" i="6" s="1"/>
  <c r="D187" i="5"/>
  <c r="F187" i="5"/>
  <c r="G187" i="5" s="1"/>
  <c r="G126" i="6" l="1"/>
  <c r="H126" i="6" s="1"/>
  <c r="I126" i="6" s="1"/>
  <c r="E127" i="6" s="1"/>
  <c r="H187" i="5"/>
  <c r="G127" i="6" l="1"/>
  <c r="H127" i="6" s="1"/>
  <c r="I127" i="6" s="1"/>
  <c r="G128" i="6" s="1"/>
  <c r="H128" i="6" s="1"/>
  <c r="D188" i="5"/>
  <c r="F188" i="5"/>
  <c r="G188" i="5" s="1"/>
  <c r="E128" i="6" l="1"/>
  <c r="I128" i="6" s="1"/>
  <c r="G129" i="6" s="1"/>
  <c r="H129" i="6" s="1"/>
  <c r="H188" i="5"/>
  <c r="E129" i="6" l="1"/>
  <c r="I129" i="6" s="1"/>
  <c r="F189" i="5"/>
  <c r="G189" i="5" s="1"/>
  <c r="D189" i="5"/>
  <c r="G130" i="6" l="1"/>
  <c r="H130" i="6" s="1"/>
  <c r="E130" i="6"/>
  <c r="H189" i="5"/>
  <c r="F190" i="5" s="1"/>
  <c r="G190" i="5" s="1"/>
  <c r="D190" i="5" l="1"/>
  <c r="H190" i="5" s="1"/>
  <c r="F191" i="5" s="1"/>
  <c r="G191" i="5" s="1"/>
  <c r="I130" i="6"/>
  <c r="E131" i="6" s="1"/>
  <c r="G131" i="6" l="1"/>
  <c r="H131" i="6" s="1"/>
  <c r="I131" i="6" s="1"/>
  <c r="D191" i="5"/>
  <c r="H191" i="5" s="1"/>
  <c r="G132" i="6" l="1"/>
  <c r="H132" i="6" s="1"/>
  <c r="E132" i="6"/>
  <c r="D192" i="5"/>
  <c r="F192" i="5"/>
  <c r="G192" i="5" s="1"/>
  <c r="I132" i="6" l="1"/>
  <c r="E133" i="6" s="1"/>
  <c r="H192" i="5"/>
  <c r="D193" i="5" s="1"/>
  <c r="F193" i="5" l="1"/>
  <c r="G193" i="5" s="1"/>
  <c r="H193" i="5" s="1"/>
  <c r="G133" i="6"/>
  <c r="H133" i="6" s="1"/>
  <c r="I133" i="6" s="1"/>
  <c r="E134" i="6" l="1"/>
  <c r="G134" i="6"/>
  <c r="H134" i="6" s="1"/>
  <c r="D194" i="5"/>
  <c r="F194" i="5"/>
  <c r="G194" i="5" s="1"/>
  <c r="H194" i="5" l="1"/>
  <c r="I134" i="6"/>
  <c r="G135" i="6" l="1"/>
  <c r="H135" i="6" s="1"/>
  <c r="E135" i="6"/>
  <c r="F195" i="5"/>
  <c r="G195" i="5" s="1"/>
  <c r="D195" i="5"/>
  <c r="I135" i="6" l="1"/>
  <c r="G136" i="6" s="1"/>
  <c r="H136" i="6" s="1"/>
  <c r="J136" i="6" s="1"/>
  <c r="H195" i="5"/>
  <c r="E136" i="6" l="1"/>
  <c r="I136" i="6" s="1"/>
  <c r="E137" i="6" s="1"/>
  <c r="F196" i="5"/>
  <c r="G196" i="5" s="1"/>
  <c r="I196" i="5" s="1"/>
  <c r="D196" i="5"/>
  <c r="G137" i="6" l="1"/>
  <c r="H137" i="6" s="1"/>
  <c r="I137" i="6" s="1"/>
  <c r="H196" i="5"/>
  <c r="F197" i="5" s="1"/>
  <c r="G197" i="5" s="1"/>
  <c r="D197" i="5" l="1"/>
  <c r="H197" i="5" s="1"/>
  <c r="G138" i="6"/>
  <c r="H138" i="6" s="1"/>
  <c r="E138" i="6"/>
  <c r="I138" i="6" l="1"/>
  <c r="E139" i="6" s="1"/>
  <c r="D198" i="5"/>
  <c r="F198" i="5"/>
  <c r="G198" i="5" s="1"/>
  <c r="G139" i="6" l="1"/>
  <c r="H139" i="6" s="1"/>
  <c r="I139" i="6" s="1"/>
  <c r="H198" i="5"/>
  <c r="F199" i="5" l="1"/>
  <c r="G199" i="5" s="1"/>
  <c r="D199" i="5"/>
  <c r="E140" i="6"/>
  <c r="G140" i="6"/>
  <c r="H140" i="6" s="1"/>
  <c r="H199" i="5" l="1"/>
  <c r="F200" i="5" s="1"/>
  <c r="G200" i="5" s="1"/>
  <c r="I140" i="6"/>
  <c r="D200" i="5" l="1"/>
  <c r="H200" i="5" s="1"/>
  <c r="F201" i="5" s="1"/>
  <c r="G201" i="5" s="1"/>
  <c r="E141" i="6"/>
  <c r="G141" i="6"/>
  <c r="H141" i="6" s="1"/>
  <c r="D201" i="5" l="1"/>
  <c r="H201" i="5" s="1"/>
  <c r="D202" i="5" s="1"/>
  <c r="I141" i="6"/>
  <c r="F202" i="5" l="1"/>
  <c r="G202" i="5" s="1"/>
  <c r="H202" i="5" s="1"/>
  <c r="D203" i="5" s="1"/>
  <c r="G142" i="6"/>
  <c r="H142" i="6" s="1"/>
  <c r="E142" i="6"/>
  <c r="F203" i="5" l="1"/>
  <c r="G203" i="5" s="1"/>
  <c r="H203" i="5" s="1"/>
  <c r="I142" i="6"/>
  <c r="E143" i="6" s="1"/>
  <c r="G143" i="6" l="1"/>
  <c r="H143" i="6" s="1"/>
  <c r="I143" i="6" s="1"/>
  <c r="D204" i="5"/>
  <c r="F204" i="5"/>
  <c r="G204" i="5" s="1"/>
  <c r="G144" i="6" l="1"/>
  <c r="H144" i="6" s="1"/>
  <c r="E144" i="6"/>
  <c r="H204" i="5"/>
  <c r="I144" i="6" l="1"/>
  <c r="G145" i="6" s="1"/>
  <c r="H145" i="6" s="1"/>
  <c r="F205" i="5"/>
  <c r="G205" i="5" s="1"/>
  <c r="D205" i="5"/>
  <c r="E145" i="6"/>
  <c r="H205" i="5" l="1"/>
  <c r="D206" i="5" s="1"/>
  <c r="I145" i="6"/>
  <c r="E146" i="6" s="1"/>
  <c r="F206" i="5" l="1"/>
  <c r="G206" i="5" s="1"/>
  <c r="H206" i="5" s="1"/>
  <c r="D207" i="5" s="1"/>
  <c r="G146" i="6"/>
  <c r="H146" i="6" s="1"/>
  <c r="I146" i="6" s="1"/>
  <c r="F207" i="5" l="1"/>
  <c r="G207" i="5" s="1"/>
  <c r="H207" i="5" s="1"/>
  <c r="E147" i="6"/>
  <c r="G147" i="6"/>
  <c r="H147" i="6" s="1"/>
  <c r="D208" i="5" l="1"/>
  <c r="F208" i="5"/>
  <c r="G208" i="5" s="1"/>
  <c r="I208" i="5" s="1"/>
  <c r="I147" i="6"/>
  <c r="G148" i="6" l="1"/>
  <c r="H148" i="6" s="1"/>
  <c r="J148" i="6" s="1"/>
  <c r="E148" i="6"/>
  <c r="H208" i="5"/>
  <c r="I148" i="6" l="1"/>
  <c r="E149" i="6" s="1"/>
  <c r="F209" i="5"/>
  <c r="G209" i="5" s="1"/>
  <c r="D209" i="5"/>
  <c r="G149" i="6" l="1"/>
  <c r="H149" i="6" s="1"/>
  <c r="I149" i="6" s="1"/>
  <c r="H209" i="5"/>
  <c r="D210" i="5" s="1"/>
  <c r="F210" i="5" l="1"/>
  <c r="G210" i="5" s="1"/>
  <c r="H210" i="5" s="1"/>
  <c r="E150" i="6"/>
  <c r="G150" i="6"/>
  <c r="H150" i="6" s="1"/>
  <c r="I150" i="6" l="1"/>
  <c r="F211" i="5"/>
  <c r="G211" i="5" s="1"/>
  <c r="D211" i="5"/>
  <c r="H211" i="5" l="1"/>
  <c r="F212" i="5" s="1"/>
  <c r="G212" i="5" s="1"/>
  <c r="G151" i="6"/>
  <c r="H151" i="6" s="1"/>
  <c r="E151" i="6"/>
  <c r="D212" i="5" l="1"/>
  <c r="H212" i="5" s="1"/>
  <c r="I151" i="6"/>
  <c r="E152" i="6" s="1"/>
  <c r="G152" i="6" l="1"/>
  <c r="H152" i="6" s="1"/>
  <c r="I152" i="6" s="1"/>
  <c r="D213" i="5"/>
  <c r="F213" i="5"/>
  <c r="G213" i="5" s="1"/>
  <c r="H213" i="5" l="1"/>
  <c r="D214" i="5" s="1"/>
  <c r="G153" i="6"/>
  <c r="H153" i="6" s="1"/>
  <c r="E153" i="6"/>
  <c r="F214" i="5" l="1"/>
  <c r="G214" i="5" s="1"/>
  <c r="H214" i="5" s="1"/>
  <c r="I153" i="6"/>
  <c r="E154" i="6" s="1"/>
  <c r="G154" i="6" l="1"/>
  <c r="H154" i="6" s="1"/>
  <c r="I154" i="6" s="1"/>
  <c r="F215" i="5"/>
  <c r="G215" i="5" s="1"/>
  <c r="D215" i="5"/>
  <c r="H215" i="5" l="1"/>
  <c r="F216" i="5" s="1"/>
  <c r="G216" i="5" s="1"/>
  <c r="G155" i="6"/>
  <c r="H155" i="6" s="1"/>
  <c r="E155" i="6"/>
  <c r="I155" i="6" l="1"/>
  <c r="E156" i="6" s="1"/>
  <c r="D216" i="5"/>
  <c r="H216" i="5" s="1"/>
  <c r="F217" i="5" s="1"/>
  <c r="G217" i="5" s="1"/>
  <c r="G156" i="6" l="1"/>
  <c r="H156" i="6" s="1"/>
  <c r="I156" i="6" s="1"/>
  <c r="D217" i="5"/>
  <c r="H217" i="5" s="1"/>
  <c r="D218" i="5" l="1"/>
  <c r="F218" i="5"/>
  <c r="G218" i="5" s="1"/>
  <c r="E157" i="6"/>
  <c r="G157" i="6"/>
  <c r="H157" i="6" s="1"/>
  <c r="H218" i="5" l="1"/>
  <c r="D219" i="5" s="1"/>
  <c r="I157" i="6"/>
  <c r="F219" i="5" l="1"/>
  <c r="G219" i="5" s="1"/>
  <c r="H219" i="5" s="1"/>
  <c r="E158" i="6"/>
  <c r="G158" i="6"/>
  <c r="H158" i="6" s="1"/>
  <c r="I158" i="6" l="1"/>
  <c r="D220" i="5"/>
  <c r="F220" i="5"/>
  <c r="G220" i="5" s="1"/>
  <c r="I220" i="5" s="1"/>
  <c r="H220" i="5" l="1"/>
  <c r="E159" i="6"/>
  <c r="G159" i="6"/>
  <c r="H159" i="6" s="1"/>
  <c r="I159" i="6" l="1"/>
  <c r="D221" i="5"/>
  <c r="F221" i="5"/>
  <c r="G221" i="5" s="1"/>
  <c r="H221" i="5" l="1"/>
  <c r="G160" i="6"/>
  <c r="H160" i="6" s="1"/>
  <c r="E160" i="6"/>
  <c r="I160" i="6" l="1"/>
  <c r="E161" i="6" s="1"/>
  <c r="D222" i="5"/>
  <c r="F222" i="5"/>
  <c r="G222" i="5" s="1"/>
  <c r="G161" i="6" l="1"/>
  <c r="H161" i="6" s="1"/>
  <c r="I161" i="6" s="1"/>
  <c r="G162" i="6" s="1"/>
  <c r="H162" i="6" s="1"/>
  <c r="H222" i="5"/>
  <c r="E162" i="6" l="1"/>
  <c r="I162" i="6" s="1"/>
  <c r="E163" i="6" s="1"/>
  <c r="F223" i="5"/>
  <c r="G223" i="5" s="1"/>
  <c r="D223" i="5"/>
  <c r="G163" i="6" l="1"/>
  <c r="H163" i="6" s="1"/>
  <c r="H223" i="5"/>
  <c r="D224" i="5" s="1"/>
  <c r="I163" i="6"/>
  <c r="F224" i="5" l="1"/>
  <c r="G224" i="5" s="1"/>
  <c r="H224" i="5" s="1"/>
  <c r="G164" i="6"/>
  <c r="H164" i="6" s="1"/>
  <c r="E164" i="6"/>
  <c r="F225" i="5" l="1"/>
  <c r="G225" i="5" s="1"/>
  <c r="D225" i="5"/>
  <c r="I164" i="6"/>
  <c r="G165" i="6" s="1"/>
  <c r="H165" i="6" s="1"/>
  <c r="H225" i="5" l="1"/>
  <c r="D226" i="5" s="1"/>
  <c r="E165" i="6"/>
  <c r="I165" i="6" s="1"/>
  <c r="F226" i="5" l="1"/>
  <c r="G226" i="5" s="1"/>
  <c r="H226" i="5" s="1"/>
  <c r="D227" i="5" s="1"/>
  <c r="G166" i="6"/>
  <c r="H166" i="6" s="1"/>
  <c r="E166" i="6"/>
  <c r="F227" i="5" l="1"/>
  <c r="G227" i="5" s="1"/>
  <c r="H227" i="5" s="1"/>
  <c r="I166" i="6"/>
  <c r="E167" i="6" s="1"/>
  <c r="G167" i="6" l="1"/>
  <c r="H167" i="6" s="1"/>
  <c r="I167" i="6" s="1"/>
  <c r="F228" i="5"/>
  <c r="G228" i="5" s="1"/>
  <c r="D228" i="5"/>
  <c r="H228" i="5" l="1"/>
  <c r="F229" i="5" s="1"/>
  <c r="G229" i="5" s="1"/>
  <c r="E168" i="6"/>
  <c r="G168" i="6"/>
  <c r="H168" i="6" s="1"/>
  <c r="D229" i="5" l="1"/>
  <c r="H229" i="5" s="1"/>
  <c r="D230" i="5" s="1"/>
  <c r="I168" i="6"/>
  <c r="F230" i="5" l="1"/>
  <c r="G230" i="5" s="1"/>
  <c r="H230" i="5" s="1"/>
  <c r="G169" i="6"/>
  <c r="H169" i="6" s="1"/>
  <c r="E169" i="6"/>
  <c r="I169" i="6" l="1"/>
  <c r="G170" i="6" s="1"/>
  <c r="H170" i="6" s="1"/>
  <c r="D231" i="5"/>
  <c r="F231" i="5"/>
  <c r="G231" i="5" s="1"/>
  <c r="E170" i="6" l="1"/>
  <c r="I170" i="6" s="1"/>
  <c r="H231" i="5"/>
  <c r="F232" i="5" l="1"/>
  <c r="G232" i="5" s="1"/>
  <c r="I232" i="5" s="1"/>
  <c r="D232" i="5"/>
  <c r="E171" i="6"/>
  <c r="G171" i="6"/>
  <c r="H171" i="6" s="1"/>
  <c r="H232" i="5" l="1"/>
  <c r="D233" i="5" s="1"/>
  <c r="I171" i="6"/>
  <c r="F233" i="5" l="1"/>
  <c r="G233" i="5" s="1"/>
  <c r="H233" i="5" s="1"/>
  <c r="G172" i="6"/>
  <c r="H172" i="6" s="1"/>
  <c r="E172" i="6"/>
  <c r="I172" i="6" l="1"/>
  <c r="E173" i="6" s="1"/>
  <c r="F234" i="5"/>
  <c r="G234" i="5" s="1"/>
  <c r="D234" i="5"/>
  <c r="G173" i="6" l="1"/>
  <c r="H173" i="6" s="1"/>
  <c r="I173" i="6" s="1"/>
  <c r="H234" i="5"/>
  <c r="D235" i="5" s="1"/>
  <c r="F235" i="5" l="1"/>
  <c r="G235" i="5" s="1"/>
  <c r="H235" i="5" s="1"/>
  <c r="F236" i="5" s="1"/>
  <c r="G236" i="5" s="1"/>
  <c r="G174" i="6"/>
  <c r="H174" i="6" s="1"/>
  <c r="E174" i="6"/>
  <c r="D236" i="5" l="1"/>
  <c r="H236" i="5" s="1"/>
  <c r="I174" i="6"/>
  <c r="G175" i="6" s="1"/>
  <c r="H175" i="6" s="1"/>
  <c r="E175" i="6" l="1"/>
  <c r="I175" i="6" s="1"/>
  <c r="F237" i="5"/>
  <c r="G237" i="5" s="1"/>
  <c r="D237" i="5"/>
  <c r="H237" i="5" l="1"/>
  <c r="D238" i="5" s="1"/>
  <c r="E176" i="6"/>
  <c r="G176" i="6"/>
  <c r="H176" i="6" s="1"/>
  <c r="F238" i="5" l="1"/>
  <c r="G238" i="5" s="1"/>
  <c r="H238" i="5" s="1"/>
  <c r="I176" i="6"/>
  <c r="F239" i="5" l="1"/>
  <c r="G239" i="5" s="1"/>
  <c r="D239" i="5"/>
  <c r="G177" i="6"/>
  <c r="H177" i="6" s="1"/>
  <c r="E177" i="6"/>
  <c r="I177" i="6" l="1"/>
  <c r="E178" i="6" s="1"/>
  <c r="H239" i="5"/>
  <c r="F240" i="5" s="1"/>
  <c r="G240" i="5" s="1"/>
  <c r="D240" i="5" l="1"/>
  <c r="H240" i="5" s="1"/>
  <c r="F241" i="5" s="1"/>
  <c r="G241" i="5" s="1"/>
  <c r="G178" i="6"/>
  <c r="H178" i="6" s="1"/>
  <c r="I178" i="6" s="1"/>
  <c r="D241" i="5" l="1"/>
  <c r="H241" i="5" s="1"/>
  <c r="G179" i="6"/>
  <c r="H179" i="6" s="1"/>
  <c r="E179" i="6"/>
  <c r="D242" i="5" l="1"/>
  <c r="F242" i="5"/>
  <c r="G242" i="5" s="1"/>
  <c r="I179" i="6"/>
  <c r="E180" i="6" s="1"/>
  <c r="H242" i="5" l="1"/>
  <c r="D243" i="5" s="1"/>
  <c r="G180" i="6"/>
  <c r="H180" i="6" s="1"/>
  <c r="I180" i="6" s="1"/>
  <c r="F243" i="5" l="1"/>
  <c r="G243" i="5" s="1"/>
  <c r="H243" i="5" s="1"/>
  <c r="F244" i="5" s="1"/>
  <c r="G244" i="5" s="1"/>
  <c r="I244" i="5" s="1"/>
  <c r="E181" i="6"/>
  <c r="G181" i="6"/>
  <c r="H181" i="6" s="1"/>
  <c r="D244" i="5" l="1"/>
  <c r="H244" i="5" s="1"/>
  <c r="F245" i="5" s="1"/>
  <c r="G245" i="5" s="1"/>
  <c r="I181" i="6"/>
  <c r="D245" i="5" l="1"/>
  <c r="H245" i="5" s="1"/>
  <c r="G182" i="6"/>
  <c r="H182" i="6" s="1"/>
  <c r="E182" i="6"/>
  <c r="F246" i="5" l="1"/>
  <c r="G246" i="5" s="1"/>
  <c r="D246" i="5"/>
  <c r="I182" i="6"/>
  <c r="G183" i="6" s="1"/>
  <c r="H183" i="6" s="1"/>
  <c r="E183" i="6" l="1"/>
  <c r="I183" i="6" s="1"/>
  <c r="E184" i="6" s="1"/>
  <c r="H246" i="5"/>
  <c r="F247" i="5" s="1"/>
  <c r="G247" i="5" s="1"/>
  <c r="D247" i="5" l="1"/>
  <c r="G184" i="6"/>
  <c r="H184" i="6" s="1"/>
  <c r="I184" i="6" s="1"/>
  <c r="H247" i="5"/>
  <c r="D248" i="5" s="1"/>
  <c r="F248" i="5" l="1"/>
  <c r="G248" i="5" s="1"/>
  <c r="H248" i="5" s="1"/>
  <c r="G185" i="6"/>
  <c r="H185" i="6" s="1"/>
  <c r="E185" i="6"/>
  <c r="I185" i="6" l="1"/>
  <c r="E186" i="6" s="1"/>
  <c r="F249" i="5"/>
  <c r="G249" i="5" s="1"/>
  <c r="D249" i="5"/>
  <c r="G186" i="6" l="1"/>
  <c r="H186" i="6" s="1"/>
  <c r="I186" i="6" s="1"/>
  <c r="H249" i="5"/>
  <c r="F250" i="5" s="1"/>
  <c r="G250" i="5" s="1"/>
  <c r="D250" i="5" l="1"/>
  <c r="H250" i="5" s="1"/>
  <c r="G187" i="6"/>
  <c r="H187" i="6" s="1"/>
  <c r="E187" i="6"/>
  <c r="I187" i="6" l="1"/>
  <c r="D251" i="5"/>
  <c r="F251" i="5"/>
  <c r="G251" i="5" s="1"/>
  <c r="H251" i="5" l="1"/>
  <c r="G188" i="6"/>
  <c r="H188" i="6" s="1"/>
  <c r="E188" i="6"/>
  <c r="I188" i="6" l="1"/>
  <c r="E189" i="6" s="1"/>
  <c r="D252" i="5"/>
  <c r="F252" i="5"/>
  <c r="G252" i="5" s="1"/>
  <c r="G189" i="6" l="1"/>
  <c r="H189" i="6" s="1"/>
  <c r="I189" i="6" s="1"/>
  <c r="H252" i="5"/>
  <c r="G190" i="6" l="1"/>
  <c r="H190" i="6" s="1"/>
  <c r="E190" i="6"/>
  <c r="D253" i="5"/>
  <c r="F253" i="5"/>
  <c r="G253" i="5" s="1"/>
  <c r="I190" i="6" l="1"/>
  <c r="G191" i="6" s="1"/>
  <c r="H191" i="6" s="1"/>
  <c r="H253" i="5"/>
  <c r="E191" i="6" l="1"/>
  <c r="I191" i="6" s="1"/>
  <c r="D254" i="5"/>
  <c r="F254" i="5"/>
  <c r="G254" i="5" s="1"/>
  <c r="H254" i="5" l="1"/>
  <c r="G192" i="6"/>
  <c r="H192" i="6" s="1"/>
  <c r="E192" i="6"/>
  <c r="I192" i="6" l="1"/>
  <c r="G193" i="6" s="1"/>
  <c r="H193" i="6" s="1"/>
  <c r="D255" i="5"/>
  <c r="F255" i="5"/>
  <c r="G255" i="5" s="1"/>
  <c r="E193" i="6" l="1"/>
  <c r="I193" i="6" s="1"/>
  <c r="H255" i="5"/>
  <c r="G194" i="6" l="1"/>
  <c r="H194" i="6" s="1"/>
  <c r="E194" i="6"/>
  <c r="F256" i="5"/>
  <c r="G256" i="5" s="1"/>
  <c r="I256" i="5" s="1"/>
  <c r="D256" i="5"/>
  <c r="I194" i="6" l="1"/>
  <c r="E195" i="6" s="1"/>
  <c r="H256" i="5"/>
  <c r="F257" i="5" s="1"/>
  <c r="G257" i="5" s="1"/>
  <c r="D257" i="5" l="1"/>
  <c r="H257" i="5" s="1"/>
  <c r="D258" i="5" s="1"/>
  <c r="G195" i="6"/>
  <c r="H195" i="6" s="1"/>
  <c r="I195" i="6" s="1"/>
  <c r="G196" i="6" s="1"/>
  <c r="H196" i="6" s="1"/>
  <c r="E196" i="6" l="1"/>
  <c r="I196" i="6" s="1"/>
  <c r="F258" i="5"/>
  <c r="G258" i="5" s="1"/>
  <c r="H258" i="5" s="1"/>
  <c r="G197" i="6" l="1"/>
  <c r="H197" i="6" s="1"/>
  <c r="E197" i="6"/>
  <c r="F259" i="5"/>
  <c r="G259" i="5" s="1"/>
  <c r="D259" i="5"/>
  <c r="I197" i="6" l="1"/>
  <c r="G198" i="6" s="1"/>
  <c r="H198" i="6" s="1"/>
  <c r="H259" i="5"/>
  <c r="E198" i="6" l="1"/>
  <c r="I198" i="6" s="1"/>
  <c r="E199" i="6" s="1"/>
  <c r="D260" i="5"/>
  <c r="F260" i="5"/>
  <c r="G260" i="5" s="1"/>
  <c r="G199" i="6" l="1"/>
  <c r="H199" i="6" s="1"/>
  <c r="I199" i="6" s="1"/>
  <c r="G200" i="6" s="1"/>
  <c r="H200" i="6" s="1"/>
  <c r="H260" i="5"/>
  <c r="E200" i="6" l="1"/>
  <c r="I200" i="6" s="1"/>
  <c r="G201" i="6" s="1"/>
  <c r="H201" i="6" s="1"/>
  <c r="D261" i="5"/>
  <c r="F261" i="5"/>
  <c r="G261" i="5" s="1"/>
  <c r="E201" i="6" l="1"/>
  <c r="I201" i="6" s="1"/>
  <c r="E202" i="6" s="1"/>
  <c r="H261" i="5"/>
  <c r="G202" i="6" l="1"/>
  <c r="H202" i="6" s="1"/>
  <c r="I202" i="6" s="1"/>
  <c r="E203" i="6" s="1"/>
  <c r="D262" i="5"/>
  <c r="F262" i="5"/>
  <c r="G262" i="5" s="1"/>
  <c r="G203" i="6" l="1"/>
  <c r="H203" i="6" s="1"/>
  <c r="I203" i="6" s="1"/>
  <c r="G204" i="6" s="1"/>
  <c r="H204" i="6" s="1"/>
  <c r="H262" i="5"/>
  <c r="F263" i="5" s="1"/>
  <c r="G263" i="5" s="1"/>
  <c r="D263" i="5" l="1"/>
  <c r="H263" i="5" s="1"/>
  <c r="E204" i="6"/>
  <c r="I204" i="6" s="1"/>
  <c r="G205" i="6" l="1"/>
  <c r="H205" i="6" s="1"/>
  <c r="E205" i="6"/>
  <c r="F264" i="5"/>
  <c r="G264" i="5" s="1"/>
  <c r="D264" i="5"/>
  <c r="I205" i="6" l="1"/>
  <c r="E206" i="6" s="1"/>
  <c r="H264" i="5"/>
  <c r="D265" i="5" s="1"/>
  <c r="G206" i="6" l="1"/>
  <c r="H206" i="6" s="1"/>
  <c r="I206" i="6" s="1"/>
  <c r="G207" i="6" s="1"/>
  <c r="H207" i="6" s="1"/>
  <c r="F265" i="5"/>
  <c r="G265" i="5" s="1"/>
  <c r="H265" i="5" s="1"/>
  <c r="E207" i="6" l="1"/>
  <c r="I207" i="6" s="1"/>
  <c r="D266" i="5"/>
  <c r="F266" i="5"/>
  <c r="G266" i="5" s="1"/>
  <c r="G208" i="6" l="1"/>
  <c r="H208" i="6" s="1"/>
  <c r="E208" i="6"/>
  <c r="H266" i="5"/>
  <c r="I208" i="6" l="1"/>
  <c r="E209" i="6" s="1"/>
  <c r="F267" i="5"/>
  <c r="G267" i="5" s="1"/>
  <c r="D267" i="5"/>
  <c r="G209" i="6" l="1"/>
  <c r="H209" i="6" s="1"/>
  <c r="I209" i="6" s="1"/>
  <c r="E210" i="6" s="1"/>
  <c r="H267" i="5"/>
  <c r="F268" i="5" s="1"/>
  <c r="G268" i="5" s="1"/>
  <c r="I268" i="5" s="1"/>
  <c r="G210" i="6" l="1"/>
  <c r="H210" i="6" s="1"/>
  <c r="I210" i="6" s="1"/>
  <c r="E211" i="6" s="1"/>
  <c r="D268" i="5"/>
  <c r="H268" i="5" s="1"/>
  <c r="F269" i="5" l="1"/>
  <c r="G269" i="5" s="1"/>
  <c r="D269" i="5"/>
  <c r="G211" i="6"/>
  <c r="H211" i="6" s="1"/>
  <c r="I211" i="6" s="1"/>
  <c r="H269" i="5" l="1"/>
  <c r="D270" i="5" s="1"/>
  <c r="E212" i="6"/>
  <c r="G212" i="6"/>
  <c r="H212" i="6" s="1"/>
  <c r="F270" i="5" l="1"/>
  <c r="G270" i="5" s="1"/>
  <c r="H270" i="5" s="1"/>
  <c r="D271" i="5" s="1"/>
  <c r="I212" i="6"/>
  <c r="F271" i="5" l="1"/>
  <c r="G271" i="5" s="1"/>
  <c r="H271" i="5" s="1"/>
  <c r="G213" i="6"/>
  <c r="H213" i="6" s="1"/>
  <c r="E213" i="6"/>
  <c r="I213" i="6" l="1"/>
  <c r="G214" i="6" s="1"/>
  <c r="H214" i="6" s="1"/>
  <c r="F272" i="5"/>
  <c r="G272" i="5" s="1"/>
  <c r="D272" i="5"/>
  <c r="E214" i="6" l="1"/>
  <c r="I214" i="6" s="1"/>
  <c r="H272" i="5"/>
  <c r="F273" i="5" s="1"/>
  <c r="G273" i="5" s="1"/>
  <c r="E215" i="6" l="1"/>
  <c r="G215" i="6"/>
  <c r="H215" i="6" s="1"/>
  <c r="D273" i="5"/>
  <c r="H273" i="5" s="1"/>
  <c r="D274" i="5" s="1"/>
  <c r="I215" i="6" l="1"/>
  <c r="E216" i="6" s="1"/>
  <c r="F274" i="5"/>
  <c r="G274" i="5" s="1"/>
  <c r="H274" i="5" s="1"/>
  <c r="G216" i="6" l="1"/>
  <c r="H216" i="6" s="1"/>
  <c r="I216" i="6" s="1"/>
  <c r="G217" i="6" s="1"/>
  <c r="H217" i="6" s="1"/>
  <c r="D275" i="5"/>
  <c r="F275" i="5"/>
  <c r="G275" i="5" s="1"/>
  <c r="E217" i="6" l="1"/>
  <c r="I217" i="6" s="1"/>
  <c r="H275" i="5"/>
  <c r="F276" i="5" l="1"/>
  <c r="G276" i="5" s="1"/>
  <c r="D276" i="5"/>
  <c r="G218" i="6"/>
  <c r="H218" i="6" s="1"/>
  <c r="E218" i="6"/>
  <c r="H276" i="5" l="1"/>
  <c r="D277" i="5" s="1"/>
  <c r="I218" i="6"/>
  <c r="F277" i="5" l="1"/>
  <c r="G277" i="5" s="1"/>
  <c r="H277" i="5" s="1"/>
  <c r="G219" i="6"/>
  <c r="H219" i="6" s="1"/>
  <c r="E219" i="6"/>
  <c r="I219" i="6" l="1"/>
  <c r="E220" i="6" s="1"/>
  <c r="F278" i="5"/>
  <c r="G278" i="5" s="1"/>
  <c r="D278" i="5"/>
  <c r="G220" i="6" l="1"/>
  <c r="H220" i="6" s="1"/>
  <c r="I220" i="6" s="1"/>
  <c r="H278" i="5"/>
  <c r="F279" i="5" s="1"/>
  <c r="G279" i="5" s="1"/>
  <c r="D279" i="5" l="1"/>
  <c r="H279" i="5" s="1"/>
  <c r="G221" i="6"/>
  <c r="H221" i="6" s="1"/>
  <c r="E221" i="6"/>
  <c r="D280" i="5" l="1"/>
  <c r="F280" i="5"/>
  <c r="G280" i="5" s="1"/>
  <c r="I280" i="5" s="1"/>
  <c r="I221" i="6"/>
  <c r="G222" i="6" s="1"/>
  <c r="H222" i="6" s="1"/>
  <c r="H280" i="5" l="1"/>
  <c r="F281" i="5" s="1"/>
  <c r="G281" i="5" s="1"/>
  <c r="E222" i="6"/>
  <c r="I222" i="6" s="1"/>
  <c r="D281" i="5" l="1"/>
  <c r="H281" i="5" s="1"/>
  <c r="F282" i="5" s="1"/>
  <c r="G282" i="5" s="1"/>
  <c r="G223" i="6"/>
  <c r="H223" i="6" s="1"/>
  <c r="E223" i="6"/>
  <c r="D282" i="5" l="1"/>
  <c r="H282" i="5" s="1"/>
  <c r="F283" i="5" s="1"/>
  <c r="G283" i="5" s="1"/>
  <c r="I223" i="6"/>
  <c r="D283" i="5" l="1"/>
  <c r="H283" i="5" s="1"/>
  <c r="G224" i="6"/>
  <c r="H224" i="6" s="1"/>
  <c r="E224" i="6"/>
  <c r="I224" i="6" l="1"/>
  <c r="F284" i="5"/>
  <c r="G284" i="5" s="1"/>
  <c r="D284" i="5"/>
  <c r="H284" i="5" l="1"/>
  <c r="F285" i="5" s="1"/>
  <c r="G285" i="5" s="1"/>
  <c r="G225" i="6"/>
  <c r="H225" i="6" s="1"/>
  <c r="E225" i="6"/>
  <c r="D285" i="5"/>
  <c r="I225" i="6" l="1"/>
  <c r="H285" i="5"/>
  <c r="D286" i="5" s="1"/>
  <c r="F286" i="5" l="1"/>
  <c r="G286" i="5" s="1"/>
  <c r="H286" i="5" s="1"/>
  <c r="D287" i="5" s="1"/>
  <c r="E226" i="6"/>
  <c r="G226" i="6"/>
  <c r="H226" i="6" s="1"/>
  <c r="F287" i="5" l="1"/>
  <c r="G287" i="5" s="1"/>
  <c r="H287" i="5" s="1"/>
  <c r="I226" i="6"/>
  <c r="E227" i="6" l="1"/>
  <c r="G227" i="6"/>
  <c r="H227" i="6" s="1"/>
  <c r="D288" i="5"/>
  <c r="F288" i="5"/>
  <c r="G288" i="5" s="1"/>
  <c r="I227" i="6" l="1"/>
  <c r="H288" i="5"/>
  <c r="G228" i="6" l="1"/>
  <c r="H228" i="6" s="1"/>
  <c r="E228" i="6"/>
  <c r="F289" i="5"/>
  <c r="G289" i="5" s="1"/>
  <c r="D289" i="5"/>
  <c r="I228" i="6" l="1"/>
  <c r="G229" i="6" s="1"/>
  <c r="H229" i="6" s="1"/>
  <c r="H289" i="5"/>
  <c r="D290" i="5" s="1"/>
  <c r="E229" i="6" l="1"/>
  <c r="I229" i="6" s="1"/>
  <c r="F290" i="5"/>
  <c r="G290" i="5" s="1"/>
  <c r="H290" i="5" s="1"/>
  <c r="E230" i="6" l="1"/>
  <c r="G230" i="6"/>
  <c r="H230" i="6" s="1"/>
  <c r="D291" i="5"/>
  <c r="F291" i="5"/>
  <c r="G291" i="5" s="1"/>
  <c r="I230" i="6" l="1"/>
  <c r="H291" i="5"/>
  <c r="D292" i="5" s="1"/>
  <c r="F292" i="5" l="1"/>
  <c r="G292" i="5" s="1"/>
  <c r="I292" i="5" s="1"/>
  <c r="E231" i="6"/>
  <c r="G231" i="6"/>
  <c r="H231" i="6" s="1"/>
  <c r="H292" i="5" l="1"/>
  <c r="F293" i="5" s="1"/>
  <c r="G293" i="5" s="1"/>
  <c r="I231" i="6"/>
  <c r="D293" i="5" l="1"/>
  <c r="H293" i="5" s="1"/>
  <c r="F294" i="5" s="1"/>
  <c r="G294" i="5" s="1"/>
  <c r="G232" i="6"/>
  <c r="H232" i="6" s="1"/>
  <c r="E232" i="6"/>
  <c r="I232" i="6" l="1"/>
  <c r="G233" i="6" s="1"/>
  <c r="H233" i="6" s="1"/>
  <c r="D294" i="5"/>
  <c r="H294" i="5" s="1"/>
  <c r="D295" i="5" s="1"/>
  <c r="E233" i="6" l="1"/>
  <c r="I233" i="6" s="1"/>
  <c r="F295" i="5"/>
  <c r="G295" i="5" s="1"/>
  <c r="H295" i="5" s="1"/>
  <c r="E234" i="6" l="1"/>
  <c r="G234" i="6"/>
  <c r="H234" i="6" s="1"/>
  <c r="D296" i="5"/>
  <c r="F296" i="5"/>
  <c r="G296" i="5" s="1"/>
  <c r="I234" i="6" l="1"/>
  <c r="G235" i="6" s="1"/>
  <c r="H235" i="6" s="1"/>
  <c r="H296" i="5"/>
  <c r="E235" i="6" l="1"/>
  <c r="I235" i="6" s="1"/>
  <c r="D297" i="5"/>
  <c r="F297" i="5"/>
  <c r="G297" i="5" s="1"/>
  <c r="G236" i="6" l="1"/>
  <c r="H236" i="6" s="1"/>
  <c r="E236" i="6"/>
  <c r="H297" i="5"/>
  <c r="I236" i="6" l="1"/>
  <c r="G237" i="6" s="1"/>
  <c r="H237" i="6" s="1"/>
  <c r="F298" i="5"/>
  <c r="G298" i="5" s="1"/>
  <c r="D298" i="5"/>
  <c r="E237" i="6" l="1"/>
  <c r="I237" i="6" s="1"/>
  <c r="H298" i="5"/>
  <c r="D299" i="5" s="1"/>
  <c r="F299" i="5" l="1"/>
  <c r="G299" i="5" s="1"/>
  <c r="H299" i="5" s="1"/>
  <c r="G238" i="6"/>
  <c r="H238" i="6" s="1"/>
  <c r="E238" i="6"/>
  <c r="I238" i="6" l="1"/>
  <c r="D300" i="5"/>
  <c r="F300" i="5"/>
  <c r="G300" i="5" s="1"/>
  <c r="G239" i="6" l="1"/>
  <c r="H239" i="6" s="1"/>
  <c r="E239" i="6"/>
  <c r="H300" i="5"/>
  <c r="I239" i="6" l="1"/>
  <c r="G240" i="6" s="1"/>
  <c r="H240" i="6" s="1"/>
  <c r="F301" i="5"/>
  <c r="G301" i="5" s="1"/>
  <c r="D301" i="5"/>
  <c r="E240" i="6" l="1"/>
  <c r="I240" i="6" s="1"/>
  <c r="G241" i="6" s="1"/>
  <c r="H241" i="6" s="1"/>
  <c r="H301" i="5"/>
  <c r="F302" i="5" s="1"/>
  <c r="G302" i="5" s="1"/>
  <c r="E241" i="6" l="1"/>
  <c r="I241" i="6" s="1"/>
  <c r="G242" i="6" s="1"/>
  <c r="H242" i="6" s="1"/>
  <c r="D302" i="5"/>
  <c r="H302" i="5" s="1"/>
  <c r="E242" i="6" l="1"/>
  <c r="I242" i="6" s="1"/>
  <c r="F303" i="5"/>
  <c r="G303" i="5" s="1"/>
  <c r="D303" i="5"/>
  <c r="G243" i="6" l="1"/>
  <c r="H243" i="6" s="1"/>
  <c r="E243" i="6"/>
  <c r="H303" i="5"/>
  <c r="F304" i="5" s="1"/>
  <c r="G304" i="5" s="1"/>
  <c r="D304" i="5" l="1"/>
  <c r="H304" i="5" s="1"/>
  <c r="D305" i="5" s="1"/>
  <c r="I243" i="6"/>
  <c r="E244" i="6" s="1"/>
  <c r="I304" i="5"/>
  <c r="G244" i="6" l="1"/>
  <c r="H244" i="6" s="1"/>
  <c r="I244" i="6" s="1"/>
  <c r="F305" i="5"/>
  <c r="G305" i="5" s="1"/>
  <c r="H305" i="5" s="1"/>
  <c r="D306" i="5" l="1"/>
  <c r="F306" i="5"/>
  <c r="G306" i="5" s="1"/>
  <c r="G245" i="6"/>
  <c r="H245" i="6" s="1"/>
  <c r="E245" i="6"/>
  <c r="I245" i="6" l="1"/>
  <c r="G246" i="6" s="1"/>
  <c r="H246" i="6" s="1"/>
  <c r="H306" i="5"/>
  <c r="E246" i="6" l="1"/>
  <c r="I246" i="6" s="1"/>
  <c r="D307" i="5"/>
  <c r="F307" i="5"/>
  <c r="G307" i="5" s="1"/>
  <c r="E247" i="6" l="1"/>
  <c r="G247" i="6"/>
  <c r="H247" i="6" s="1"/>
  <c r="H307" i="5"/>
  <c r="F308" i="5" s="1"/>
  <c r="G308" i="5" s="1"/>
  <c r="I247" i="6" l="1"/>
  <c r="G248" i="6" s="1"/>
  <c r="H248" i="6" s="1"/>
  <c r="D308" i="5"/>
  <c r="H308" i="5" s="1"/>
  <c r="E248" i="6" l="1"/>
  <c r="I248" i="6" s="1"/>
  <c r="G249" i="6" s="1"/>
  <c r="H249" i="6" s="1"/>
  <c r="D309" i="5"/>
  <c r="F309" i="5"/>
  <c r="G309" i="5" s="1"/>
  <c r="H309" i="5" l="1"/>
  <c r="D310" i="5" s="1"/>
  <c r="E249" i="6"/>
  <c r="I249" i="6" s="1"/>
  <c r="F310" i="5" l="1"/>
  <c r="G310" i="5" s="1"/>
  <c r="H310" i="5" s="1"/>
  <c r="F311" i="5" s="1"/>
  <c r="G311" i="5" s="1"/>
  <c r="E250" i="6"/>
  <c r="G250" i="6"/>
  <c r="H250" i="6" s="1"/>
  <c r="D311" i="5" l="1"/>
  <c r="H311" i="5" s="1"/>
  <c r="I250" i="6"/>
  <c r="E251" i="6" s="1"/>
  <c r="F312" i="5" l="1"/>
  <c r="G312" i="5" s="1"/>
  <c r="D312" i="5"/>
  <c r="G251" i="6"/>
  <c r="H251" i="6" s="1"/>
  <c r="I251" i="6" s="1"/>
  <c r="H312" i="5" l="1"/>
  <c r="F313" i="5" s="1"/>
  <c r="G313" i="5" s="1"/>
  <c r="G252" i="6"/>
  <c r="H252" i="6" s="1"/>
  <c r="E252" i="6"/>
  <c r="D313" i="5" l="1"/>
  <c r="H313" i="5" s="1"/>
  <c r="D314" i="5" s="1"/>
  <c r="I252" i="6"/>
  <c r="E253" i="6" s="1"/>
  <c r="F314" i="5" l="1"/>
  <c r="G314" i="5" s="1"/>
  <c r="H314" i="5" s="1"/>
  <c r="D315" i="5" s="1"/>
  <c r="G253" i="6"/>
  <c r="H253" i="6" s="1"/>
  <c r="I253" i="6" s="1"/>
  <c r="F315" i="5" l="1"/>
  <c r="G315" i="5" s="1"/>
  <c r="H315" i="5" s="1"/>
  <c r="G254" i="6"/>
  <c r="H254" i="6" s="1"/>
  <c r="E254" i="6"/>
  <c r="F316" i="5" l="1"/>
  <c r="G316" i="5" s="1"/>
  <c r="I316" i="5" s="1"/>
  <c r="D316" i="5"/>
  <c r="I254" i="6"/>
  <c r="E255" i="6" s="1"/>
  <c r="H316" i="5" l="1"/>
  <c r="D317" i="5" s="1"/>
  <c r="G255" i="6"/>
  <c r="H255" i="6" s="1"/>
  <c r="I255" i="6" s="1"/>
  <c r="F317" i="5" l="1"/>
  <c r="G317" i="5" s="1"/>
  <c r="H317" i="5" s="1"/>
  <c r="D318" i="5" s="1"/>
  <c r="E256" i="6"/>
  <c r="G256" i="6"/>
  <c r="H256" i="6" s="1"/>
  <c r="F318" i="5" l="1"/>
  <c r="G318" i="5" s="1"/>
  <c r="H318" i="5" s="1"/>
  <c r="I256" i="6"/>
  <c r="G257" i="6" l="1"/>
  <c r="H257" i="6" s="1"/>
  <c r="E257" i="6"/>
  <c r="D319" i="5"/>
  <c r="F319" i="5"/>
  <c r="G319" i="5" s="1"/>
  <c r="I257" i="6" l="1"/>
  <c r="G258" i="6" s="1"/>
  <c r="H258" i="6" s="1"/>
  <c r="H319" i="5"/>
  <c r="E258" i="6" l="1"/>
  <c r="I258" i="6" s="1"/>
  <c r="E259" i="6" s="1"/>
  <c r="F320" i="5"/>
  <c r="G320" i="5" s="1"/>
  <c r="D320" i="5"/>
  <c r="G259" i="6" l="1"/>
  <c r="H259" i="6" s="1"/>
  <c r="I259" i="6" s="1"/>
  <c r="H320" i="5"/>
  <c r="D321" i="5" s="1"/>
  <c r="F321" i="5" l="1"/>
  <c r="G321" i="5" s="1"/>
  <c r="H321" i="5" s="1"/>
  <c r="G260" i="6"/>
  <c r="H260" i="6" s="1"/>
  <c r="E260" i="6"/>
  <c r="I260" i="6" l="1"/>
  <c r="E261" i="6" s="1"/>
  <c r="D322" i="5"/>
  <c r="F322" i="5"/>
  <c r="G322" i="5" s="1"/>
  <c r="G261" i="6" l="1"/>
  <c r="H261" i="6" s="1"/>
  <c r="I261" i="6" s="1"/>
  <c r="H322" i="5"/>
  <c r="G262" i="6" l="1"/>
  <c r="H262" i="6" s="1"/>
  <c r="E262" i="6"/>
  <c r="F323" i="5"/>
  <c r="G323" i="5" s="1"/>
  <c r="D323" i="5"/>
  <c r="I262" i="6" l="1"/>
  <c r="E263" i="6" s="1"/>
  <c r="H323" i="5"/>
  <c r="G263" i="6" l="1"/>
  <c r="H263" i="6" s="1"/>
  <c r="I263" i="6" s="1"/>
  <c r="F324" i="5"/>
  <c r="G324" i="5" s="1"/>
  <c r="D324" i="5"/>
  <c r="H324" i="5" l="1"/>
  <c r="D325" i="5" s="1"/>
  <c r="G264" i="6"/>
  <c r="H264" i="6" s="1"/>
  <c r="E264" i="6"/>
  <c r="F325" i="5" l="1"/>
  <c r="G325" i="5" s="1"/>
  <c r="H325" i="5" s="1"/>
  <c r="I264" i="6"/>
  <c r="D326" i="5" l="1"/>
  <c r="F326" i="5"/>
  <c r="G326" i="5" s="1"/>
  <c r="G265" i="6"/>
  <c r="H265" i="6" s="1"/>
  <c r="E265" i="6"/>
  <c r="I265" i="6" l="1"/>
  <c r="E266" i="6" s="1"/>
  <c r="H326" i="5"/>
  <c r="G266" i="6" l="1"/>
  <c r="H266" i="6" s="1"/>
  <c r="I266" i="6" s="1"/>
  <c r="D327" i="5"/>
  <c r="F327" i="5"/>
  <c r="G327" i="5" s="1"/>
  <c r="G267" i="6" l="1"/>
  <c r="H267" i="6" s="1"/>
  <c r="E267" i="6"/>
  <c r="H327" i="5"/>
  <c r="I267" i="6" l="1"/>
  <c r="G268" i="6" s="1"/>
  <c r="H268" i="6" s="1"/>
  <c r="F328" i="5"/>
  <c r="G328" i="5" s="1"/>
  <c r="I328" i="5" s="1"/>
  <c r="D328" i="5"/>
  <c r="E268" i="6" l="1"/>
  <c r="I268" i="6" s="1"/>
  <c r="G269" i="6" s="1"/>
  <c r="H269" i="6" s="1"/>
  <c r="H328" i="5"/>
  <c r="D329" i="5" l="1"/>
  <c r="F329" i="5"/>
  <c r="G329" i="5" s="1"/>
  <c r="E269" i="6"/>
  <c r="I269" i="6" s="1"/>
  <c r="H329" i="5" l="1"/>
  <c r="E270" i="6"/>
  <c r="G270" i="6"/>
  <c r="H270" i="6" s="1"/>
  <c r="I270" i="6" l="1"/>
  <c r="F330" i="5"/>
  <c r="G330" i="5" s="1"/>
  <c r="D330" i="5"/>
  <c r="E271" i="6"/>
  <c r="G271" i="6"/>
  <c r="H271" i="6" s="1"/>
  <c r="H330" i="5" l="1"/>
  <c r="D331" i="5"/>
  <c r="F331" i="5"/>
  <c r="G331" i="5" s="1"/>
  <c r="I271" i="6"/>
  <c r="G272" i="6" s="1"/>
  <c r="H272" i="6" s="1"/>
  <c r="H331" i="5" l="1"/>
  <c r="E272" i="6"/>
  <c r="I272" i="6" s="1"/>
  <c r="G273" i="6" s="1"/>
  <c r="H273" i="6" s="1"/>
  <c r="F332" i="5" l="1"/>
  <c r="G332" i="5" s="1"/>
  <c r="D332" i="5"/>
  <c r="E273" i="6"/>
  <c r="I273" i="6" s="1"/>
  <c r="E274" i="6" s="1"/>
  <c r="H332" i="5" l="1"/>
  <c r="F333" i="5" s="1"/>
  <c r="G333" i="5" s="1"/>
  <c r="D333" i="5"/>
  <c r="G274" i="6"/>
  <c r="H274" i="6" s="1"/>
  <c r="I274" i="6" s="1"/>
  <c r="H333" i="5" l="1"/>
  <c r="D334" i="5" s="1"/>
  <c r="G275" i="6"/>
  <c r="H275" i="6" s="1"/>
  <c r="E275" i="6"/>
  <c r="F334" i="5" l="1"/>
  <c r="G334" i="5" s="1"/>
  <c r="H334" i="5" s="1"/>
  <c r="I275" i="6"/>
  <c r="G276" i="6" s="1"/>
  <c r="H276" i="6" s="1"/>
  <c r="E276" i="6" l="1"/>
  <c r="I276" i="6" s="1"/>
  <c r="E277" i="6" s="1"/>
  <c r="F335" i="5"/>
  <c r="G335" i="5" s="1"/>
  <c r="D335" i="5"/>
  <c r="H335" i="5" l="1"/>
  <c r="D336" i="5"/>
  <c r="F336" i="5"/>
  <c r="G336" i="5" s="1"/>
  <c r="G277" i="6"/>
  <c r="H277" i="6" s="1"/>
  <c r="I277" i="6" s="1"/>
  <c r="H336" i="5" l="1"/>
  <c r="D337" i="5" s="1"/>
  <c r="G278" i="6"/>
  <c r="H278" i="6" s="1"/>
  <c r="E278" i="6"/>
  <c r="F337" i="5" l="1"/>
  <c r="G337" i="5" s="1"/>
  <c r="H337" i="5" s="1"/>
  <c r="I278" i="6"/>
  <c r="E279" i="6" s="1"/>
  <c r="F338" i="5" l="1"/>
  <c r="G338" i="5" s="1"/>
  <c r="D338" i="5"/>
  <c r="G279" i="6"/>
  <c r="H279" i="6" s="1"/>
  <c r="I279" i="6" s="1"/>
  <c r="H338" i="5" l="1"/>
  <c r="F339" i="5"/>
  <c r="G339" i="5" s="1"/>
  <c r="D339" i="5"/>
  <c r="G280" i="6"/>
  <c r="H280" i="6" s="1"/>
  <c r="E280" i="6"/>
  <c r="H339" i="5" l="1"/>
  <c r="D340" i="5"/>
  <c r="F340" i="5"/>
  <c r="G340" i="5" s="1"/>
  <c r="I340" i="5" s="1"/>
  <c r="I280" i="6"/>
  <c r="E281" i="6" s="1"/>
  <c r="H340" i="5" l="1"/>
  <c r="G281" i="6"/>
  <c r="H281" i="6" s="1"/>
  <c r="I281" i="6" s="1"/>
  <c r="E282" i="6" l="1"/>
  <c r="G282" i="6"/>
  <c r="H282" i="6" s="1"/>
  <c r="I282" i="6" l="1"/>
  <c r="G283" i="6" s="1"/>
  <c r="H283" i="6" s="1"/>
  <c r="E283" i="6" l="1"/>
  <c r="I283" i="6" s="1"/>
  <c r="G284" i="6" s="1"/>
  <c r="H284" i="6" s="1"/>
  <c r="E284" i="6" l="1"/>
  <c r="I284" i="6" s="1"/>
  <c r="G285" i="6" l="1"/>
  <c r="H285" i="6" s="1"/>
  <c r="E285" i="6"/>
  <c r="I285" i="6" l="1"/>
  <c r="G286" i="6" s="1"/>
  <c r="H286" i="6" s="1"/>
  <c r="E286" i="6"/>
  <c r="I286" i="6" l="1"/>
  <c r="E287" i="6" s="1"/>
  <c r="G287" i="6" l="1"/>
  <c r="H287" i="6" s="1"/>
  <c r="I287" i="6" s="1"/>
  <c r="G288" i="6" l="1"/>
  <c r="H288" i="6" s="1"/>
  <c r="E288" i="6"/>
  <c r="I288" i="6" l="1"/>
  <c r="G289" i="6" s="1"/>
  <c r="H289" i="6" s="1"/>
  <c r="E289" i="6" l="1"/>
  <c r="I289" i="6" s="1"/>
  <c r="E290" i="6" l="1"/>
  <c r="G290" i="6"/>
  <c r="H290" i="6" s="1"/>
  <c r="I290" i="6" l="1"/>
  <c r="G291" i="6" s="1"/>
  <c r="H291" i="6" s="1"/>
  <c r="E291" i="6" l="1"/>
  <c r="I291" i="6" s="1"/>
  <c r="G292" i="6" l="1"/>
  <c r="H292" i="6" s="1"/>
  <c r="E292" i="6"/>
  <c r="I292" i="6" l="1"/>
  <c r="E293" i="6" s="1"/>
  <c r="G293" i="6" l="1"/>
  <c r="H293" i="6" s="1"/>
  <c r="I293" i="6" s="1"/>
  <c r="G294" i="6" s="1"/>
  <c r="H294" i="6" s="1"/>
  <c r="E294" i="6" l="1"/>
  <c r="I294" i="6" s="1"/>
  <c r="E295" i="6" s="1"/>
  <c r="G295" i="6" l="1"/>
  <c r="H295" i="6" s="1"/>
  <c r="I295" i="6" s="1"/>
  <c r="G296" i="6" l="1"/>
  <c r="H296" i="6" s="1"/>
  <c r="E296" i="6"/>
  <c r="I296" i="6" l="1"/>
  <c r="G297" i="6" s="1"/>
  <c r="H297" i="6" s="1"/>
  <c r="E297" i="6" l="1"/>
  <c r="I297" i="6" s="1"/>
  <c r="G298" i="6" s="1"/>
  <c r="H298" i="6" s="1"/>
  <c r="E298" i="6" l="1"/>
  <c r="I298" i="6" s="1"/>
  <c r="G299" i="6" l="1"/>
  <c r="H299" i="6" s="1"/>
  <c r="E299" i="6"/>
  <c r="I299" i="6" l="1"/>
  <c r="G300" i="6" s="1"/>
  <c r="H300" i="6" s="1"/>
  <c r="E300" i="6" l="1"/>
  <c r="I300" i="6" s="1"/>
  <c r="E301" i="6" l="1"/>
  <c r="G301" i="6"/>
  <c r="H301" i="6" s="1"/>
  <c r="I301" i="6" l="1"/>
  <c r="G302" i="6" s="1"/>
  <c r="H302" i="6" s="1"/>
  <c r="E302" i="6" l="1"/>
  <c r="I302" i="6" s="1"/>
  <c r="E303" i="6" s="1"/>
  <c r="G303" i="6" l="1"/>
  <c r="H303" i="6" s="1"/>
  <c r="I303" i="6" s="1"/>
  <c r="G304" i="6" l="1"/>
  <c r="H304" i="6" s="1"/>
  <c r="E304" i="6"/>
  <c r="I304" i="6" l="1"/>
  <c r="G305" i="6" s="1"/>
  <c r="H305" i="6" s="1"/>
  <c r="E305" i="6" l="1"/>
  <c r="I305" i="6" s="1"/>
  <c r="E306" i="6" s="1"/>
  <c r="G306" i="6" l="1"/>
  <c r="H306" i="6" s="1"/>
  <c r="I306" i="6" s="1"/>
  <c r="G307" i="6" l="1"/>
  <c r="H307" i="6" s="1"/>
  <c r="E307" i="6"/>
  <c r="I307" i="6" l="1"/>
  <c r="G308" i="6" s="1"/>
  <c r="H308" i="6" s="1"/>
  <c r="E308" i="6" l="1"/>
  <c r="I308" i="6" s="1"/>
  <c r="E309" i="6" l="1"/>
  <c r="G309" i="6"/>
  <c r="H309" i="6" s="1"/>
  <c r="I309" i="6" l="1"/>
  <c r="G310" i="6" s="1"/>
  <c r="H310" i="6" s="1"/>
  <c r="E310" i="6" l="1"/>
  <c r="I310" i="6"/>
  <c r="E311" i="6" s="1"/>
  <c r="G311" i="6" l="1"/>
  <c r="H311" i="6" s="1"/>
  <c r="I311" i="6" s="1"/>
  <c r="G312" i="6" l="1"/>
  <c r="H312" i="6" s="1"/>
  <c r="E312" i="6"/>
  <c r="I312" i="6" l="1"/>
  <c r="G313" i="6" s="1"/>
  <c r="H313" i="6" s="1"/>
  <c r="E313" i="6" l="1"/>
  <c r="I313" i="6" s="1"/>
  <c r="E314" i="6" l="1"/>
  <c r="G314" i="6"/>
  <c r="H314" i="6" s="1"/>
  <c r="I314" i="6" l="1"/>
  <c r="G315" i="6" s="1"/>
  <c r="H315" i="6" s="1"/>
  <c r="E315" i="6" l="1"/>
  <c r="I315" i="6" s="1"/>
  <c r="E316" i="6" s="1"/>
  <c r="G316" i="6" l="1"/>
  <c r="H316" i="6" s="1"/>
  <c r="I316" i="6" s="1"/>
  <c r="E317" i="6" s="1"/>
  <c r="G317" i="6" l="1"/>
  <c r="H317" i="6" s="1"/>
  <c r="I317" i="6" s="1"/>
  <c r="G318" i="6" l="1"/>
  <c r="H318" i="6" s="1"/>
  <c r="E318" i="6"/>
  <c r="I318" i="6" l="1"/>
  <c r="E319" i="6" s="1"/>
  <c r="G319" i="6" l="1"/>
  <c r="H319" i="6" s="1"/>
  <c r="I319" i="6" s="1"/>
  <c r="G320" i="6" l="1"/>
  <c r="H320" i="6" s="1"/>
  <c r="E320" i="6"/>
  <c r="I320" i="6" l="1"/>
  <c r="G321" i="6" s="1"/>
  <c r="H321" i="6" s="1"/>
  <c r="E321" i="6" l="1"/>
  <c r="I321" i="6" s="1"/>
  <c r="G322" i="6" s="1"/>
  <c r="H322" i="6" s="1"/>
  <c r="E322" i="6" l="1"/>
  <c r="I322" i="6" s="1"/>
  <c r="G323" i="6" l="1"/>
  <c r="H323" i="6" s="1"/>
  <c r="E323" i="6"/>
  <c r="I323" i="6" l="1"/>
  <c r="G324" i="6" s="1"/>
  <c r="H324" i="6" s="1"/>
  <c r="E324" i="6" l="1"/>
  <c r="I324" i="6" s="1"/>
  <c r="E325" i="6" l="1"/>
  <c r="G325" i="6"/>
  <c r="H325" i="6" s="1"/>
  <c r="I325" i="6" l="1"/>
  <c r="G326" i="6" s="1"/>
  <c r="H326" i="6" s="1"/>
  <c r="E326" i="6" l="1"/>
  <c r="I326" i="6" s="1"/>
  <c r="E327" i="6" s="1"/>
  <c r="G327" i="6" l="1"/>
  <c r="H327" i="6" s="1"/>
  <c r="I327" i="6" s="1"/>
  <c r="G328" i="6" l="1"/>
  <c r="H328" i="6" s="1"/>
  <c r="E328" i="6"/>
  <c r="I328" i="6" l="1"/>
  <c r="G329" i="6" s="1"/>
  <c r="H329" i="6" s="1"/>
  <c r="E329" i="6" l="1"/>
  <c r="I329" i="6" s="1"/>
  <c r="E330" i="6" s="1"/>
  <c r="G330" i="6" l="1"/>
  <c r="H330" i="6" s="1"/>
  <c r="I330" i="6" s="1"/>
  <c r="G331" i="6" l="1"/>
  <c r="H331" i="6" s="1"/>
  <c r="E331" i="6"/>
  <c r="I331" i="6" l="1"/>
  <c r="G332" i="6" s="1"/>
  <c r="H332" i="6" s="1"/>
  <c r="E332" i="6" l="1"/>
  <c r="I332" i="6" s="1"/>
  <c r="E333" i="6" s="1"/>
  <c r="G333" i="6" l="1"/>
  <c r="H333" i="6" s="1"/>
  <c r="I333" i="6" s="1"/>
  <c r="G334" i="6" l="1"/>
  <c r="H334" i="6" s="1"/>
  <c r="E334" i="6"/>
  <c r="I334" i="6" l="1"/>
  <c r="E335" i="6" s="1"/>
  <c r="G335" i="6"/>
  <c r="H335" i="6" s="1"/>
  <c r="I335" i="6" l="1"/>
  <c r="G336" i="6" l="1"/>
  <c r="H336" i="6" s="1"/>
  <c r="E336" i="6"/>
  <c r="I336" i="6" l="1"/>
  <c r="G337" i="6" s="1"/>
  <c r="H337" i="6" s="1"/>
  <c r="E337" i="6" l="1"/>
  <c r="I337" i="6" s="1"/>
  <c r="E338" i="6" s="1"/>
  <c r="G338" i="6" l="1"/>
  <c r="H338" i="6" s="1"/>
  <c r="I338" i="6" s="1"/>
  <c r="G339" i="6" l="1"/>
  <c r="H339" i="6" s="1"/>
  <c r="E339" i="6"/>
  <c r="I339" i="6" l="1"/>
  <c r="G340" i="6" s="1"/>
  <c r="H340" i="6" s="1"/>
  <c r="E340" i="6" l="1"/>
  <c r="I340" i="6" s="1"/>
</calcChain>
</file>

<file path=xl/sharedStrings.xml><?xml version="1.0" encoding="utf-8"?>
<sst xmlns="http://schemas.openxmlformats.org/spreadsheetml/2006/main" count="450" uniqueCount="273">
  <si>
    <t>Columbia, SC</t>
  </si>
  <si>
    <t>Hard Costs</t>
  </si>
  <si>
    <t>Financing</t>
  </si>
  <si>
    <t>One Year Proforma</t>
  </si>
  <si>
    <t>Acquisition Cost</t>
  </si>
  <si>
    <t>Total Cost</t>
  </si>
  <si>
    <t>Rental Income</t>
  </si>
  <si>
    <t>LTC</t>
  </si>
  <si>
    <t>Principal</t>
  </si>
  <si>
    <t>Equity</t>
  </si>
  <si>
    <t>Term</t>
  </si>
  <si>
    <t>Rate</t>
  </si>
  <si>
    <t>PMT</t>
  </si>
  <si>
    <t>ADS</t>
  </si>
  <si>
    <t>NOI</t>
  </si>
  <si>
    <t>BTCF</t>
  </si>
  <si>
    <t>Total Hard Costs</t>
  </si>
  <si>
    <t>DSCR</t>
  </si>
  <si>
    <t>Soft Costs</t>
  </si>
  <si>
    <t>Rent Roll</t>
  </si>
  <si>
    <t>SQ FT</t>
  </si>
  <si>
    <t>TI PSF</t>
  </si>
  <si>
    <t>TI TOTAL</t>
  </si>
  <si>
    <t>ANNUAL RENT</t>
  </si>
  <si>
    <t>MONTHLY RENT</t>
  </si>
  <si>
    <t>Contingency</t>
  </si>
  <si>
    <t>Interest Carry</t>
  </si>
  <si>
    <t>Closing Costs</t>
  </si>
  <si>
    <t>Permitting</t>
  </si>
  <si>
    <t>DD Costs</t>
  </si>
  <si>
    <t>Legal Fees</t>
  </si>
  <si>
    <t>Total Soft Costs</t>
  </si>
  <si>
    <t>Total Hard + Soft</t>
  </si>
  <si>
    <t>Cap Rate</t>
  </si>
  <si>
    <t>Total Project Costs</t>
  </si>
  <si>
    <t>Project Return</t>
  </si>
  <si>
    <t>Profit</t>
  </si>
  <si>
    <t>Total Building SF</t>
  </si>
  <si>
    <t>Annual Rent</t>
  </si>
  <si>
    <t>Extended Rent Schedule</t>
  </si>
  <si>
    <t>Total</t>
  </si>
  <si>
    <t>Proforma Cash Flow</t>
  </si>
  <si>
    <t>Model Assumptions</t>
  </si>
  <si>
    <t>REVENUE</t>
  </si>
  <si>
    <t>Exit Cap Rate</t>
  </si>
  <si>
    <t>Net Rental Income</t>
  </si>
  <si>
    <t>Commission/Closing Costs</t>
  </si>
  <si>
    <t>Misc. Income (Fees)</t>
  </si>
  <si>
    <t>Total Cash Equity</t>
  </si>
  <si>
    <t>Total Revenue</t>
  </si>
  <si>
    <t>OPERATING EXPENSES</t>
  </si>
  <si>
    <t>Preferred Return to Investor Equity</t>
  </si>
  <si>
    <t>Net Operating Income</t>
  </si>
  <si>
    <t>Debt Service</t>
  </si>
  <si>
    <t>Estimated Net Operating Cash Flow</t>
  </si>
  <si>
    <t>Distributable Cash</t>
  </si>
  <si>
    <t>Property Cash Flow</t>
  </si>
  <si>
    <t>Total Distributable Cash</t>
  </si>
  <si>
    <t>Cash Flow After Preferred Return</t>
  </si>
  <si>
    <t>Cash Flow to Class B Investor</t>
  </si>
  <si>
    <t>Cash Flow to Class A Investor</t>
  </si>
  <si>
    <t>Equity Multiple</t>
  </si>
  <si>
    <t xml:space="preserve">    IRR</t>
  </si>
  <si>
    <t>Property Sale Valuation</t>
  </si>
  <si>
    <t>Forecasted Asset Value</t>
  </si>
  <si>
    <t xml:space="preserve">   Less Closing Costs and Commissions (4%)</t>
  </si>
  <si>
    <t xml:space="preserve">   Less: Loan Balance</t>
  </si>
  <si>
    <t>Net Proceeds</t>
  </si>
  <si>
    <t>Less: Equity Repayment</t>
  </si>
  <si>
    <t>Net Sales Proceeds</t>
  </si>
  <si>
    <t>IRR</t>
  </si>
  <si>
    <t>Initial Investment</t>
  </si>
  <si>
    <t>Equity Return</t>
  </si>
  <si>
    <t>Cash Flow From Operation</t>
  </si>
  <si>
    <t>Cash at Sale</t>
  </si>
  <si>
    <t>IRR for Equity Investment</t>
  </si>
  <si>
    <t>Loan Terms</t>
  </si>
  <si>
    <t>Loan Amount</t>
  </si>
  <si>
    <t>Total Project Cost</t>
  </si>
  <si>
    <t>Amortization</t>
  </si>
  <si>
    <t>Capital Required</t>
  </si>
  <si>
    <t>Interest Only Period</t>
  </si>
  <si>
    <t>Loan Principal</t>
  </si>
  <si>
    <t># of Months</t>
  </si>
  <si>
    <t>IO + Loan Period</t>
  </si>
  <si>
    <t>Stabilized Monthly Debt Service</t>
  </si>
  <si>
    <t>Stabilized Annual Debt Service</t>
  </si>
  <si>
    <t>Monthly Breakdown</t>
  </si>
  <si>
    <t>Year</t>
  </si>
  <si>
    <t>Month</t>
  </si>
  <si>
    <t>Beginning Balance</t>
  </si>
  <si>
    <t>Payment</t>
  </si>
  <si>
    <t xml:space="preserve">Interest </t>
  </si>
  <si>
    <t>Ending Balance</t>
  </si>
  <si>
    <t>Developer Entry Cap Rate</t>
  </si>
  <si>
    <t>Basis Point Spread</t>
  </si>
  <si>
    <t>Insert Cost Category</t>
  </si>
  <si>
    <t>Yr 1</t>
  </si>
  <si>
    <t>Yr 2</t>
  </si>
  <si>
    <t>Sale IRR Calculation - Year 2</t>
  </si>
  <si>
    <t>Sale IRR Calculation - Year 3</t>
  </si>
  <si>
    <t>Yr 3</t>
  </si>
  <si>
    <t>Acquisition</t>
  </si>
  <si>
    <t>Year 2</t>
  </si>
  <si>
    <t>Year 3</t>
  </si>
  <si>
    <t>Year 4</t>
  </si>
  <si>
    <t>Year 5</t>
  </si>
  <si>
    <t>Year 6</t>
  </si>
  <si>
    <t>Sale IRR Calculation - Year 4</t>
  </si>
  <si>
    <t>Yr 4</t>
  </si>
  <si>
    <t>Proforma Assumptions</t>
  </si>
  <si>
    <t>Land Sale Broker Fee</t>
  </si>
  <si>
    <t>Sale Cap Rate Goal</t>
  </si>
  <si>
    <t>Interest Only Period (Months)</t>
  </si>
  <si>
    <t>Loan Amortization (Years)</t>
  </si>
  <si>
    <t>Lender Fees</t>
  </si>
  <si>
    <t>Lender Fee Percentage</t>
  </si>
  <si>
    <t>Financing Summary</t>
  </si>
  <si>
    <t>Acquisition Date</t>
  </si>
  <si>
    <t>Project Mgmt Fee (Developer Fee)</t>
  </si>
  <si>
    <t>Tenant</t>
  </si>
  <si>
    <t>*Refresh after updating any assumptions*</t>
  </si>
  <si>
    <t>BASE RENT PSF</t>
  </si>
  <si>
    <t>Environmental</t>
  </si>
  <si>
    <t>Description</t>
  </si>
  <si>
    <t>Costruction Cost</t>
  </si>
  <si>
    <t>Per Foot</t>
  </si>
  <si>
    <t xml:space="preserve">Site Work </t>
  </si>
  <si>
    <t>-</t>
  </si>
  <si>
    <t>Construction</t>
  </si>
  <si>
    <t>TI</t>
  </si>
  <si>
    <t xml:space="preserve">   Less: Equity Repayment</t>
  </si>
  <si>
    <t>Consturction Total</t>
  </si>
  <si>
    <t>Inspections</t>
  </si>
  <si>
    <t>Surveys</t>
  </si>
  <si>
    <t>Phase I</t>
  </si>
  <si>
    <t>Phase II</t>
  </si>
  <si>
    <t>GeoTech</t>
  </si>
  <si>
    <t>Structural</t>
  </si>
  <si>
    <t>Site</t>
  </si>
  <si>
    <t>Square Footage</t>
  </si>
  <si>
    <t>DD Cost Total</t>
  </si>
  <si>
    <t>Financing Rate</t>
  </si>
  <si>
    <t>Hard</t>
  </si>
  <si>
    <t>Soft</t>
  </si>
  <si>
    <t>Costs</t>
  </si>
  <si>
    <t>A&amp;E</t>
  </si>
  <si>
    <t>Site Work</t>
  </si>
  <si>
    <t>S/W Cost Total</t>
  </si>
  <si>
    <t>End of lease</t>
  </si>
  <si>
    <t>New tenant</t>
  </si>
  <si>
    <t>Renewal option executed</t>
  </si>
  <si>
    <t>Rent Change</t>
  </si>
  <si>
    <t>Unit</t>
  </si>
  <si>
    <t>BLDG %</t>
  </si>
  <si>
    <t>Avg. Rent PSF</t>
  </si>
  <si>
    <t>Annual Rent $</t>
  </si>
  <si>
    <t>Totals</t>
  </si>
  <si>
    <t>Base Rent Roll</t>
  </si>
  <si>
    <t>UPPER LEVEL</t>
  </si>
  <si>
    <t>Year 0</t>
  </si>
  <si>
    <t>Vacancy</t>
  </si>
  <si>
    <t>Expense Increases</t>
  </si>
  <si>
    <t xml:space="preserve">   Less: Vacancy Loss</t>
  </si>
  <si>
    <t>Reserves</t>
  </si>
  <si>
    <t>$0.20/sf</t>
  </si>
  <si>
    <t>Reimbursements</t>
  </si>
  <si>
    <t>Reserves ($0.20/ sf)</t>
  </si>
  <si>
    <t>Property Taxes</t>
  </si>
  <si>
    <t>Insurance</t>
  </si>
  <si>
    <t>Cam</t>
  </si>
  <si>
    <t xml:space="preserve">Management Fees </t>
  </si>
  <si>
    <t xml:space="preserve">Class B Investor Return </t>
  </si>
  <si>
    <t>Class A Investor Return</t>
  </si>
  <si>
    <t>Investor Snapshot</t>
  </si>
  <si>
    <t>70%/30% profit share</t>
  </si>
  <si>
    <t>YoY Change</t>
  </si>
  <si>
    <t>%/Yr Inc</t>
  </si>
  <si>
    <t>Tax</t>
  </si>
  <si>
    <t>Ins</t>
  </si>
  <si>
    <t>CAM</t>
  </si>
  <si>
    <t>y</t>
  </si>
  <si>
    <t>n</t>
  </si>
  <si>
    <t>Reimburse? Y/N</t>
  </si>
  <si>
    <t xml:space="preserve">Taxes </t>
  </si>
  <si>
    <t>Sitework</t>
  </si>
  <si>
    <t>Addt'l Import</t>
  </si>
  <si>
    <t>U/G Detention</t>
  </si>
  <si>
    <t>Landscaping</t>
  </si>
  <si>
    <t>Site Lighting</t>
  </si>
  <si>
    <t>Signage</t>
  </si>
  <si>
    <t>Interior Demo</t>
  </si>
  <si>
    <t>Asbestos Abatement</t>
  </si>
  <si>
    <t>Expenses</t>
  </si>
  <si>
    <t>Property Management Fee</t>
  </si>
  <si>
    <t>Annual Expense Increase</t>
  </si>
  <si>
    <t>Vacancy Rate</t>
  </si>
  <si>
    <t>Yr 5</t>
  </si>
  <si>
    <t>Yr 6</t>
  </si>
  <si>
    <t>Sale IRR Calculation - Year 5</t>
  </si>
  <si>
    <t>Sale IRR Calculation - Year 6</t>
  </si>
  <si>
    <t>Levered Cap Rate Valuation (Year 4 Sale)</t>
  </si>
  <si>
    <t>Proceeds to Class B Investor</t>
  </si>
  <si>
    <t>Proceeds to Class A Investor</t>
  </si>
  <si>
    <t>Revenue</t>
  </si>
  <si>
    <t>Developer Entry Return</t>
  </si>
  <si>
    <t>DD Costs (Soft Cost)</t>
  </si>
  <si>
    <t>Total Qualified Expenses</t>
  </si>
  <si>
    <t>Construction Costs</t>
  </si>
  <si>
    <t>Site Survey and Structural Reports</t>
  </si>
  <si>
    <t>Permit and Inspection Fees</t>
  </si>
  <si>
    <t>Construction Period Interest and Taxes</t>
  </si>
  <si>
    <t>Developer Fees (15%)</t>
  </si>
  <si>
    <t>Tax Credit Qualified Costs</t>
  </si>
  <si>
    <t>Abandoned Building Credit</t>
  </si>
  <si>
    <t>Federal Credit</t>
  </si>
  <si>
    <t xml:space="preserve">State Credit </t>
  </si>
  <si>
    <t>Gross Value</t>
  </si>
  <si>
    <t>Abandoned Building Credit Syndication Value</t>
  </si>
  <si>
    <t>Federal Credit Syndication Value</t>
  </si>
  <si>
    <t>State Credit Syndication Value</t>
  </si>
  <si>
    <t>Sale Value</t>
  </si>
  <si>
    <t>Tax Credits</t>
  </si>
  <si>
    <t>Abandoned</t>
  </si>
  <si>
    <t>Federal Historic</t>
  </si>
  <si>
    <t>State Historic</t>
  </si>
  <si>
    <t>Tax Credit Syndication Value Available</t>
  </si>
  <si>
    <t>Project Return-</t>
  </si>
  <si>
    <t>ROE-</t>
  </si>
  <si>
    <t>Leasing Commissions</t>
  </si>
  <si>
    <t>Leasing Costs</t>
  </si>
  <si>
    <t>Cost</t>
  </si>
  <si>
    <t>Year 1 (2026)</t>
  </si>
  <si>
    <t>Yr 7</t>
  </si>
  <si>
    <t>Months of Construction</t>
  </si>
  <si>
    <t>Construction I/O</t>
  </si>
  <si>
    <t>Operating I/O</t>
  </si>
  <si>
    <t>Year 1 Amortizing Months</t>
  </si>
  <si>
    <t>Year 1 I/O</t>
  </si>
  <si>
    <t>Year 2 I/O</t>
  </si>
  <si>
    <t>Year 3 I/O</t>
  </si>
  <si>
    <t>Year 2 Amortizing Months</t>
  </si>
  <si>
    <t>Year 3 Amortizing Months</t>
  </si>
  <si>
    <t>IO Monthly Pmt</t>
  </si>
  <si>
    <t>Dealpath Metrics</t>
  </si>
  <si>
    <t>ROE Y1</t>
  </si>
  <si>
    <t>IRR Yr1</t>
  </si>
  <si>
    <t>IRR Yr2</t>
  </si>
  <si>
    <t>IRR Yr3</t>
  </si>
  <si>
    <t>IRR Yr4</t>
  </si>
  <si>
    <t>IRR Yr5</t>
  </si>
  <si>
    <t>Avg Rent PSF</t>
  </si>
  <si>
    <t>Developer Entry Cap</t>
  </si>
  <si>
    <t>*Always enable macros</t>
  </si>
  <si>
    <t>New Building Construction</t>
  </si>
  <si>
    <t>Interior Renovations</t>
  </si>
  <si>
    <t>Building Demolition</t>
  </si>
  <si>
    <t>Roof Replacement</t>
  </si>
  <si>
    <t>Structural Repairs</t>
  </si>
  <si>
    <t>Fencing</t>
  </si>
  <si>
    <t>FF&amp;E</t>
  </si>
  <si>
    <t>Low Voltage</t>
  </si>
  <si>
    <t>Materials Testing &amp; SWPPP Inspections</t>
  </si>
  <si>
    <t xml:space="preserve">Sale </t>
  </si>
  <si>
    <t>Build To Suit</t>
  </si>
  <si>
    <t>B</t>
  </si>
  <si>
    <t>Leasing Commission</t>
  </si>
  <si>
    <t>Swig</t>
  </si>
  <si>
    <t>Sleep Number</t>
  </si>
  <si>
    <t>Verizon</t>
  </si>
  <si>
    <t>A Endcap</t>
  </si>
  <si>
    <t>C Endcap</t>
  </si>
  <si>
    <t>Knox Abbot 3 Tenant Bldg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</si>
</sst>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5" formatCode="&quot;$&quot;#,##0_);\(&quot;$&quot;#,##0\)"/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_(&quot;$&quot;* #,##0_);_(&quot;$&quot;* \(#,##0\);_(&quot;$&quot;* &quot;-&quot;??_);_(@_)"/>
    <numFmt numFmtId="166" formatCode="&quot;Year&quot;\ 0\ "/>
    <numFmt numFmtId="167" formatCode="0.0%"/>
    <numFmt numFmtId="168" formatCode="0.00&quot;X&quot;"/>
    <numFmt numFmtId="169" formatCode="0\ &quot;Years&quot;"/>
    <numFmt numFmtId="170" formatCode="0\ &quot;Months&quot;"/>
    <numFmt numFmtId="171" formatCode="&quot;$&quot;#,##0.00"/>
    <numFmt numFmtId="172" formatCode="&quot;$&quot;#,##0"/>
    <numFmt numFmtId="173" formatCode="&quot;Less: Mgmt Fee &quot;\3\%"/>
    <numFmt numFmtId="174" formatCode="&quot;Project Mgmt Fee &quot;\ 0%"/>
    <numFmt numFmtId="175" formatCode="&quot;Land Sale Broker Fee &quot;\ 0%"/>
    <numFmt numFmtId="176" formatCode="0\ &quot;SQFT&quot;"/>
    <numFmt numFmtId="177" formatCode="&quot;   Less: Closing Costs (&quot;0%&quot;)&quot;"/>
    <numFmt numFmtId="178" formatCode="0.000%"/>
  </numFmts>
  <fonts count="34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6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rgb="FF0070C0"/>
      <name val="Aptos Narrow"/>
      <family val="2"/>
      <scheme val="minor"/>
    </font>
    <font>
      <sz val="8"/>
      <name val="Arial"/>
      <family val="2"/>
    </font>
    <font>
      <b/>
      <sz val="12"/>
      <color indexed="9"/>
      <name val="Arial"/>
      <family val="2"/>
    </font>
    <font>
      <sz val="11"/>
      <color rgb="FF254744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18"/>
      <color theme="0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1"/>
      <color theme="4" tint="-0.249977111117893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sz val="8"/>
      <name val="Aptos Narrow"/>
      <family val="2"/>
      <scheme val="minor"/>
    </font>
    <font>
      <i/>
      <sz val="12"/>
      <color theme="1"/>
      <name val="Aptos Narrow"/>
      <family val="2"/>
      <scheme val="minor"/>
    </font>
    <font>
      <sz val="1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1"/>
      <color rgb="FF0070C0"/>
      <name val="Arial"/>
      <family val="2"/>
    </font>
    <font>
      <b/>
      <i/>
      <sz val="11"/>
      <color theme="1"/>
      <name val="Aptos Narrow"/>
      <family val="2"/>
      <scheme val="minor"/>
    </font>
    <font>
      <b/>
      <i/>
      <sz val="24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sz val="9"/>
      <name val="Aptos Narrow"/>
      <family val="2"/>
      <scheme val="minor"/>
    </font>
    <font>
      <sz val="11"/>
      <color rgb="FF242424"/>
      <name val="Inherit"/>
    </font>
    <font>
      <sz val="11"/>
      <color rgb="FF000000"/>
      <name val="Aptos Narrow"/>
    </font>
  </fonts>
  <fills count="21">
    <fill>
      <patternFill patternType="none"/>
    </fill>
    <fill>
      <patternFill patternType="gray125"/>
    </fill>
    <fill>
      <patternFill patternType="solid">
        <fgColor rgb="FF254744"/>
        <bgColor indexed="64"/>
      </patternFill>
    </fill>
    <fill>
      <patternFill patternType="solid">
        <fgColor rgb="FFCCD6D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BB0AD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B4C4C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BBDBA"/>
        <bgColor indexed="64"/>
      </patternFill>
    </fill>
  </fills>
  <borders count="6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3" fillId="0" borderId="0"/>
    <xf numFmtId="43" fontId="23" fillId="0" borderId="0" applyFont="0" applyFill="0" applyBorder="0" applyAlignment="0" applyProtection="0"/>
    <xf numFmtId="44" fontId="23" fillId="0" borderId="0" applyFont="0" applyFill="0" applyBorder="0" applyAlignment="0" applyProtection="0"/>
  </cellStyleXfs>
  <cellXfs count="461">
    <xf numFmtId="0" fontId="0" fillId="0" borderId="0" xfId="0"/>
    <xf numFmtId="0" fontId="8" fillId="0" borderId="0" xfId="0" applyFont="1" applyAlignment="1">
      <alignment horizontal="left"/>
    </xf>
    <xf numFmtId="44" fontId="0" fillId="0" borderId="0" xfId="0" applyNumberFormat="1"/>
    <xf numFmtId="164" fontId="7" fillId="0" borderId="0" xfId="1" applyNumberFormat="1" applyFont="1"/>
    <xf numFmtId="0" fontId="7" fillId="0" borderId="0" xfId="0" applyFont="1"/>
    <xf numFmtId="0" fontId="2" fillId="2" borderId="1" xfId="0" applyFont="1" applyFill="1" applyBorder="1" applyAlignment="1">
      <alignment horizontal="center"/>
    </xf>
    <xf numFmtId="0" fontId="9" fillId="0" borderId="0" xfId="0" applyFont="1" applyAlignment="1">
      <alignment horizontal="center"/>
    </xf>
    <xf numFmtId="0" fontId="0" fillId="0" borderId="7" xfId="0" applyBorder="1"/>
    <xf numFmtId="165" fontId="0" fillId="0" borderId="8" xfId="0" applyNumberFormat="1" applyBorder="1"/>
    <xf numFmtId="0" fontId="0" fillId="0" borderId="9" xfId="0" applyBorder="1"/>
    <xf numFmtId="0" fontId="0" fillId="0" borderId="8" xfId="0" applyBorder="1"/>
    <xf numFmtId="0" fontId="0" fillId="0" borderId="7" xfId="0" applyBorder="1" applyAlignment="1">
      <alignment horizontal="left" indent="1"/>
    </xf>
    <xf numFmtId="44" fontId="0" fillId="0" borderId="0" xfId="2" applyFont="1"/>
    <xf numFmtId="9" fontId="0" fillId="0" borderId="0" xfId="0" applyNumberFormat="1"/>
    <xf numFmtId="165" fontId="0" fillId="0" borderId="0" xfId="0" applyNumberFormat="1"/>
    <xf numFmtId="165" fontId="0" fillId="0" borderId="8" xfId="2" applyNumberFormat="1" applyFont="1" applyBorder="1"/>
    <xf numFmtId="0" fontId="0" fillId="0" borderId="11" xfId="0" applyBorder="1"/>
    <xf numFmtId="165" fontId="4" fillId="0" borderId="8" xfId="0" applyNumberFormat="1" applyFont="1" applyBorder="1"/>
    <xf numFmtId="44" fontId="0" fillId="0" borderId="8" xfId="0" applyNumberFormat="1" applyBorder="1"/>
    <xf numFmtId="165" fontId="0" fillId="0" borderId="15" xfId="0" applyNumberFormat="1" applyBorder="1"/>
    <xf numFmtId="10" fontId="0" fillId="0" borderId="0" xfId="0" applyNumberFormat="1"/>
    <xf numFmtId="8" fontId="0" fillId="0" borderId="0" xfId="0" applyNumberFormat="1"/>
    <xf numFmtId="6" fontId="0" fillId="0" borderId="8" xfId="0" applyNumberFormat="1" applyBorder="1"/>
    <xf numFmtId="6" fontId="0" fillId="0" borderId="12" xfId="0" applyNumberFormat="1" applyBorder="1"/>
    <xf numFmtId="0" fontId="0" fillId="0" borderId="14" xfId="0" applyBorder="1"/>
    <xf numFmtId="10" fontId="0" fillId="0" borderId="0" xfId="3" applyNumberFormat="1" applyFont="1" applyBorder="1"/>
    <xf numFmtId="0" fontId="0" fillId="0" borderId="4" xfId="0" applyBorder="1"/>
    <xf numFmtId="0" fontId="0" fillId="0" borderId="7" xfId="0" applyBorder="1" applyAlignment="1">
      <alignment horizontal="left"/>
    </xf>
    <xf numFmtId="0" fontId="4" fillId="0" borderId="0" xfId="0" applyFont="1" applyAlignment="1">
      <alignment horizontal="center" vertical="center"/>
    </xf>
    <xf numFmtId="0" fontId="4" fillId="0" borderId="11" xfId="0" applyFont="1" applyBorder="1"/>
    <xf numFmtId="165" fontId="4" fillId="0" borderId="12" xfId="0" applyNumberFormat="1" applyFont="1" applyBorder="1"/>
    <xf numFmtId="10" fontId="0" fillId="0" borderId="0" xfId="3" applyNumberFormat="1" applyFont="1" applyAlignment="1">
      <alignment horizontal="center"/>
    </xf>
    <xf numFmtId="165" fontId="0" fillId="0" borderId="0" xfId="2" applyNumberFormat="1" applyFont="1" applyBorder="1" applyAlignment="1">
      <alignment horizontal="center"/>
    </xf>
    <xf numFmtId="165" fontId="0" fillId="0" borderId="0" xfId="2" applyNumberFormat="1" applyFont="1" applyBorder="1"/>
    <xf numFmtId="44" fontId="0" fillId="0" borderId="16" xfId="2" applyFont="1" applyBorder="1" applyAlignment="1">
      <alignment horizontal="center"/>
    </xf>
    <xf numFmtId="0" fontId="0" fillId="0" borderId="17" xfId="0" applyBorder="1"/>
    <xf numFmtId="0" fontId="0" fillId="0" borderId="21" xfId="0" applyBorder="1"/>
    <xf numFmtId="10" fontId="4" fillId="4" borderId="3" xfId="0" applyNumberFormat="1" applyFont="1" applyFill="1" applyBorder="1" applyAlignment="1">
      <alignment horizontal="center"/>
    </xf>
    <xf numFmtId="10" fontId="4" fillId="6" borderId="3" xfId="0" applyNumberFormat="1" applyFont="1" applyFill="1" applyBorder="1" applyAlignment="1">
      <alignment horizontal="center"/>
    </xf>
    <xf numFmtId="10" fontId="4" fillId="6" borderId="2" xfId="0" applyNumberFormat="1" applyFont="1" applyFill="1" applyBorder="1" applyAlignment="1">
      <alignment horizontal="center"/>
    </xf>
    <xf numFmtId="0" fontId="0" fillId="7" borderId="7" xfId="0" applyFill="1" applyBorder="1"/>
    <xf numFmtId="165" fontId="0" fillId="5" borderId="23" xfId="0" applyNumberFormat="1" applyFill="1" applyBorder="1"/>
    <xf numFmtId="165" fontId="0" fillId="6" borderId="8" xfId="0" applyNumberFormat="1" applyFill="1" applyBorder="1"/>
    <xf numFmtId="0" fontId="4" fillId="3" borderId="11" xfId="0" applyFont="1" applyFill="1" applyBorder="1"/>
    <xf numFmtId="165" fontId="4" fillId="3" borderId="12" xfId="0" applyNumberFormat="1" applyFont="1" applyFill="1" applyBorder="1"/>
    <xf numFmtId="0" fontId="0" fillId="0" borderId="24" xfId="0" applyBorder="1"/>
    <xf numFmtId="0" fontId="0" fillId="7" borderId="14" xfId="0" applyFill="1" applyBorder="1"/>
    <xf numFmtId="9" fontId="0" fillId="0" borderId="0" xfId="3" applyFont="1"/>
    <xf numFmtId="165" fontId="4" fillId="4" borderId="25" xfId="0" applyNumberFormat="1" applyFont="1" applyFill="1" applyBorder="1"/>
    <xf numFmtId="165" fontId="4" fillId="5" borderId="26" xfId="0" applyNumberFormat="1" applyFont="1" applyFill="1" applyBorder="1"/>
    <xf numFmtId="165" fontId="4" fillId="6" borderId="25" xfId="0" applyNumberFormat="1" applyFont="1" applyFill="1" applyBorder="1"/>
    <xf numFmtId="165" fontId="4" fillId="6" borderId="27" xfId="0" applyNumberFormat="1" applyFont="1" applyFill="1" applyBorder="1"/>
    <xf numFmtId="0" fontId="4" fillId="0" borderId="0" xfId="0" applyFont="1"/>
    <xf numFmtId="165" fontId="4" fillId="0" borderId="19" xfId="0" applyNumberFormat="1" applyFont="1" applyBorder="1"/>
    <xf numFmtId="165" fontId="4" fillId="0" borderId="20" xfId="0" applyNumberFormat="1" applyFont="1" applyBorder="1"/>
    <xf numFmtId="0" fontId="3" fillId="0" borderId="0" xfId="0" applyFont="1"/>
    <xf numFmtId="164" fontId="0" fillId="0" borderId="0" xfId="1" applyNumberFormat="1" applyFont="1"/>
    <xf numFmtId="0" fontId="11" fillId="0" borderId="0" xfId="0" applyFont="1" applyAlignment="1">
      <alignment horizontal="right"/>
    </xf>
    <xf numFmtId="0" fontId="0" fillId="7" borderId="0" xfId="0" applyFill="1"/>
    <xf numFmtId="0" fontId="12" fillId="7" borderId="0" xfId="0" applyFont="1" applyFill="1" applyAlignment="1">
      <alignment horizontal="center" vertical="center"/>
    </xf>
    <xf numFmtId="0" fontId="0" fillId="8" borderId="30" xfId="0" applyFill="1" applyBorder="1"/>
    <xf numFmtId="0" fontId="2" fillId="8" borderId="31" xfId="0" applyFont="1" applyFill="1" applyBorder="1" applyAlignment="1">
      <alignment horizontal="center" wrapText="1"/>
    </xf>
    <xf numFmtId="166" fontId="2" fillId="8" borderId="19" xfId="0" applyNumberFormat="1" applyFont="1" applyFill="1" applyBorder="1"/>
    <xf numFmtId="0" fontId="5" fillId="8" borderId="19" xfId="0" applyFont="1" applyFill="1" applyBorder="1"/>
    <xf numFmtId="0" fontId="5" fillId="7" borderId="0" xfId="0" applyFont="1" applyFill="1" applyAlignment="1">
      <alignment horizontal="center"/>
    </xf>
    <xf numFmtId="9" fontId="13" fillId="3" borderId="6" xfId="0" applyNumberFormat="1" applyFont="1" applyFill="1" applyBorder="1" applyAlignment="1">
      <alignment horizontal="right"/>
    </xf>
    <xf numFmtId="9" fontId="13" fillId="7" borderId="0" xfId="0" applyNumberFormat="1" applyFont="1" applyFill="1" applyAlignment="1">
      <alignment horizontal="right"/>
    </xf>
    <xf numFmtId="9" fontId="13" fillId="3" borderId="8" xfId="0" applyNumberFormat="1" applyFont="1" applyFill="1" applyBorder="1"/>
    <xf numFmtId="9" fontId="13" fillId="7" borderId="0" xfId="0" applyNumberFormat="1" applyFont="1" applyFill="1"/>
    <xf numFmtId="0" fontId="4" fillId="0" borderId="21" xfId="0" applyFont="1" applyBorder="1"/>
    <xf numFmtId="9" fontId="13" fillId="3" borderId="8" xfId="0" applyNumberFormat="1" applyFont="1" applyFill="1" applyBorder="1" applyAlignment="1">
      <alignment horizontal="right"/>
    </xf>
    <xf numFmtId="0" fontId="0" fillId="0" borderId="16" xfId="0" applyBorder="1"/>
    <xf numFmtId="165" fontId="0" fillId="0" borderId="16" xfId="2" applyNumberFormat="1" applyFont="1" applyFill="1" applyBorder="1"/>
    <xf numFmtId="10" fontId="13" fillId="3" borderId="8" xfId="0" applyNumberFormat="1" applyFont="1" applyFill="1" applyBorder="1"/>
    <xf numFmtId="10" fontId="13" fillId="7" borderId="0" xfId="0" applyNumberFormat="1" applyFont="1" applyFill="1"/>
    <xf numFmtId="165" fontId="0" fillId="0" borderId="0" xfId="2" applyNumberFormat="1" applyFont="1" applyFill="1" applyBorder="1"/>
    <xf numFmtId="10" fontId="13" fillId="0" borderId="8" xfId="0" applyNumberFormat="1" applyFont="1" applyBorder="1"/>
    <xf numFmtId="0" fontId="4" fillId="0" borderId="7" xfId="0" applyFont="1" applyBorder="1"/>
    <xf numFmtId="165" fontId="4" fillId="0" borderId="15" xfId="2" applyNumberFormat="1" applyFont="1" applyBorder="1"/>
    <xf numFmtId="0" fontId="4" fillId="0" borderId="32" xfId="0" applyFont="1" applyBorder="1"/>
    <xf numFmtId="0" fontId="4" fillId="0" borderId="33" xfId="0" applyFont="1" applyBorder="1"/>
    <xf numFmtId="165" fontId="4" fillId="0" borderId="33" xfId="2" applyNumberFormat="1" applyFont="1" applyBorder="1"/>
    <xf numFmtId="165" fontId="0" fillId="7" borderId="0" xfId="0" applyNumberFormat="1" applyFill="1"/>
    <xf numFmtId="0" fontId="4" fillId="0" borderId="16" xfId="0" applyFont="1" applyBorder="1"/>
    <xf numFmtId="167" fontId="13" fillId="3" borderId="8" xfId="3" applyNumberFormat="1" applyFont="1" applyFill="1" applyBorder="1"/>
    <xf numFmtId="167" fontId="13" fillId="7" borderId="0" xfId="3" applyNumberFormat="1" applyFont="1" applyFill="1" applyBorder="1"/>
    <xf numFmtId="9" fontId="13" fillId="3" borderId="8" xfId="3" applyFont="1" applyFill="1" applyBorder="1"/>
    <xf numFmtId="9" fontId="13" fillId="7" borderId="0" xfId="3" applyFont="1" applyFill="1" applyBorder="1"/>
    <xf numFmtId="165" fontId="4" fillId="0" borderId="33" xfId="0" applyNumberFormat="1" applyFont="1" applyBorder="1"/>
    <xf numFmtId="9" fontId="13" fillId="3" borderId="12" xfId="3" applyFont="1" applyFill="1" applyBorder="1"/>
    <xf numFmtId="0" fontId="4" fillId="0" borderId="34" xfId="0" applyFont="1" applyBorder="1"/>
    <xf numFmtId="0" fontId="0" fillId="0" borderId="25" xfId="0" applyBorder="1"/>
    <xf numFmtId="165" fontId="14" fillId="0" borderId="25" xfId="0" applyNumberFormat="1" applyFont="1" applyBorder="1"/>
    <xf numFmtId="0" fontId="4" fillId="0" borderId="30" xfId="0" applyFont="1" applyBorder="1"/>
    <xf numFmtId="0" fontId="4" fillId="0" borderId="19" xfId="0" applyFont="1" applyBorder="1"/>
    <xf numFmtId="165" fontId="15" fillId="0" borderId="19" xfId="0" applyNumberFormat="1" applyFont="1" applyBorder="1"/>
    <xf numFmtId="43" fontId="1" fillId="0" borderId="0" xfId="1" applyFont="1" applyBorder="1"/>
    <xf numFmtId="165" fontId="4" fillId="0" borderId="0" xfId="0" applyNumberFormat="1" applyFont="1"/>
    <xf numFmtId="0" fontId="0" fillId="0" borderId="21" xfId="0" applyBorder="1" applyAlignment="1">
      <alignment horizontal="left" indent="1"/>
    </xf>
    <xf numFmtId="165" fontId="14" fillId="0" borderId="35" xfId="0" applyNumberFormat="1" applyFont="1" applyBorder="1"/>
    <xf numFmtId="0" fontId="4" fillId="0" borderId="8" xfId="0" applyFont="1" applyBorder="1"/>
    <xf numFmtId="0" fontId="4" fillId="7" borderId="0" xfId="0" applyFont="1" applyFill="1"/>
    <xf numFmtId="0" fontId="0" fillId="0" borderId="21" xfId="0" applyBorder="1" applyAlignment="1">
      <alignment horizontal="left"/>
    </xf>
    <xf numFmtId="165" fontId="0" fillId="7" borderId="16" xfId="0" applyNumberFormat="1" applyFill="1" applyBorder="1"/>
    <xf numFmtId="0" fontId="16" fillId="0" borderId="21" xfId="0" applyFont="1" applyBorder="1" applyAlignment="1">
      <alignment horizontal="left" indent="1"/>
    </xf>
    <xf numFmtId="0" fontId="16" fillId="0" borderId="0" xfId="0" applyFont="1"/>
    <xf numFmtId="165" fontId="16" fillId="0" borderId="0" xfId="2" applyNumberFormat="1" applyFont="1" applyBorder="1"/>
    <xf numFmtId="9" fontId="0" fillId="0" borderId="0" xfId="3" applyFont="1" applyBorder="1"/>
    <xf numFmtId="0" fontId="0" fillId="0" borderId="36" xfId="0" applyBorder="1"/>
    <xf numFmtId="0" fontId="0" fillId="0" borderId="37" xfId="0" applyBorder="1"/>
    <xf numFmtId="10" fontId="0" fillId="0" borderId="37" xfId="0" applyNumberFormat="1" applyBorder="1"/>
    <xf numFmtId="0" fontId="0" fillId="0" borderId="0" xfId="0" applyAlignment="1">
      <alignment horizontal="left"/>
    </xf>
    <xf numFmtId="165" fontId="0" fillId="0" borderId="39" xfId="0" applyNumberFormat="1" applyBorder="1"/>
    <xf numFmtId="0" fontId="0" fillId="0" borderId="10" xfId="0" applyBorder="1"/>
    <xf numFmtId="165" fontId="4" fillId="0" borderId="39" xfId="0" applyNumberFormat="1" applyFont="1" applyBorder="1"/>
    <xf numFmtId="0" fontId="17" fillId="7" borderId="0" xfId="0" applyFont="1" applyFill="1" applyAlignment="1">
      <alignment horizontal="center" vertical="center"/>
    </xf>
    <xf numFmtId="0" fontId="4" fillId="0" borderId="13" xfId="0" applyFont="1" applyBorder="1"/>
    <xf numFmtId="165" fontId="4" fillId="0" borderId="13" xfId="0" applyNumberFormat="1" applyFont="1" applyBorder="1"/>
    <xf numFmtId="0" fontId="2" fillId="7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8" fillId="7" borderId="0" xfId="0" applyFont="1" applyFill="1" applyAlignment="1">
      <alignment horizontal="center"/>
    </xf>
    <xf numFmtId="0" fontId="0" fillId="0" borderId="39" xfId="0" applyBorder="1"/>
    <xf numFmtId="165" fontId="0" fillId="0" borderId="16" xfId="0" applyNumberFormat="1" applyBorder="1"/>
    <xf numFmtId="0" fontId="0" fillId="0" borderId="34" xfId="0" applyBorder="1"/>
    <xf numFmtId="165" fontId="0" fillId="0" borderId="13" xfId="0" applyNumberFormat="1" applyBorder="1"/>
    <xf numFmtId="165" fontId="0" fillId="0" borderId="12" xfId="0" applyNumberFormat="1" applyBorder="1"/>
    <xf numFmtId="0" fontId="5" fillId="9" borderId="4" xfId="0" applyFont="1" applyFill="1" applyBorder="1" applyAlignment="1">
      <alignment horizontal="center"/>
    </xf>
    <xf numFmtId="0" fontId="5" fillId="9" borderId="6" xfId="0" applyFont="1" applyFill="1" applyBorder="1" applyAlignment="1">
      <alignment horizontal="center"/>
    </xf>
    <xf numFmtId="0" fontId="5" fillId="10" borderId="7" xfId="0" applyFont="1" applyFill="1" applyBorder="1"/>
    <xf numFmtId="165" fontId="10" fillId="7" borderId="8" xfId="0" applyNumberFormat="1" applyFont="1" applyFill="1" applyBorder="1"/>
    <xf numFmtId="165" fontId="0" fillId="7" borderId="8" xfId="0" applyNumberFormat="1" applyFill="1" applyBorder="1"/>
    <xf numFmtId="10" fontId="19" fillId="11" borderId="8" xfId="0" applyNumberFormat="1" applyFont="1" applyFill="1" applyBorder="1"/>
    <xf numFmtId="169" fontId="19" fillId="11" borderId="8" xfId="0" applyNumberFormat="1" applyFont="1" applyFill="1" applyBorder="1"/>
    <xf numFmtId="170" fontId="19" fillId="0" borderId="8" xfId="0" applyNumberFormat="1" applyFont="1" applyBorder="1"/>
    <xf numFmtId="0" fontId="5" fillId="10" borderId="11" xfId="0" applyFont="1" applyFill="1" applyBorder="1"/>
    <xf numFmtId="165" fontId="0" fillId="7" borderId="12" xfId="0" applyNumberFormat="1" applyFill="1" applyBorder="1"/>
    <xf numFmtId="170" fontId="0" fillId="7" borderId="8" xfId="0" applyNumberFormat="1" applyFill="1" applyBorder="1"/>
    <xf numFmtId="0" fontId="5" fillId="9" borderId="18" xfId="0" applyFont="1" applyFill="1" applyBorder="1"/>
    <xf numFmtId="0" fontId="5" fillId="9" borderId="19" xfId="0" applyFont="1" applyFill="1" applyBorder="1"/>
    <xf numFmtId="0" fontId="5" fillId="9" borderId="20" xfId="0" applyFont="1" applyFill="1" applyBorder="1"/>
    <xf numFmtId="0" fontId="0" fillId="7" borderId="4" xfId="0" applyFill="1" applyBorder="1"/>
    <xf numFmtId="0" fontId="0" fillId="7" borderId="5" xfId="0" applyFill="1" applyBorder="1"/>
    <xf numFmtId="5" fontId="0" fillId="7" borderId="5" xfId="0" applyNumberFormat="1" applyFill="1" applyBorder="1"/>
    <xf numFmtId="5" fontId="0" fillId="7" borderId="6" xfId="0" applyNumberFormat="1" applyFill="1" applyBorder="1"/>
    <xf numFmtId="5" fontId="0" fillId="7" borderId="0" xfId="0" applyNumberFormat="1" applyFill="1"/>
    <xf numFmtId="5" fontId="0" fillId="7" borderId="8" xfId="0" applyNumberFormat="1" applyFill="1" applyBorder="1"/>
    <xf numFmtId="171" fontId="0" fillId="0" borderId="0" xfId="0" applyNumberFormat="1"/>
    <xf numFmtId="0" fontId="0" fillId="7" borderId="16" xfId="0" applyFill="1" applyBorder="1"/>
    <xf numFmtId="172" fontId="0" fillId="0" borderId="0" xfId="0" applyNumberFormat="1"/>
    <xf numFmtId="0" fontId="0" fillId="7" borderId="11" xfId="0" applyFill="1" applyBorder="1"/>
    <xf numFmtId="0" fontId="0" fillId="7" borderId="13" xfId="0" applyFill="1" applyBorder="1"/>
    <xf numFmtId="5" fontId="0" fillId="7" borderId="13" xfId="0" applyNumberFormat="1" applyFill="1" applyBorder="1"/>
    <xf numFmtId="5" fontId="0" fillId="7" borderId="12" xfId="0" applyNumberFormat="1" applyFill="1" applyBorder="1"/>
    <xf numFmtId="165" fontId="0" fillId="0" borderId="0" xfId="2" applyNumberFormat="1" applyFont="1"/>
    <xf numFmtId="6" fontId="0" fillId="0" borderId="0" xfId="0" applyNumberFormat="1"/>
    <xf numFmtId="0" fontId="0" fillId="0" borderId="18" xfId="0" applyBorder="1"/>
    <xf numFmtId="10" fontId="0" fillId="0" borderId="20" xfId="0" applyNumberFormat="1" applyBorder="1"/>
    <xf numFmtId="5" fontId="0" fillId="7" borderId="16" xfId="0" applyNumberFormat="1" applyFill="1" applyBorder="1"/>
    <xf numFmtId="5" fontId="0" fillId="7" borderId="15" xfId="0" applyNumberFormat="1" applyFill="1" applyBorder="1"/>
    <xf numFmtId="9" fontId="0" fillId="0" borderId="8" xfId="3" applyFont="1" applyBorder="1"/>
    <xf numFmtId="10" fontId="0" fillId="0" borderId="8" xfId="3" applyNumberFormat="1" applyFont="1" applyBorder="1"/>
    <xf numFmtId="0" fontId="0" fillId="0" borderId="15" xfId="0" applyBorder="1"/>
    <xf numFmtId="165" fontId="0" fillId="0" borderId="27" xfId="0" applyNumberFormat="1" applyBorder="1"/>
    <xf numFmtId="165" fontId="0" fillId="4" borderId="0" xfId="0" applyNumberFormat="1" applyFill="1"/>
    <xf numFmtId="165" fontId="0" fillId="6" borderId="0" xfId="0" applyNumberFormat="1" applyFill="1"/>
    <xf numFmtId="0" fontId="2" fillId="2" borderId="7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165" fontId="0" fillId="0" borderId="8" xfId="2" applyNumberFormat="1" applyFont="1" applyFill="1" applyBorder="1"/>
    <xf numFmtId="175" fontId="0" fillId="0" borderId="7" xfId="0" applyNumberFormat="1" applyBorder="1" applyAlignment="1">
      <alignment horizontal="left"/>
    </xf>
    <xf numFmtId="165" fontId="1" fillId="0" borderId="8" xfId="2" applyNumberFormat="1" applyFont="1" applyFill="1" applyBorder="1"/>
    <xf numFmtId="165" fontId="1" fillId="0" borderId="15" xfId="2" applyNumberFormat="1" applyFont="1" applyFill="1" applyBorder="1"/>
    <xf numFmtId="44" fontId="1" fillId="0" borderId="0" xfId="2" applyFont="1" applyFill="1" applyBorder="1" applyAlignment="1">
      <alignment horizontal="center"/>
    </xf>
    <xf numFmtId="173" fontId="1" fillId="0" borderId="14" xfId="3" applyNumberFormat="1" applyFont="1" applyFill="1" applyBorder="1" applyAlignment="1">
      <alignment horizontal="left"/>
    </xf>
    <xf numFmtId="10" fontId="4" fillId="5" borderId="22" xfId="3" applyNumberFormat="1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/>
    </xf>
    <xf numFmtId="0" fontId="5" fillId="2" borderId="14" xfId="0" applyFont="1" applyFill="1" applyBorder="1"/>
    <xf numFmtId="14" fontId="2" fillId="2" borderId="16" xfId="0" applyNumberFormat="1" applyFont="1" applyFill="1" applyBorder="1"/>
    <xf numFmtId="14" fontId="2" fillId="2" borderId="15" xfId="0" applyNumberFormat="1" applyFont="1" applyFill="1" applyBorder="1"/>
    <xf numFmtId="0" fontId="2" fillId="2" borderId="28" xfId="0" applyFont="1" applyFill="1" applyBorder="1" applyAlignment="1">
      <alignment horizontal="center"/>
    </xf>
    <xf numFmtId="10" fontId="0" fillId="0" borderId="8" xfId="0" applyNumberFormat="1" applyBorder="1"/>
    <xf numFmtId="169" fontId="0" fillId="0" borderId="8" xfId="0" applyNumberFormat="1" applyBorder="1"/>
    <xf numFmtId="170" fontId="0" fillId="0" borderId="8" xfId="0" applyNumberFormat="1" applyBorder="1"/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5" fillId="10" borderId="21" xfId="0" applyFont="1" applyFill="1" applyBorder="1"/>
    <xf numFmtId="0" fontId="5" fillId="10" borderId="44" xfId="0" applyFont="1" applyFill="1" applyBorder="1"/>
    <xf numFmtId="0" fontId="2" fillId="2" borderId="22" xfId="0" applyFont="1" applyFill="1" applyBorder="1" applyAlignment="1">
      <alignment horizontal="center"/>
    </xf>
    <xf numFmtId="0" fontId="0" fillId="7" borderId="9" xfId="0" applyFill="1" applyBorder="1"/>
    <xf numFmtId="0" fontId="0" fillId="7" borderId="10" xfId="0" applyFill="1" applyBorder="1"/>
    <xf numFmtId="5" fontId="0" fillId="7" borderId="10" xfId="0" applyNumberFormat="1" applyFill="1" applyBorder="1"/>
    <xf numFmtId="5" fontId="0" fillId="7" borderId="28" xfId="0" applyNumberFormat="1" applyFill="1" applyBorder="1"/>
    <xf numFmtId="0" fontId="0" fillId="13" borderId="5" xfId="0" applyFill="1" applyBorder="1"/>
    <xf numFmtId="0" fontId="0" fillId="13" borderId="6" xfId="0" applyFill="1" applyBorder="1"/>
    <xf numFmtId="0" fontId="4" fillId="13" borderId="2" xfId="0" applyFont="1" applyFill="1" applyBorder="1" applyAlignment="1">
      <alignment horizontal="center"/>
    </xf>
    <xf numFmtId="10" fontId="4" fillId="13" borderId="12" xfId="0" applyNumberFormat="1" applyFont="1" applyFill="1" applyBorder="1" applyAlignment="1">
      <alignment horizontal="center"/>
    </xf>
    <xf numFmtId="174" fontId="0" fillId="0" borderId="7" xfId="0" applyNumberFormat="1" applyBorder="1" applyAlignment="1">
      <alignment horizontal="left"/>
    </xf>
    <xf numFmtId="0" fontId="2" fillId="2" borderId="45" xfId="0" applyFont="1" applyFill="1" applyBorder="1" applyAlignment="1">
      <alignment horizontal="center"/>
    </xf>
    <xf numFmtId="0" fontId="0" fillId="0" borderId="12" xfId="0" applyBorder="1"/>
    <xf numFmtId="44" fontId="20" fillId="12" borderId="41" xfId="2" applyFont="1" applyFill="1" applyBorder="1" applyAlignment="1" applyProtection="1">
      <alignment vertical="center"/>
      <protection locked="0"/>
    </xf>
    <xf numFmtId="14" fontId="20" fillId="12" borderId="41" xfId="2" applyNumberFormat="1" applyFont="1" applyFill="1" applyBorder="1" applyAlignment="1" applyProtection="1">
      <alignment vertical="center"/>
      <protection locked="0"/>
    </xf>
    <xf numFmtId="44" fontId="20" fillId="12" borderId="42" xfId="2" applyFont="1" applyFill="1" applyBorder="1" applyAlignment="1" applyProtection="1">
      <alignment vertical="center"/>
      <protection locked="0"/>
    </xf>
    <xf numFmtId="9" fontId="20" fillId="12" borderId="41" xfId="3" applyFont="1" applyFill="1" applyBorder="1" applyAlignment="1" applyProtection="1">
      <alignment vertical="center"/>
      <protection locked="0"/>
    </xf>
    <xf numFmtId="9" fontId="20" fillId="12" borderId="41" xfId="2" applyNumberFormat="1" applyFont="1" applyFill="1" applyBorder="1" applyAlignment="1" applyProtection="1">
      <alignment vertical="center"/>
      <protection locked="0"/>
    </xf>
    <xf numFmtId="9" fontId="20" fillId="12" borderId="42" xfId="2" applyNumberFormat="1" applyFont="1" applyFill="1" applyBorder="1" applyAlignment="1" applyProtection="1">
      <alignment vertical="center"/>
      <protection locked="0"/>
    </xf>
    <xf numFmtId="0" fontId="20" fillId="12" borderId="41" xfId="2" applyNumberFormat="1" applyFont="1" applyFill="1" applyBorder="1" applyAlignment="1" applyProtection="1">
      <alignment vertical="center"/>
      <protection locked="0"/>
    </xf>
    <xf numFmtId="10" fontId="20" fillId="12" borderId="42" xfId="2" applyNumberFormat="1" applyFont="1" applyFill="1" applyBorder="1" applyAlignment="1" applyProtection="1">
      <alignment vertical="center"/>
      <protection locked="0"/>
    </xf>
    <xf numFmtId="10" fontId="20" fillId="12" borderId="41" xfId="3" applyNumberFormat="1" applyFont="1" applyFill="1" applyBorder="1" applyAlignment="1" applyProtection="1">
      <alignment vertical="center"/>
      <protection locked="0"/>
    </xf>
    <xf numFmtId="9" fontId="20" fillId="12" borderId="43" xfId="3" applyFont="1" applyFill="1" applyBorder="1" applyAlignment="1" applyProtection="1">
      <alignment vertical="center"/>
      <protection locked="0"/>
    </xf>
    <xf numFmtId="165" fontId="1" fillId="0" borderId="8" xfId="2" applyNumberFormat="1" applyFont="1" applyFill="1" applyBorder="1" applyProtection="1">
      <protection locked="0"/>
    </xf>
    <xf numFmtId="0" fontId="24" fillId="14" borderId="1" xfId="4" applyFont="1" applyFill="1" applyBorder="1" applyAlignment="1">
      <alignment horizontal="center"/>
    </xf>
    <xf numFmtId="0" fontId="24" fillId="14" borderId="3" xfId="4" applyFont="1" applyFill="1" applyBorder="1" applyAlignment="1">
      <alignment horizontal="center"/>
    </xf>
    <xf numFmtId="164" fontId="24" fillId="14" borderId="3" xfId="5" applyNumberFormat="1" applyFont="1" applyFill="1" applyBorder="1" applyAlignment="1" applyProtection="1">
      <alignment horizontal="center"/>
      <protection locked="0"/>
    </xf>
    <xf numFmtId="43" fontId="24" fillId="14" borderId="3" xfId="5" applyFont="1" applyFill="1" applyBorder="1" applyAlignment="1" applyProtection="1">
      <alignment horizontal="center"/>
      <protection locked="0"/>
    </xf>
    <xf numFmtId="44" fontId="24" fillId="14" borderId="3" xfId="6" applyFont="1" applyFill="1" applyBorder="1" applyAlignment="1">
      <alignment horizontal="center"/>
    </xf>
    <xf numFmtId="44" fontId="24" fillId="14" borderId="2" xfId="6" applyFont="1" applyFill="1" applyBorder="1" applyAlignment="1">
      <alignment horizontal="center"/>
    </xf>
    <xf numFmtId="0" fontId="25" fillId="0" borderId="0" xfId="4" applyFont="1" applyAlignment="1">
      <alignment horizontal="left"/>
    </xf>
    <xf numFmtId="164" fontId="25" fillId="0" borderId="0" xfId="5" applyNumberFormat="1" applyFont="1" applyFill="1" applyBorder="1" applyAlignment="1" applyProtection="1">
      <alignment horizontal="left"/>
      <protection locked="0"/>
    </xf>
    <xf numFmtId="43" fontId="25" fillId="0" borderId="0" xfId="5" applyFont="1" applyFill="1" applyBorder="1" applyAlignment="1" applyProtection="1">
      <alignment horizontal="left"/>
      <protection locked="0"/>
    </xf>
    <xf numFmtId="44" fontId="25" fillId="0" borderId="8" xfId="6" applyFont="1" applyFill="1" applyBorder="1" applyAlignment="1">
      <alignment horizontal="left"/>
    </xf>
    <xf numFmtId="165" fontId="24" fillId="0" borderId="25" xfId="6" applyNumberFormat="1" applyFont="1" applyFill="1" applyBorder="1" applyAlignment="1">
      <alignment horizontal="left"/>
    </xf>
    <xf numFmtId="0" fontId="24" fillId="0" borderId="46" xfId="4" applyFont="1" applyBorder="1" applyAlignment="1">
      <alignment horizontal="left"/>
    </xf>
    <xf numFmtId="0" fontId="25" fillId="0" borderId="25" xfId="4" applyFont="1" applyBorder="1" applyAlignment="1">
      <alignment horizontal="left"/>
    </xf>
    <xf numFmtId="164" fontId="25" fillId="0" borderId="25" xfId="5" applyNumberFormat="1" applyFont="1" applyFill="1" applyBorder="1" applyAlignment="1" applyProtection="1">
      <alignment horizontal="left"/>
      <protection locked="0"/>
    </xf>
    <xf numFmtId="43" fontId="25" fillId="0" borderId="25" xfId="5" applyFont="1" applyFill="1" applyBorder="1" applyAlignment="1" applyProtection="1">
      <alignment horizontal="left"/>
      <protection locked="0"/>
    </xf>
    <xf numFmtId="165" fontId="0" fillId="0" borderId="28" xfId="0" applyNumberFormat="1" applyBorder="1"/>
    <xf numFmtId="165" fontId="4" fillId="4" borderId="47" xfId="0" applyNumberFormat="1" applyFont="1" applyFill="1" applyBorder="1"/>
    <xf numFmtId="10" fontId="4" fillId="4" borderId="0" xfId="0" applyNumberFormat="1" applyFont="1" applyFill="1" applyAlignment="1">
      <alignment horizontal="center"/>
    </xf>
    <xf numFmtId="10" fontId="4" fillId="6" borderId="0" xfId="0" applyNumberFormat="1" applyFont="1" applyFill="1" applyAlignment="1">
      <alignment horizontal="center"/>
    </xf>
    <xf numFmtId="0" fontId="0" fillId="0" borderId="32" xfId="0" applyBorder="1"/>
    <xf numFmtId="165" fontId="0" fillId="4" borderId="33" xfId="0" applyNumberFormat="1" applyFill="1" applyBorder="1"/>
    <xf numFmtId="165" fontId="0" fillId="5" borderId="48" xfId="0" applyNumberFormat="1" applyFill="1" applyBorder="1"/>
    <xf numFmtId="165" fontId="0" fillId="6" borderId="33" xfId="0" applyNumberFormat="1" applyFill="1" applyBorder="1"/>
    <xf numFmtId="165" fontId="0" fillId="6" borderId="49" xfId="0" applyNumberFormat="1" applyFill="1" applyBorder="1"/>
    <xf numFmtId="0" fontId="0" fillId="0" borderId="13" xfId="0" applyBorder="1"/>
    <xf numFmtId="164" fontId="0" fillId="0" borderId="0" xfId="0" applyNumberFormat="1" applyAlignment="1">
      <alignment horizontal="center"/>
    </xf>
    <xf numFmtId="165" fontId="4" fillId="0" borderId="30" xfId="0" applyNumberFormat="1" applyFont="1" applyBorder="1" applyAlignment="1">
      <alignment horizontal="center"/>
    </xf>
    <xf numFmtId="0" fontId="0" fillId="0" borderId="44" xfId="0" applyBorder="1" applyAlignment="1">
      <alignment vertical="center"/>
    </xf>
    <xf numFmtId="166" fontId="27" fillId="15" borderId="17" xfId="0" applyNumberFormat="1" applyFont="1" applyFill="1" applyBorder="1" applyAlignment="1">
      <alignment horizontal="center"/>
    </xf>
    <xf numFmtId="166" fontId="27" fillId="15" borderId="50" xfId="0" applyNumberFormat="1" applyFont="1" applyFill="1" applyBorder="1" applyAlignment="1">
      <alignment horizontal="center"/>
    </xf>
    <xf numFmtId="166" fontId="27" fillId="15" borderId="33" xfId="0" applyNumberFormat="1" applyFont="1" applyFill="1" applyBorder="1" applyAlignment="1">
      <alignment horizontal="center"/>
    </xf>
    <xf numFmtId="166" fontId="27" fillId="15" borderId="49" xfId="0" applyNumberFormat="1" applyFont="1" applyFill="1" applyBorder="1" applyAlignment="1">
      <alignment horizontal="center"/>
    </xf>
    <xf numFmtId="164" fontId="4" fillId="0" borderId="25" xfId="1" applyNumberFormat="1" applyFont="1" applyBorder="1" applyAlignment="1">
      <alignment horizontal="center"/>
    </xf>
    <xf numFmtId="44" fontId="4" fillId="0" borderId="25" xfId="0" applyNumberFormat="1" applyFont="1" applyBorder="1"/>
    <xf numFmtId="165" fontId="4" fillId="0" borderId="25" xfId="2" applyNumberFormat="1" applyFont="1" applyBorder="1" applyAlignment="1">
      <alignment horizontal="center"/>
    </xf>
    <xf numFmtId="165" fontId="4" fillId="0" borderId="27" xfId="2" applyNumberFormat="1" applyFont="1" applyBorder="1" applyAlignment="1">
      <alignment horizontal="center"/>
    </xf>
    <xf numFmtId="44" fontId="25" fillId="0" borderId="27" xfId="6" applyFont="1" applyFill="1" applyBorder="1" applyAlignment="1">
      <alignment horizontal="left"/>
    </xf>
    <xf numFmtId="0" fontId="24" fillId="0" borderId="7" xfId="4" applyFont="1" applyBorder="1" applyAlignment="1" applyProtection="1">
      <alignment horizontal="left"/>
      <protection locked="0"/>
    </xf>
    <xf numFmtId="0" fontId="25" fillId="12" borderId="7" xfId="4" applyFont="1" applyFill="1" applyBorder="1" applyAlignment="1" applyProtection="1">
      <alignment horizontal="left"/>
      <protection locked="0"/>
    </xf>
    <xf numFmtId="165" fontId="26" fillId="12" borderId="0" xfId="6" applyNumberFormat="1" applyFont="1" applyFill="1" applyBorder="1" applyAlignment="1" applyProtection="1">
      <alignment horizontal="left"/>
      <protection locked="0"/>
    </xf>
    <xf numFmtId="166" fontId="0" fillId="0" borderId="0" xfId="0" applyNumberFormat="1"/>
    <xf numFmtId="165" fontId="14" fillId="0" borderId="0" xfId="0" applyNumberFormat="1" applyFont="1"/>
    <xf numFmtId="165" fontId="14" fillId="7" borderId="0" xfId="0" applyNumberFormat="1" applyFont="1" applyFill="1"/>
    <xf numFmtId="165" fontId="15" fillId="0" borderId="0" xfId="0" applyNumberFormat="1" applyFont="1"/>
    <xf numFmtId="167" fontId="0" fillId="0" borderId="0" xfId="0" applyNumberFormat="1"/>
    <xf numFmtId="168" fontId="0" fillId="0" borderId="0" xfId="0" applyNumberFormat="1"/>
    <xf numFmtId="177" fontId="0" fillId="0" borderId="21" xfId="0" applyNumberFormat="1" applyBorder="1" applyAlignment="1">
      <alignment horizontal="left"/>
    </xf>
    <xf numFmtId="0" fontId="4" fillId="3" borderId="46" xfId="0" applyFont="1" applyFill="1" applyBorder="1"/>
    <xf numFmtId="165" fontId="4" fillId="3" borderId="27" xfId="0" applyNumberFormat="1" applyFont="1" applyFill="1" applyBorder="1"/>
    <xf numFmtId="10" fontId="4" fillId="5" borderId="23" xfId="3" applyNumberFormat="1" applyFont="1" applyFill="1" applyBorder="1" applyAlignment="1">
      <alignment horizontal="center" vertical="center"/>
    </xf>
    <xf numFmtId="10" fontId="4" fillId="6" borderId="8" xfId="0" applyNumberFormat="1" applyFont="1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/>
    </xf>
    <xf numFmtId="168" fontId="0" fillId="4" borderId="13" xfId="0" applyNumberFormat="1" applyFill="1" applyBorder="1" applyAlignment="1">
      <alignment vertical="center"/>
    </xf>
    <xf numFmtId="168" fontId="0" fillId="5" borderId="29" xfId="0" applyNumberFormat="1" applyFill="1" applyBorder="1" applyAlignment="1">
      <alignment vertical="center"/>
    </xf>
    <xf numFmtId="168" fontId="0" fillId="6" borderId="13" xfId="0" applyNumberFormat="1" applyFill="1" applyBorder="1" applyAlignment="1">
      <alignment vertical="center"/>
    </xf>
    <xf numFmtId="168" fontId="0" fillId="6" borderId="12" xfId="0" applyNumberFormat="1" applyFill="1" applyBorder="1" applyAlignment="1">
      <alignment vertical="center"/>
    </xf>
    <xf numFmtId="165" fontId="1" fillId="0" borderId="0" xfId="2" applyNumberFormat="1" applyFont="1" applyFill="1" applyBorder="1" applyAlignment="1">
      <alignment horizontal="center"/>
    </xf>
    <xf numFmtId="0" fontId="0" fillId="0" borderId="7" xfId="0" applyBorder="1" applyProtection="1">
      <protection locked="0"/>
    </xf>
    <xf numFmtId="0" fontId="0" fillId="0" borderId="14" xfId="0" applyBorder="1" applyProtection="1">
      <protection locked="0"/>
    </xf>
    <xf numFmtId="44" fontId="0" fillId="0" borderId="29" xfId="2" applyFont="1" applyBorder="1" applyProtection="1">
      <protection locked="0"/>
    </xf>
    <xf numFmtId="44" fontId="0" fillId="16" borderId="0" xfId="0" applyNumberFormat="1" applyFill="1"/>
    <xf numFmtId="44" fontId="0" fillId="17" borderId="0" xfId="0" applyNumberFormat="1" applyFill="1"/>
    <xf numFmtId="44" fontId="0" fillId="18" borderId="0" xfId="0" applyNumberFormat="1" applyFill="1"/>
    <xf numFmtId="0" fontId="0" fillId="11" borderId="0" xfId="0" applyFill="1"/>
    <xf numFmtId="0" fontId="0" fillId="0" borderId="23" xfId="0" applyBorder="1"/>
    <xf numFmtId="0" fontId="16" fillId="0" borderId="4" xfId="0" applyFont="1" applyBorder="1" applyAlignment="1">
      <alignment horizontal="center"/>
    </xf>
    <xf numFmtId="0" fontId="16" fillId="0" borderId="5" xfId="0" applyFont="1" applyBorder="1" applyAlignment="1">
      <alignment horizontal="center"/>
    </xf>
    <xf numFmtId="0" fontId="16" fillId="15" borderId="52" xfId="0" applyFont="1" applyFill="1" applyBorder="1" applyAlignment="1">
      <alignment horizontal="center"/>
    </xf>
    <xf numFmtId="0" fontId="16" fillId="0" borderId="52" xfId="0" applyFont="1" applyBorder="1" applyAlignment="1">
      <alignment horizontal="center"/>
    </xf>
    <xf numFmtId="0" fontId="16" fillId="0" borderId="53" xfId="0" applyFont="1" applyBorder="1" applyAlignment="1">
      <alignment horizontal="center"/>
    </xf>
    <xf numFmtId="0" fontId="16" fillId="15" borderId="5" xfId="0" applyFont="1" applyFill="1" applyBorder="1" applyAlignment="1">
      <alignment horizontal="center"/>
    </xf>
    <xf numFmtId="0" fontId="16" fillId="15" borderId="6" xfId="0" applyFont="1" applyFill="1" applyBorder="1" applyAlignment="1">
      <alignment horizontal="center"/>
    </xf>
    <xf numFmtId="0" fontId="16" fillId="15" borderId="4" xfId="0" applyFont="1" applyFill="1" applyBorder="1" applyAlignment="1">
      <alignment horizontal="center"/>
    </xf>
    <xf numFmtId="0" fontId="9" fillId="0" borderId="7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15" borderId="54" xfId="0" applyFill="1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51" xfId="0" applyBorder="1" applyAlignment="1">
      <alignment horizontal="center"/>
    </xf>
    <xf numFmtId="0" fontId="0" fillId="15" borderId="16" xfId="0" applyFill="1" applyBorder="1" applyAlignment="1">
      <alignment horizontal="center"/>
    </xf>
    <xf numFmtId="0" fontId="0" fillId="15" borderId="15" xfId="0" applyFill="1" applyBorder="1" applyAlignment="1">
      <alignment horizontal="center"/>
    </xf>
    <xf numFmtId="0" fontId="0" fillId="15" borderId="14" xfId="0" applyFill="1" applyBorder="1" applyAlignment="1">
      <alignment horizontal="center"/>
    </xf>
    <xf numFmtId="0" fontId="0" fillId="19" borderId="7" xfId="0" applyFill="1" applyBorder="1" applyAlignment="1">
      <alignment horizontal="center"/>
    </xf>
    <xf numFmtId="0" fontId="0" fillId="19" borderId="0" xfId="0" applyFill="1" applyAlignment="1">
      <alignment horizontal="center"/>
    </xf>
    <xf numFmtId="10" fontId="0" fillId="0" borderId="0" xfId="3" applyNumberFormat="1" applyFont="1" applyBorder="1" applyAlignment="1">
      <alignment horizontal="center"/>
    </xf>
    <xf numFmtId="44" fontId="0" fillId="0" borderId="57" xfId="0" applyNumberFormat="1" applyBorder="1"/>
    <xf numFmtId="44" fontId="0" fillId="0" borderId="58" xfId="0" applyNumberFormat="1" applyBorder="1"/>
    <xf numFmtId="0" fontId="0" fillId="0" borderId="46" xfId="0" applyBorder="1"/>
    <xf numFmtId="164" fontId="4" fillId="0" borderId="25" xfId="0" applyNumberFormat="1" applyFont="1" applyBorder="1" applyAlignment="1">
      <alignment horizontal="center"/>
    </xf>
    <xf numFmtId="165" fontId="4" fillId="0" borderId="11" xfId="0" applyNumberFormat="1" applyFont="1" applyBorder="1"/>
    <xf numFmtId="0" fontId="16" fillId="15" borderId="60" xfId="0" applyFont="1" applyFill="1" applyBorder="1" applyAlignment="1">
      <alignment horizontal="center"/>
    </xf>
    <xf numFmtId="0" fontId="0" fillId="15" borderId="58" xfId="0" applyFill="1" applyBorder="1" applyAlignment="1">
      <alignment horizontal="center"/>
    </xf>
    <xf numFmtId="0" fontId="4" fillId="0" borderId="7" xfId="0" applyFont="1" applyBorder="1" applyAlignment="1">
      <alignment horizontal="left"/>
    </xf>
    <xf numFmtId="0" fontId="0" fillId="0" borderId="55" xfId="0" applyBorder="1" applyAlignment="1">
      <alignment horizontal="center"/>
    </xf>
    <xf numFmtId="0" fontId="0" fillId="19" borderId="56" xfId="0" applyFill="1" applyBorder="1" applyAlignment="1">
      <alignment horizontal="center"/>
    </xf>
    <xf numFmtId="0" fontId="0" fillId="19" borderId="61" xfId="0" applyFill="1" applyBorder="1" applyAlignment="1">
      <alignment horizontal="center"/>
    </xf>
    <xf numFmtId="0" fontId="0" fillId="19" borderId="39" xfId="0" applyFill="1" applyBorder="1" applyAlignment="1">
      <alignment horizontal="center"/>
    </xf>
    <xf numFmtId="0" fontId="10" fillId="12" borderId="7" xfId="0" applyFont="1" applyFill="1" applyBorder="1" applyProtection="1">
      <protection locked="0"/>
    </xf>
    <xf numFmtId="0" fontId="10" fillId="12" borderId="0" xfId="0" applyFont="1" applyFill="1" applyProtection="1">
      <protection locked="0"/>
    </xf>
    <xf numFmtId="164" fontId="10" fillId="12" borderId="0" xfId="0" applyNumberFormat="1" applyFont="1" applyFill="1" applyAlignment="1" applyProtection="1">
      <alignment horizontal="center"/>
      <protection locked="0"/>
    </xf>
    <xf numFmtId="44" fontId="10" fillId="12" borderId="0" xfId="2" applyFont="1" applyFill="1" applyBorder="1" applyAlignment="1" applyProtection="1">
      <alignment horizontal="center"/>
      <protection locked="0"/>
    </xf>
    <xf numFmtId="44" fontId="0" fillId="0" borderId="56" xfId="0" applyNumberFormat="1" applyBorder="1"/>
    <xf numFmtId="44" fontId="0" fillId="0" borderId="0" xfId="2" applyFont="1" applyBorder="1"/>
    <xf numFmtId="167" fontId="4" fillId="0" borderId="25" xfId="3" applyNumberFormat="1" applyFont="1" applyBorder="1" applyAlignment="1">
      <alignment horizontal="center"/>
    </xf>
    <xf numFmtId="44" fontId="0" fillId="0" borderId="59" xfId="0" applyNumberFormat="1" applyBorder="1"/>
    <xf numFmtId="164" fontId="4" fillId="0" borderId="0" xfId="0" applyNumberFormat="1" applyFont="1" applyAlignment="1">
      <alignment horizontal="center"/>
    </xf>
    <xf numFmtId="178" fontId="4" fillId="0" borderId="0" xfId="3" applyNumberFormat="1" applyFont="1" applyBorder="1" applyAlignment="1">
      <alignment horizontal="center"/>
    </xf>
    <xf numFmtId="44" fontId="4" fillId="0" borderId="0" xfId="0" applyNumberFormat="1" applyFont="1"/>
    <xf numFmtId="165" fontId="4" fillId="0" borderId="0" xfId="2" applyNumberFormat="1" applyFont="1" applyBorder="1" applyAlignment="1">
      <alignment horizontal="center"/>
    </xf>
    <xf numFmtId="165" fontId="15" fillId="0" borderId="33" xfId="0" applyNumberFormat="1" applyFont="1" applyBorder="1"/>
    <xf numFmtId="9" fontId="0" fillId="0" borderId="0" xfId="0" applyNumberFormat="1" applyAlignment="1">
      <alignment horizontal="left"/>
    </xf>
    <xf numFmtId="0" fontId="0" fillId="0" borderId="62" xfId="0" applyBorder="1"/>
    <xf numFmtId="0" fontId="2" fillId="2" borderId="55" xfId="0" applyFont="1" applyFill="1" applyBorder="1" applyAlignment="1">
      <alignment horizontal="center"/>
    </xf>
    <xf numFmtId="166" fontId="2" fillId="8" borderId="63" xfId="0" applyNumberFormat="1" applyFont="1" applyFill="1" applyBorder="1"/>
    <xf numFmtId="166" fontId="2" fillId="8" borderId="33" xfId="0" applyNumberFormat="1" applyFont="1" applyFill="1" applyBorder="1"/>
    <xf numFmtId="0" fontId="29" fillId="8" borderId="57" xfId="0" applyFont="1" applyFill="1" applyBorder="1" applyAlignment="1">
      <alignment horizontal="center" wrapText="1"/>
    </xf>
    <xf numFmtId="0" fontId="0" fillId="8" borderId="57" xfId="0" applyFill="1" applyBorder="1"/>
    <xf numFmtId="0" fontId="7" fillId="8" borderId="57" xfId="0" applyFont="1" applyFill="1" applyBorder="1"/>
    <xf numFmtId="0" fontId="30" fillId="8" borderId="57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31" fillId="8" borderId="57" xfId="0" applyFont="1" applyFill="1" applyBorder="1" applyAlignment="1">
      <alignment horizontal="center" vertical="center"/>
    </xf>
    <xf numFmtId="0" fontId="17" fillId="0" borderId="8" xfId="0" applyFont="1" applyBorder="1" applyAlignment="1">
      <alignment horizontal="center" vertical="center"/>
    </xf>
    <xf numFmtId="0" fontId="17" fillId="0" borderId="13" xfId="0" applyFont="1" applyBorder="1" applyAlignment="1">
      <alignment horizontal="center" vertical="center"/>
    </xf>
    <xf numFmtId="0" fontId="2" fillId="8" borderId="64" xfId="0" applyFont="1" applyFill="1" applyBorder="1" applyAlignment="1">
      <alignment horizontal="center" vertical="center"/>
    </xf>
    <xf numFmtId="0" fontId="17" fillId="0" borderId="12" xfId="0" applyFont="1" applyBorder="1" applyAlignment="1">
      <alignment horizontal="center" vertical="center"/>
    </xf>
    <xf numFmtId="165" fontId="0" fillId="0" borderId="30" xfId="0" applyNumberFormat="1" applyBorder="1" applyAlignment="1">
      <alignment horizontal="center"/>
    </xf>
    <xf numFmtId="10" fontId="1" fillId="0" borderId="19" xfId="3" applyNumberFormat="1" applyFont="1" applyBorder="1"/>
    <xf numFmtId="0" fontId="0" fillId="0" borderId="21" xfId="0" applyBorder="1" applyAlignment="1">
      <alignment horizontal="center"/>
    </xf>
    <xf numFmtId="10" fontId="1" fillId="0" borderId="20" xfId="3" applyNumberFormat="1" applyFont="1" applyBorder="1"/>
    <xf numFmtId="44" fontId="0" fillId="0" borderId="0" xfId="2" applyFont="1" applyFill="1" applyBorder="1"/>
    <xf numFmtId="165" fontId="20" fillId="12" borderId="42" xfId="2" applyNumberFormat="1" applyFont="1" applyFill="1" applyBorder="1" applyAlignment="1" applyProtection="1">
      <alignment vertical="center"/>
      <protection locked="0"/>
    </xf>
    <xf numFmtId="0" fontId="9" fillId="0" borderId="65" xfId="0" applyFont="1" applyBorder="1" applyAlignment="1">
      <alignment vertical="center"/>
    </xf>
    <xf numFmtId="0" fontId="9" fillId="0" borderId="66" xfId="0" applyFont="1" applyBorder="1" applyAlignment="1">
      <alignment vertical="center"/>
    </xf>
    <xf numFmtId="165" fontId="0" fillId="0" borderId="10" xfId="0" applyNumberFormat="1" applyBorder="1"/>
    <xf numFmtId="0" fontId="4" fillId="0" borderId="67" xfId="0" applyFont="1" applyBorder="1"/>
    <xf numFmtId="0" fontId="4" fillId="0" borderId="54" xfId="0" applyFont="1" applyBorder="1"/>
    <xf numFmtId="165" fontId="0" fillId="0" borderId="61" xfId="0" applyNumberFormat="1" applyBorder="1"/>
    <xf numFmtId="165" fontId="0" fillId="0" borderId="51" xfId="0" applyNumberFormat="1" applyBorder="1"/>
    <xf numFmtId="0" fontId="2" fillId="2" borderId="4" xfId="0" applyFont="1" applyFill="1" applyBorder="1"/>
    <xf numFmtId="0" fontId="2" fillId="2" borderId="5" xfId="0" applyFont="1" applyFill="1" applyBorder="1"/>
    <xf numFmtId="0" fontId="2" fillId="2" borderId="6" xfId="0" applyFont="1" applyFill="1" applyBorder="1"/>
    <xf numFmtId="0" fontId="4" fillId="0" borderId="46" xfId="0" applyFont="1" applyBorder="1"/>
    <xf numFmtId="165" fontId="4" fillId="0" borderId="27" xfId="0" applyNumberFormat="1" applyFont="1" applyBorder="1"/>
    <xf numFmtId="9" fontId="0" fillId="0" borderId="5" xfId="0" applyNumberFormat="1" applyBorder="1"/>
    <xf numFmtId="165" fontId="0" fillId="0" borderId="6" xfId="0" applyNumberFormat="1" applyBorder="1"/>
    <xf numFmtId="9" fontId="0" fillId="0" borderId="16" xfId="0" applyNumberFormat="1" applyBorder="1"/>
    <xf numFmtId="0" fontId="0" fillId="0" borderId="7" xfId="0" applyBorder="1" applyAlignment="1">
      <alignment horizontal="right"/>
    </xf>
    <xf numFmtId="0" fontId="0" fillId="0" borderId="11" xfId="0" applyBorder="1" applyAlignment="1">
      <alignment horizontal="right"/>
    </xf>
    <xf numFmtId="166" fontId="27" fillId="15" borderId="1" xfId="0" applyNumberFormat="1" applyFont="1" applyFill="1" applyBorder="1" applyAlignment="1">
      <alignment horizontal="center"/>
    </xf>
    <xf numFmtId="166" fontId="27" fillId="15" borderId="3" xfId="0" applyNumberFormat="1" applyFont="1" applyFill="1" applyBorder="1" applyAlignment="1">
      <alignment horizontal="center"/>
    </xf>
    <xf numFmtId="166" fontId="27" fillId="15" borderId="2" xfId="0" applyNumberFormat="1" applyFont="1" applyFill="1" applyBorder="1" applyAlignment="1">
      <alignment horizontal="center"/>
    </xf>
    <xf numFmtId="0" fontId="0" fillId="0" borderId="44" xfId="0" applyBorder="1" applyAlignment="1">
      <alignment horizontal="center"/>
    </xf>
    <xf numFmtId="165" fontId="10" fillId="12" borderId="0" xfId="2" applyNumberFormat="1" applyFont="1" applyFill="1" applyProtection="1">
      <protection locked="0"/>
    </xf>
    <xf numFmtId="165" fontId="0" fillId="0" borderId="31" xfId="0" applyNumberFormat="1" applyBorder="1"/>
    <xf numFmtId="165" fontId="4" fillId="0" borderId="0" xfId="2" applyNumberFormat="1" applyFont="1" applyBorder="1"/>
    <xf numFmtId="2" fontId="0" fillId="0" borderId="0" xfId="0" applyNumberFormat="1"/>
    <xf numFmtId="166" fontId="2" fillId="8" borderId="19" xfId="0" applyNumberFormat="1" applyFont="1" applyFill="1" applyBorder="1" applyAlignment="1">
      <alignment horizontal="left"/>
    </xf>
    <xf numFmtId="165" fontId="4" fillId="0" borderId="40" xfId="0" applyNumberFormat="1" applyFont="1" applyBorder="1"/>
    <xf numFmtId="166" fontId="2" fillId="8" borderId="38" xfId="0" applyNumberFormat="1" applyFont="1" applyFill="1" applyBorder="1" applyAlignment="1">
      <alignment horizontal="left"/>
    </xf>
    <xf numFmtId="176" fontId="0" fillId="0" borderId="0" xfId="0" applyNumberFormat="1"/>
    <xf numFmtId="0" fontId="20" fillId="12" borderId="43" xfId="3" applyNumberFormat="1" applyFont="1" applyFill="1" applyBorder="1" applyAlignment="1" applyProtection="1">
      <alignment vertical="center"/>
      <protection locked="0"/>
    </xf>
    <xf numFmtId="0" fontId="0" fillId="0" borderId="6" xfId="0" applyBorder="1"/>
    <xf numFmtId="44" fontId="0" fillId="0" borderId="12" xfId="0" applyNumberFormat="1" applyBorder="1"/>
    <xf numFmtId="0" fontId="5" fillId="10" borderId="68" xfId="0" applyFont="1" applyFill="1" applyBorder="1"/>
    <xf numFmtId="44" fontId="0" fillId="0" borderId="64" xfId="0" applyNumberFormat="1" applyBorder="1"/>
    <xf numFmtId="0" fontId="0" fillId="0" borderId="7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165" fontId="0" fillId="0" borderId="7" xfId="0" applyNumberFormat="1" applyBorder="1" applyProtection="1">
      <protection locked="0"/>
    </xf>
    <xf numFmtId="165" fontId="0" fillId="0" borderId="0" xfId="0" applyNumberFormat="1" applyProtection="1">
      <protection locked="0"/>
    </xf>
    <xf numFmtId="165" fontId="0" fillId="0" borderId="8" xfId="0" applyNumberFormat="1" applyBorder="1" applyProtection="1">
      <protection locked="0"/>
    </xf>
    <xf numFmtId="44" fontId="0" fillId="19" borderId="56" xfId="0" applyNumberFormat="1" applyFill="1" applyBorder="1" applyProtection="1">
      <protection locked="0"/>
    </xf>
    <xf numFmtId="44" fontId="0" fillId="19" borderId="0" xfId="0" applyNumberFormat="1" applyFill="1" applyProtection="1">
      <protection locked="0"/>
    </xf>
    <xf numFmtId="44" fontId="0" fillId="19" borderId="39" xfId="0" applyNumberFormat="1" applyFill="1" applyBorder="1" applyProtection="1">
      <protection locked="0"/>
    </xf>
    <xf numFmtId="44" fontId="0" fillId="19" borderId="7" xfId="0" applyNumberFormat="1" applyFill="1" applyBorder="1" applyProtection="1">
      <protection locked="0"/>
    </xf>
    <xf numFmtId="44" fontId="0" fillId="19" borderId="14" xfId="0" applyNumberFormat="1" applyFill="1" applyBorder="1" applyProtection="1">
      <protection locked="0"/>
    </xf>
    <xf numFmtId="44" fontId="0" fillId="19" borderId="16" xfId="0" applyNumberFormat="1" applyFill="1" applyBorder="1" applyProtection="1">
      <protection locked="0"/>
    </xf>
    <xf numFmtId="44" fontId="0" fillId="0" borderId="54" xfId="0" applyNumberFormat="1" applyBorder="1"/>
    <xf numFmtId="44" fontId="0" fillId="19" borderId="54" xfId="0" applyNumberFormat="1" applyFill="1" applyBorder="1" applyProtection="1">
      <protection locked="0"/>
    </xf>
    <xf numFmtId="0" fontId="10" fillId="12" borderId="8" xfId="0" applyFont="1" applyFill="1" applyBorder="1" applyProtection="1">
      <protection locked="0"/>
    </xf>
    <xf numFmtId="9" fontId="10" fillId="12" borderId="23" xfId="0" applyNumberFormat="1" applyFont="1" applyFill="1" applyBorder="1" applyProtection="1">
      <protection locked="0"/>
    </xf>
    <xf numFmtId="0" fontId="10" fillId="12" borderId="11" xfId="0" applyFont="1" applyFill="1" applyBorder="1" applyProtection="1">
      <protection locked="0"/>
    </xf>
    <xf numFmtId="0" fontId="10" fillId="12" borderId="13" xfId="0" applyFont="1" applyFill="1" applyBorder="1" applyProtection="1">
      <protection locked="0"/>
    </xf>
    <xf numFmtId="0" fontId="10" fillId="12" borderId="12" xfId="0" applyFont="1" applyFill="1" applyBorder="1" applyProtection="1">
      <protection locked="0"/>
    </xf>
    <xf numFmtId="9" fontId="10" fillId="12" borderId="29" xfId="0" applyNumberFormat="1" applyFont="1" applyFill="1" applyBorder="1" applyProtection="1">
      <protection locked="0"/>
    </xf>
    <xf numFmtId="165" fontId="10" fillId="12" borderId="0" xfId="2" applyNumberFormat="1" applyFont="1" applyFill="1" applyBorder="1" applyProtection="1">
      <protection locked="0"/>
    </xf>
    <xf numFmtId="165" fontId="10" fillId="12" borderId="8" xfId="2" applyNumberFormat="1" applyFont="1" applyFill="1" applyBorder="1" applyProtection="1">
      <protection locked="0"/>
    </xf>
    <xf numFmtId="165" fontId="10" fillId="12" borderId="13" xfId="2" applyNumberFormat="1" applyFont="1" applyFill="1" applyBorder="1" applyProtection="1">
      <protection locked="0"/>
    </xf>
    <xf numFmtId="165" fontId="10" fillId="12" borderId="12" xfId="2" applyNumberFormat="1" applyFont="1" applyFill="1" applyBorder="1" applyProtection="1">
      <protection locked="0"/>
    </xf>
    <xf numFmtId="0" fontId="25" fillId="12" borderId="7" xfId="4" applyFont="1" applyFill="1" applyBorder="1" applyAlignment="1">
      <alignment horizontal="left"/>
    </xf>
    <xf numFmtId="0" fontId="5" fillId="0" borderId="0" xfId="0" applyFont="1" applyProtection="1">
      <protection locked="0"/>
    </xf>
    <xf numFmtId="44" fontId="0" fillId="0" borderId="41" xfId="2" applyFont="1" applyBorder="1"/>
    <xf numFmtId="44" fontId="0" fillId="0" borderId="56" xfId="2" applyFont="1" applyBorder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22" fillId="13" borderId="4" xfId="0" applyFont="1" applyFill="1" applyBorder="1"/>
    <xf numFmtId="0" fontId="22" fillId="13" borderId="5" xfId="0" applyFont="1" applyFill="1" applyBorder="1"/>
    <xf numFmtId="164" fontId="0" fillId="0" borderId="8" xfId="1" applyNumberFormat="1" applyFont="1" applyBorder="1"/>
    <xf numFmtId="0" fontId="29" fillId="0" borderId="0" xfId="0" applyFont="1"/>
    <xf numFmtId="10" fontId="29" fillId="0" borderId="0" xfId="3" applyNumberFormat="1" applyFont="1" applyFill="1" applyBorder="1" applyAlignment="1">
      <alignment horizontal="left"/>
    </xf>
    <xf numFmtId="2" fontId="0" fillId="0" borderId="8" xfId="0" applyNumberFormat="1" applyBorder="1"/>
    <xf numFmtId="0" fontId="29" fillId="0" borderId="1" xfId="0" applyFont="1" applyBorder="1" applyAlignment="1">
      <alignment vertical="center"/>
    </xf>
    <xf numFmtId="10" fontId="29" fillId="0" borderId="2" xfId="3" applyNumberFormat="1" applyFont="1" applyFill="1" applyBorder="1" applyAlignment="1">
      <alignment horizontal="left" vertical="center"/>
    </xf>
    <xf numFmtId="0" fontId="29" fillId="0" borderId="46" xfId="0" applyFont="1" applyBorder="1" applyAlignment="1">
      <alignment vertical="center"/>
    </xf>
    <xf numFmtId="10" fontId="29" fillId="0" borderId="27" xfId="3" applyNumberFormat="1" applyFont="1" applyFill="1" applyBorder="1" applyAlignment="1">
      <alignment horizontal="left" vertical="center"/>
    </xf>
    <xf numFmtId="0" fontId="32" fillId="0" borderId="0" xfId="0" applyFont="1" applyAlignment="1">
      <alignment horizontal="left" vertical="center" wrapText="1" indent="1"/>
    </xf>
    <xf numFmtId="0" fontId="2" fillId="2" borderId="18" xfId="0" applyFont="1" applyFill="1" applyBorder="1" applyAlignment="1">
      <alignment horizontal="center"/>
    </xf>
    <xf numFmtId="0" fontId="2" fillId="2" borderId="19" xfId="0" applyFont="1" applyFill="1" applyBorder="1" applyAlignment="1">
      <alignment horizontal="center"/>
    </xf>
    <xf numFmtId="0" fontId="2" fillId="2" borderId="20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28" fillId="13" borderId="7" xfId="0" applyFont="1" applyFill="1" applyBorder="1" applyAlignment="1">
      <alignment horizontal="center"/>
    </xf>
    <xf numFmtId="0" fontId="28" fillId="13" borderId="0" xfId="0" applyFont="1" applyFill="1" applyAlignment="1">
      <alignment horizontal="center"/>
    </xf>
    <xf numFmtId="0" fontId="28" fillId="13" borderId="8" xfId="0" applyFont="1" applyFill="1" applyBorder="1" applyAlignment="1">
      <alignment horizontal="center"/>
    </xf>
    <xf numFmtId="0" fontId="22" fillId="13" borderId="7" xfId="0" applyFont="1" applyFill="1" applyBorder="1" applyAlignment="1">
      <alignment horizontal="center"/>
    </xf>
    <xf numFmtId="0" fontId="22" fillId="13" borderId="0" xfId="0" applyFont="1" applyFill="1" applyAlignment="1">
      <alignment horizontal="center"/>
    </xf>
    <xf numFmtId="0" fontId="22" fillId="13" borderId="8" xfId="0" applyFont="1" applyFill="1" applyBorder="1" applyAlignment="1">
      <alignment horizontal="center"/>
    </xf>
    <xf numFmtId="176" fontId="22" fillId="13" borderId="11" xfId="0" applyNumberFormat="1" applyFont="1" applyFill="1" applyBorder="1" applyAlignment="1">
      <alignment horizontal="center"/>
    </xf>
    <xf numFmtId="176" fontId="22" fillId="13" borderId="13" xfId="0" applyNumberFormat="1" applyFont="1" applyFill="1" applyBorder="1" applyAlignment="1">
      <alignment horizontal="center"/>
    </xf>
    <xf numFmtId="176" fontId="22" fillId="13" borderId="12" xfId="0" applyNumberFormat="1" applyFont="1" applyFill="1" applyBorder="1" applyAlignment="1">
      <alignment horizontal="center"/>
    </xf>
    <xf numFmtId="0" fontId="4" fillId="20" borderId="63" xfId="0" applyFont="1" applyFill="1" applyBorder="1" applyAlignment="1">
      <alignment horizontal="center"/>
    </xf>
    <xf numFmtId="0" fontId="4" fillId="20" borderId="49" xfId="0" applyFont="1" applyFill="1" applyBorder="1" applyAlignment="1">
      <alignment horizontal="center"/>
    </xf>
    <xf numFmtId="0" fontId="20" fillId="12" borderId="4" xfId="0" applyFont="1" applyFill="1" applyBorder="1" applyAlignment="1" applyProtection="1">
      <alignment horizontal="center"/>
      <protection locked="0"/>
    </xf>
    <xf numFmtId="0" fontId="20" fillId="12" borderId="6" xfId="0" applyFont="1" applyFill="1" applyBorder="1" applyAlignment="1" applyProtection="1">
      <alignment horizontal="center"/>
      <protection locked="0"/>
    </xf>
    <xf numFmtId="0" fontId="20" fillId="12" borderId="7" xfId="0" applyFont="1" applyFill="1" applyBorder="1" applyAlignment="1" applyProtection="1">
      <alignment horizontal="center"/>
      <protection locked="0"/>
    </xf>
    <xf numFmtId="0" fontId="20" fillId="12" borderId="8" xfId="0" applyFont="1" applyFill="1" applyBorder="1" applyAlignment="1" applyProtection="1">
      <alignment horizontal="center"/>
      <protection locked="0"/>
    </xf>
    <xf numFmtId="176" fontId="20" fillId="12" borderId="14" xfId="0" applyNumberFormat="1" applyFont="1" applyFill="1" applyBorder="1" applyAlignment="1" applyProtection="1">
      <alignment horizontal="center"/>
      <protection locked="0"/>
    </xf>
    <xf numFmtId="176" fontId="20" fillId="12" borderId="15" xfId="0" applyNumberFormat="1" applyFont="1" applyFill="1" applyBorder="1" applyAlignment="1" applyProtection="1">
      <alignment horizontal="center"/>
      <protection locked="0"/>
    </xf>
    <xf numFmtId="0" fontId="4" fillId="0" borderId="13" xfId="0" applyFont="1" applyBorder="1" applyAlignment="1">
      <alignment horizontal="center"/>
    </xf>
    <xf numFmtId="0" fontId="12" fillId="2" borderId="4" xfId="0" applyFont="1" applyFill="1" applyBorder="1" applyAlignment="1">
      <alignment horizontal="center" vertical="center"/>
    </xf>
    <xf numFmtId="0" fontId="12" fillId="2" borderId="5" xfId="0" applyFont="1" applyFill="1" applyBorder="1" applyAlignment="1">
      <alignment horizontal="center" vertical="center"/>
    </xf>
    <xf numFmtId="0" fontId="12" fillId="2" borderId="6" xfId="0" applyFont="1" applyFill="1" applyBorder="1" applyAlignment="1">
      <alignment horizontal="center" vertical="center"/>
    </xf>
    <xf numFmtId="0" fontId="12" fillId="2" borderId="11" xfId="0" applyFont="1" applyFill="1" applyBorder="1" applyAlignment="1">
      <alignment horizontal="center" vertical="center"/>
    </xf>
    <xf numFmtId="0" fontId="12" fillId="2" borderId="13" xfId="0" applyFont="1" applyFill="1" applyBorder="1" applyAlignment="1">
      <alignment horizontal="center" vertical="center"/>
    </xf>
    <xf numFmtId="0" fontId="12" fillId="2" borderId="12" xfId="0" applyFont="1" applyFill="1" applyBorder="1" applyAlignment="1">
      <alignment horizontal="center" vertical="center"/>
    </xf>
    <xf numFmtId="0" fontId="5" fillId="8" borderId="5" xfId="0" applyFont="1" applyFill="1" applyBorder="1" applyAlignment="1">
      <alignment horizontal="center"/>
    </xf>
    <xf numFmtId="0" fontId="5" fillId="8" borderId="6" xfId="0" applyFont="1" applyFill="1" applyBorder="1" applyAlignment="1">
      <alignment horizontal="center"/>
    </xf>
    <xf numFmtId="0" fontId="2" fillId="2" borderId="63" xfId="0" applyFont="1" applyFill="1" applyBorder="1" applyAlignment="1">
      <alignment horizontal="center"/>
    </xf>
    <xf numFmtId="0" fontId="2" fillId="2" borderId="33" xfId="0" applyFont="1" applyFill="1" applyBorder="1" applyAlignment="1">
      <alignment horizontal="center"/>
    </xf>
    <xf numFmtId="0" fontId="2" fillId="2" borderId="61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5" fillId="9" borderId="4" xfId="0" applyFont="1" applyFill="1" applyBorder="1" applyAlignment="1">
      <alignment horizontal="center"/>
    </xf>
    <xf numFmtId="0" fontId="5" fillId="9" borderId="6" xfId="0" applyFont="1" applyFill="1" applyBorder="1" applyAlignment="1">
      <alignment horizontal="center"/>
    </xf>
  </cellXfs>
  <cellStyles count="7">
    <cellStyle name="Comma" xfId="1" builtinId="3"/>
    <cellStyle name="Comma 3" xfId="5" xr:uid="{D67F9E2B-00BE-4887-84E3-312488AE1E40}"/>
    <cellStyle name="Currency" xfId="2" builtinId="4"/>
    <cellStyle name="Currency 2" xfId="6" xr:uid="{1799DF95-772E-4FEA-A4F3-816B0F9A2841}"/>
    <cellStyle name="Normal" xfId="0" builtinId="0"/>
    <cellStyle name="Normal 2" xfId="4" xr:uid="{9398201E-3AD9-4083-B80F-EFD0F240C3F0}"/>
    <cellStyle name="Percent" xfId="3" builtinId="5"/>
  </cellStyles>
  <dxfs count="0"/>
  <tableStyles count="0" defaultTableStyle="TableStyleMedium2" defaultPivotStyle="PivotStyleLight16"/>
  <colors>
    <mruColors>
      <color rgb="FFB4C4C1"/>
      <color rgb="FFABBDBA"/>
      <color rgb="FF9BB0AD"/>
      <color rgb="FF254744"/>
      <color rgb="FF55AFCF"/>
      <color rgb="FF698CE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'Tax Credits'!$E$19" lockText="1" noThreeD="1"/>
</file>

<file path=xl/ctrlProps/ctrlProp3.xml><?xml version="1.0" encoding="utf-8"?>
<formControlPr xmlns="http://schemas.microsoft.com/office/spreadsheetml/2009/9/main" objectType="CheckBox" fmlaLink="'Tax Credits'!$E$20" lockText="1" noThreeD="1"/>
</file>

<file path=xl/ctrlProps/ctrlProp4.xml><?xml version="1.0" encoding="utf-8"?>
<formControlPr xmlns="http://schemas.microsoft.com/office/spreadsheetml/2009/9/main" objectType="CheckBox" fmlaLink="'Tax Credits'!$E$21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266700</xdr:colOff>
          <xdr:row>2</xdr:row>
          <xdr:rowOff>88900</xdr:rowOff>
        </xdr:from>
        <xdr:to>
          <xdr:col>19</xdr:col>
          <xdr:colOff>762000</xdr:colOff>
          <xdr:row>3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90078</xdr:colOff>
      <xdr:row>1</xdr:row>
      <xdr:rowOff>123264</xdr:rowOff>
    </xdr:from>
    <xdr:to>
      <xdr:col>11</xdr:col>
      <xdr:colOff>44825</xdr:colOff>
      <xdr:row>2</xdr:row>
      <xdr:rowOff>11206</xdr:rowOff>
    </xdr:to>
    <xdr:pic>
      <xdr:nvPicPr>
        <xdr:cNvPr id="2" name="x_Picture 4" descr="A black background with white text&#10;&#10;AI-generated content may be incorrect.">
          <a:extLst>
            <a:ext uri="{FF2B5EF4-FFF2-40B4-BE49-F238E27FC236}">
              <a16:creationId xmlns:a16="http://schemas.microsoft.com/office/drawing/2014/main" id="{7C448ACF-4834-6F2B-DE99-0BEC0F758F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24813" y="403411"/>
          <a:ext cx="3092394" cy="3810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279400</xdr:colOff>
          <xdr:row>35</xdr:row>
          <xdr:rowOff>25400</xdr:rowOff>
        </xdr:from>
        <xdr:to>
          <xdr:col>21</xdr:col>
          <xdr:colOff>635000</xdr:colOff>
          <xdr:row>36</xdr:row>
          <xdr:rowOff>38100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292100</xdr:colOff>
          <xdr:row>35</xdr:row>
          <xdr:rowOff>215900</xdr:rowOff>
        </xdr:from>
        <xdr:to>
          <xdr:col>21</xdr:col>
          <xdr:colOff>635000</xdr:colOff>
          <xdr:row>37</xdr:row>
          <xdr:rowOff>12700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279400</xdr:colOff>
          <xdr:row>36</xdr:row>
          <xdr:rowOff>203200</xdr:rowOff>
        </xdr:from>
        <xdr:to>
          <xdr:col>21</xdr:col>
          <xdr:colOff>635000</xdr:colOff>
          <xdr:row>38</xdr:row>
          <xdr:rowOff>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B3B62-0F8C-43D3-B445-9520E2908978}">
  <sheetPr codeName="Sheet1">
    <tabColor theme="4" tint="0.79998168889431442"/>
    <pageSetUpPr fitToPage="1"/>
  </sheetPr>
  <dimension ref="A1:AD59"/>
  <sheetViews>
    <sheetView showGridLines="0" topLeftCell="K10" zoomScale="131" zoomScaleNormal="85" workbookViewId="0">
      <selection activeCell="U29" sqref="U29"/>
    </sheetView>
  </sheetViews>
  <sheetFormatPr baseColWidth="10" defaultColWidth="8.83203125" defaultRowHeight="15" outlineLevelRow="1" outlineLevelCol="1"/>
  <cols>
    <col min="1" max="1" width="6.6640625" customWidth="1"/>
    <col min="2" max="2" width="3.33203125" customWidth="1"/>
    <col min="3" max="3" width="28.33203125" customWidth="1" outlineLevel="1"/>
    <col min="4" max="4" width="15.6640625" customWidth="1" outlineLevel="1"/>
    <col min="5" max="5" width="6.5" customWidth="1"/>
    <col min="6" max="6" width="23.83203125" customWidth="1"/>
    <col min="7" max="7" width="16.5" customWidth="1"/>
    <col min="8" max="8" width="3.5" customWidth="1"/>
    <col min="9" max="9" width="4.1640625" customWidth="1"/>
    <col min="10" max="10" width="23.83203125" bestFit="1" customWidth="1"/>
    <col min="11" max="12" width="15.5" customWidth="1"/>
    <col min="13" max="13" width="17" bestFit="1" customWidth="1"/>
    <col min="14" max="18" width="15.5" customWidth="1"/>
    <col min="19" max="19" width="30.5" customWidth="1" outlineLevel="1"/>
    <col min="20" max="20" width="17.83203125" customWidth="1" outlineLevel="1"/>
    <col min="21" max="21" width="15.83203125" customWidth="1" outlineLevel="1"/>
    <col min="22" max="22" width="12.83203125" customWidth="1" outlineLevel="1"/>
    <col min="23" max="23" width="12.5" bestFit="1" customWidth="1"/>
    <col min="24" max="24" width="13.6640625" bestFit="1" customWidth="1"/>
    <col min="25" max="25" width="15" bestFit="1" customWidth="1"/>
    <col min="26" max="30" width="10" bestFit="1" customWidth="1"/>
  </cols>
  <sheetData>
    <row r="1" spans="1:21" ht="23" thickBot="1">
      <c r="D1" s="421"/>
      <c r="E1" s="421"/>
      <c r="F1" t="s">
        <v>253</v>
      </c>
    </row>
    <row r="2" spans="1:21" ht="39" customHeight="1" thickBot="1">
      <c r="C2" s="405"/>
      <c r="D2" s="406"/>
      <c r="E2" s="406"/>
      <c r="F2" s="406"/>
      <c r="G2" s="406"/>
      <c r="H2" s="191"/>
      <c r="I2" s="191"/>
      <c r="J2" s="191"/>
      <c r="K2" s="191"/>
      <c r="L2" s="191"/>
      <c r="M2" s="191"/>
      <c r="N2" s="191"/>
      <c r="O2" s="191"/>
      <c r="P2" s="191"/>
      <c r="Q2" s="192"/>
      <c r="S2" s="416" t="s">
        <v>121</v>
      </c>
      <c r="T2" s="418"/>
    </row>
    <row r="3" spans="1:21" ht="30.75" customHeight="1">
      <c r="A3" s="1"/>
      <c r="B3" s="1"/>
      <c r="C3" s="422" t="str">
        <f>S6</f>
        <v>Knox Abbot 3 Tenant Bldg</v>
      </c>
      <c r="D3" s="423"/>
      <c r="E3" s="423"/>
      <c r="F3" s="423"/>
      <c r="G3" s="423"/>
      <c r="H3" s="423"/>
      <c r="I3" s="423"/>
      <c r="J3" s="423"/>
      <c r="K3" s="423"/>
      <c r="L3" s="423"/>
      <c r="M3" s="423"/>
      <c r="N3" s="423"/>
      <c r="O3" s="423"/>
      <c r="P3" s="423"/>
      <c r="Q3" s="424"/>
      <c r="S3" s="7"/>
      <c r="T3" s="10"/>
    </row>
    <row r="4" spans="1:21" ht="18.75" customHeight="1" thickBot="1">
      <c r="A4" s="1"/>
      <c r="B4" s="1"/>
      <c r="C4" s="425" t="str">
        <f>S7</f>
        <v>Columbia, SC</v>
      </c>
      <c r="D4" s="426"/>
      <c r="E4" s="426"/>
      <c r="F4" s="426"/>
      <c r="G4" s="426"/>
      <c r="H4" s="426"/>
      <c r="I4" s="426"/>
      <c r="J4" s="426"/>
      <c r="K4" s="426"/>
      <c r="L4" s="426"/>
      <c r="M4" s="426"/>
      <c r="N4" s="426"/>
      <c r="O4" s="426"/>
      <c r="P4" s="426"/>
      <c r="Q4" s="427"/>
      <c r="S4" s="7"/>
      <c r="T4" s="10"/>
    </row>
    <row r="5" spans="1:21" ht="18.75" customHeight="1" thickBot="1">
      <c r="A5" s="1"/>
      <c r="B5" s="1"/>
      <c r="C5" s="425" t="str">
        <f>S8</f>
        <v>Build To Suit</v>
      </c>
      <c r="D5" s="426"/>
      <c r="E5" s="426"/>
      <c r="F5" s="426"/>
      <c r="G5" s="426"/>
      <c r="H5" s="426"/>
      <c r="I5" s="426"/>
      <c r="J5" s="426"/>
      <c r="K5" s="426"/>
      <c r="L5" s="426"/>
      <c r="M5" s="426"/>
      <c r="N5" s="426"/>
      <c r="O5" s="426"/>
      <c r="P5" s="426"/>
      <c r="Q5" s="427"/>
      <c r="S5" s="416" t="s">
        <v>110</v>
      </c>
      <c r="T5" s="418"/>
    </row>
    <row r="6" spans="1:21" ht="19.5" customHeight="1" thickBot="1">
      <c r="C6" s="428">
        <f>S9</f>
        <v>5500</v>
      </c>
      <c r="D6" s="429"/>
      <c r="E6" s="429"/>
      <c r="F6" s="429"/>
      <c r="G6" s="429"/>
      <c r="H6" s="429"/>
      <c r="I6" s="429"/>
      <c r="J6" s="429"/>
      <c r="K6" s="429"/>
      <c r="L6" s="429"/>
      <c r="M6" s="429"/>
      <c r="N6" s="429"/>
      <c r="O6" s="429"/>
      <c r="P6" s="429"/>
      <c r="Q6" s="430"/>
      <c r="S6" s="433" t="s">
        <v>272</v>
      </c>
      <c r="T6" s="434"/>
    </row>
    <row r="7" spans="1:21" ht="20" thickBot="1">
      <c r="D7" s="3"/>
      <c r="E7" s="4"/>
      <c r="S7" s="435" t="s">
        <v>0</v>
      </c>
      <c r="T7" s="436"/>
    </row>
    <row r="8" spans="1:21" ht="16" thickBot="1">
      <c r="C8" s="419" t="s">
        <v>1</v>
      </c>
      <c r="D8" s="420"/>
      <c r="E8" s="6"/>
      <c r="F8" s="419" t="s">
        <v>145</v>
      </c>
      <c r="G8" s="420"/>
      <c r="J8" s="416" t="s">
        <v>201</v>
      </c>
      <c r="K8" s="417"/>
      <c r="L8" s="417"/>
      <c r="M8" s="417"/>
      <c r="N8" s="417"/>
      <c r="O8" s="417"/>
      <c r="P8" s="417"/>
      <c r="Q8" s="418"/>
      <c r="S8" s="435" t="s">
        <v>264</v>
      </c>
      <c r="T8" s="436"/>
    </row>
    <row r="9" spans="1:21" ht="17" customHeight="1">
      <c r="C9" s="7" t="str">
        <f>S11</f>
        <v>Acquisition Cost</v>
      </c>
      <c r="D9" s="167">
        <f>T11</f>
        <v>1200000</v>
      </c>
      <c r="F9" s="195" t="s">
        <v>143</v>
      </c>
      <c r="G9" s="8">
        <f>D13</f>
        <v>3055000</v>
      </c>
      <c r="J9" s="196" t="s">
        <v>33</v>
      </c>
      <c r="K9" s="37">
        <f>+L9-0.001</f>
        <v>6.2E-2</v>
      </c>
      <c r="L9" s="37">
        <f>+M9-0.001</f>
        <v>6.3E-2</v>
      </c>
      <c r="M9" s="37">
        <f>+N9-0.001</f>
        <v>6.4000000000000001E-2</v>
      </c>
      <c r="N9" s="173">
        <f>$T$30</f>
        <v>6.5000000000000002E-2</v>
      </c>
      <c r="O9" s="38">
        <f>+N9+0.001</f>
        <v>6.6000000000000003E-2</v>
      </c>
      <c r="P9" s="38">
        <f>+O9+0.001</f>
        <v>6.7000000000000004E-2</v>
      </c>
      <c r="Q9" s="39">
        <f>+P9+0.001</f>
        <v>6.8000000000000005E-2</v>
      </c>
      <c r="S9" s="437">
        <v>5500</v>
      </c>
      <c r="T9" s="438"/>
      <c r="U9" s="369"/>
    </row>
    <row r="10" spans="1:21" ht="17" customHeight="1">
      <c r="C10" s="7" t="s">
        <v>129</v>
      </c>
      <c r="D10" s="167">
        <f>Costs!F36</f>
        <v>1200000</v>
      </c>
      <c r="E10" s="12"/>
      <c r="F10" s="24" t="s">
        <v>144</v>
      </c>
      <c r="G10" s="19">
        <f>D27</f>
        <v>458535.16</v>
      </c>
      <c r="J10" s="36" t="s">
        <v>95</v>
      </c>
      <c r="K10" s="226">
        <f t="shared" ref="K10:Q10" si="0">$G$27-K9</f>
        <v>2.6668092775955457E-2</v>
      </c>
      <c r="L10" s="226">
        <f t="shared" si="0"/>
        <v>2.5668092775955456E-2</v>
      </c>
      <c r="M10" s="226">
        <f t="shared" si="0"/>
        <v>2.4668092775955455E-2</v>
      </c>
      <c r="N10" s="258">
        <f t="shared" si="0"/>
        <v>2.3668092775955454E-2</v>
      </c>
      <c r="O10" s="227">
        <f t="shared" si="0"/>
        <v>2.2668092775955453E-2</v>
      </c>
      <c r="P10" s="227">
        <f t="shared" si="0"/>
        <v>2.1668092775955453E-2</v>
      </c>
      <c r="Q10" s="259">
        <f t="shared" si="0"/>
        <v>2.0668092775955452E-2</v>
      </c>
      <c r="S10" s="7" t="s">
        <v>118</v>
      </c>
      <c r="T10" s="199">
        <v>46023</v>
      </c>
    </row>
    <row r="11" spans="1:21" ht="17" customHeight="1">
      <c r="C11" s="7" t="s">
        <v>147</v>
      </c>
      <c r="D11" s="167">
        <f>Costs!F17</f>
        <v>380000</v>
      </c>
      <c r="E11" s="12"/>
      <c r="F11" s="195">
        <f>T21</f>
        <v>0.04</v>
      </c>
      <c r="G11" s="8">
        <f>D30</f>
        <v>140541.40640000001</v>
      </c>
      <c r="J11" s="36" t="s">
        <v>64</v>
      </c>
      <c r="K11" s="163">
        <f>Proforma!$I$22/K9</f>
        <v>4999032.2580645159</v>
      </c>
      <c r="L11" s="163">
        <f>Proforma!$I$22/L9</f>
        <v>4919682.5396825401</v>
      </c>
      <c r="M11" s="163">
        <f>Proforma!$I$22/M9</f>
        <v>4842812.5</v>
      </c>
      <c r="N11" s="41">
        <f>Proforma!$I$22/N9</f>
        <v>4768307.692307692</v>
      </c>
      <c r="O11" s="164">
        <f>Proforma!$I$22/O9</f>
        <v>4696060.6060606055</v>
      </c>
      <c r="P11" s="164">
        <f>Proforma!$I$22/P9</f>
        <v>4625970.1492537307</v>
      </c>
      <c r="Q11" s="42">
        <f>Proforma!$I$22/Q9</f>
        <v>4557941.176470588</v>
      </c>
      <c r="S11" s="24" t="s">
        <v>4</v>
      </c>
      <c r="T11" s="340">
        <v>1200000</v>
      </c>
    </row>
    <row r="12" spans="1:21" ht="17" customHeight="1" thickBot="1">
      <c r="C12" s="24" t="s">
        <v>130</v>
      </c>
      <c r="D12" s="19">
        <f>O34</f>
        <v>275000</v>
      </c>
      <c r="E12" s="12"/>
      <c r="F12" s="256" t="s">
        <v>34</v>
      </c>
      <c r="G12" s="257">
        <f>D32</f>
        <v>3654076.5664000004</v>
      </c>
      <c r="J12" s="255">
        <f>T29</f>
        <v>0.04</v>
      </c>
      <c r="K12" s="163">
        <f>K11*$J$12</f>
        <v>199961.29032258064</v>
      </c>
      <c r="L12" s="163">
        <f t="shared" ref="L12:Q12" si="1">L11*$J$12</f>
        <v>196787.3015873016</v>
      </c>
      <c r="M12" s="163">
        <f t="shared" si="1"/>
        <v>193712.5</v>
      </c>
      <c r="N12" s="41">
        <f t="shared" si="1"/>
        <v>190732.30769230769</v>
      </c>
      <c r="O12" s="164">
        <f t="shared" si="1"/>
        <v>187842.42424242423</v>
      </c>
      <c r="P12" s="164">
        <f t="shared" si="1"/>
        <v>185038.80597014923</v>
      </c>
      <c r="Q12" s="42">
        <f t="shared" si="1"/>
        <v>182317.64705882352</v>
      </c>
      <c r="S12" s="431" t="s">
        <v>18</v>
      </c>
      <c r="T12" s="432"/>
    </row>
    <row r="13" spans="1:21" ht="17" customHeight="1" thickBot="1">
      <c r="C13" s="29" t="s">
        <v>16</v>
      </c>
      <c r="D13" s="30">
        <f>SUM(D9:D12)</f>
        <v>3055000</v>
      </c>
      <c r="E13" s="12"/>
      <c r="J13" s="36" t="s">
        <v>66</v>
      </c>
      <c r="K13" s="163">
        <f>Proforma!F47</f>
        <v>2906899.8215488885</v>
      </c>
      <c r="L13" s="163">
        <f>Proforma!F47</f>
        <v>2906899.8215488885</v>
      </c>
      <c r="M13" s="163">
        <f>Proforma!F47</f>
        <v>2906899.8215488885</v>
      </c>
      <c r="N13" s="41">
        <f>Proforma!F47</f>
        <v>2906899.8215488885</v>
      </c>
      <c r="O13" s="164">
        <f>Proforma!F47</f>
        <v>2906899.8215488885</v>
      </c>
      <c r="P13" s="164">
        <f>Proforma!F47</f>
        <v>2906899.8215488885</v>
      </c>
      <c r="Q13" s="42">
        <f>Proforma!F47</f>
        <v>2906899.8215488885</v>
      </c>
      <c r="S13" s="36" t="s">
        <v>111</v>
      </c>
      <c r="T13" s="201">
        <v>0</v>
      </c>
    </row>
    <row r="14" spans="1:21" ht="17" customHeight="1">
      <c r="C14" s="419" t="s">
        <v>18</v>
      </c>
      <c r="D14" s="420"/>
      <c r="E14" s="12"/>
      <c r="F14" s="419" t="s">
        <v>3</v>
      </c>
      <c r="G14" s="420"/>
      <c r="J14" s="36" t="s">
        <v>67</v>
      </c>
      <c r="K14" s="163">
        <f>K11-K12-K13</f>
        <v>1892171.1461930471</v>
      </c>
      <c r="L14" s="163">
        <f t="shared" ref="L14:Q14" si="2">L11-L12-L13</f>
        <v>1815995.4165463503</v>
      </c>
      <c r="M14" s="163">
        <f t="shared" si="2"/>
        <v>1742200.1784511115</v>
      </c>
      <c r="N14" s="41">
        <f t="shared" si="2"/>
        <v>1670675.5630664956</v>
      </c>
      <c r="O14" s="164">
        <f t="shared" si="2"/>
        <v>1601318.3602692932</v>
      </c>
      <c r="P14" s="164">
        <f t="shared" si="2"/>
        <v>1534031.5217346931</v>
      </c>
      <c r="Q14" s="42">
        <f t="shared" si="2"/>
        <v>1468723.7078628764</v>
      </c>
      <c r="S14" s="7" t="s">
        <v>146</v>
      </c>
      <c r="T14" s="198">
        <v>20000</v>
      </c>
    </row>
    <row r="15" spans="1:21" ht="17" customHeight="1">
      <c r="C15" s="168">
        <f>T13</f>
        <v>0</v>
      </c>
      <c r="D15" s="169">
        <f>C15*D9</f>
        <v>0</v>
      </c>
      <c r="F15" s="9" t="s">
        <v>6</v>
      </c>
      <c r="G15" s="224">
        <f>Proforma!F9</f>
        <v>324000</v>
      </c>
      <c r="J15" s="36" t="s">
        <v>131</v>
      </c>
      <c r="K15" s="163">
        <f t="shared" ref="K15:Q15" si="3">$G$36</f>
        <v>730815.31327999989</v>
      </c>
      <c r="L15" s="163">
        <f t="shared" si="3"/>
        <v>730815.31327999989</v>
      </c>
      <c r="M15" s="163">
        <f t="shared" si="3"/>
        <v>730815.31327999989</v>
      </c>
      <c r="N15" s="41">
        <f t="shared" si="3"/>
        <v>730815.31327999989</v>
      </c>
      <c r="O15" s="164">
        <f t="shared" si="3"/>
        <v>730815.31327999989</v>
      </c>
      <c r="P15" s="164">
        <f t="shared" si="3"/>
        <v>730815.31327999989</v>
      </c>
      <c r="Q15" s="42">
        <f t="shared" si="3"/>
        <v>730815.31327999989</v>
      </c>
      <c r="S15" s="7" t="s">
        <v>25</v>
      </c>
      <c r="T15" s="198">
        <v>100000</v>
      </c>
    </row>
    <row r="16" spans="1:21" ht="17" customHeight="1">
      <c r="C16" s="7" t="s">
        <v>146</v>
      </c>
      <c r="D16" s="169">
        <f>T14</f>
        <v>20000</v>
      </c>
      <c r="E16" s="12"/>
      <c r="F16" s="7" t="s">
        <v>161</v>
      </c>
      <c r="G16" s="8">
        <f>-Proforma!F10</f>
        <v>0</v>
      </c>
      <c r="J16" s="228"/>
      <c r="K16" s="229"/>
      <c r="L16" s="229"/>
      <c r="M16" s="229"/>
      <c r="N16" s="230"/>
      <c r="O16" s="231"/>
      <c r="P16" s="231"/>
      <c r="Q16" s="232"/>
      <c r="S16" s="7" t="s">
        <v>27</v>
      </c>
      <c r="T16" s="198">
        <v>15000</v>
      </c>
    </row>
    <row r="17" spans="3:20" ht="15.75" customHeight="1" thickBot="1">
      <c r="C17" s="7" t="s">
        <v>25</v>
      </c>
      <c r="D17" s="169">
        <f>T15</f>
        <v>100000</v>
      </c>
      <c r="E17" s="12"/>
      <c r="F17" s="7" t="s">
        <v>166</v>
      </c>
      <c r="G17" s="19">
        <f>Proforma!F12</f>
        <v>0</v>
      </c>
      <c r="J17" s="90" t="s">
        <v>36</v>
      </c>
      <c r="K17" s="225">
        <f t="shared" ref="K17:Q17" si="4">K14-K15</f>
        <v>1161355.8329130472</v>
      </c>
      <c r="L17" s="48">
        <f t="shared" si="4"/>
        <v>1085180.1032663505</v>
      </c>
      <c r="M17" s="48">
        <f t="shared" si="4"/>
        <v>1011384.8651711117</v>
      </c>
      <c r="N17" s="49">
        <f t="shared" si="4"/>
        <v>939860.2497864957</v>
      </c>
      <c r="O17" s="50">
        <f t="shared" si="4"/>
        <v>870503.0469892933</v>
      </c>
      <c r="P17" s="50">
        <f t="shared" si="4"/>
        <v>803216.2084546932</v>
      </c>
      <c r="Q17" s="51">
        <f t="shared" si="4"/>
        <v>737908.39458287647</v>
      </c>
      <c r="S17" s="7" t="s">
        <v>28</v>
      </c>
      <c r="T17" s="198">
        <v>2500</v>
      </c>
    </row>
    <row r="18" spans="3:20" ht="17" customHeight="1" thickBot="1">
      <c r="C18" s="7" t="s">
        <v>26</v>
      </c>
      <c r="D18" s="208">
        <v>121802.55</v>
      </c>
      <c r="E18" s="2"/>
      <c r="F18" s="7" t="s">
        <v>204</v>
      </c>
      <c r="G18" s="8">
        <f>SUM(G15:G17)</f>
        <v>324000</v>
      </c>
      <c r="J18" s="236" t="s">
        <v>61</v>
      </c>
      <c r="K18" s="262">
        <f t="shared" ref="K18" si="5">SUM(K15:K17)/K15</f>
        <v>2.5891235607813443</v>
      </c>
      <c r="L18" s="262">
        <f t="shared" ref="L18" si="6">SUM(L15:L17)/L15</f>
        <v>2.4848896616518781</v>
      </c>
      <c r="M18" s="262">
        <f t="shared" ref="M18" si="7">SUM(M15:M17)/M15</f>
        <v>2.383913071870206</v>
      </c>
      <c r="N18" s="263">
        <f t="shared" ref="N18" si="8">SUM(N15:N17)/N15</f>
        <v>2.2860434540818164</v>
      </c>
      <c r="O18" s="264">
        <f t="shared" ref="O18" si="9">SUM(O15:O17)/O15</f>
        <v>2.1911395822870152</v>
      </c>
      <c r="P18" s="264">
        <f t="shared" ref="P18" si="10">SUM(P15:P17)/P15</f>
        <v>2.0990686618890733</v>
      </c>
      <c r="Q18" s="265">
        <f t="shared" ref="Q18" si="11">SUM(Q15:Q17)/Q15</f>
        <v>2.0097057097381303</v>
      </c>
      <c r="S18" s="7" t="s">
        <v>30</v>
      </c>
      <c r="T18" s="198">
        <v>15000</v>
      </c>
    </row>
    <row r="19" spans="3:20" ht="17" customHeight="1" thickBot="1">
      <c r="C19" s="7" t="s">
        <v>115</v>
      </c>
      <c r="D19" s="208">
        <v>29232.61</v>
      </c>
      <c r="F19" s="172" t="s">
        <v>193</v>
      </c>
      <c r="G19" s="19">
        <f>-SUM(Proforma!F16:F21)</f>
        <v>-14060</v>
      </c>
      <c r="S19" s="267" t="s">
        <v>266</v>
      </c>
      <c r="T19" s="198">
        <v>160000</v>
      </c>
    </row>
    <row r="20" spans="3:20" ht="17" customHeight="1" thickBot="1">
      <c r="C20" s="7" t="s">
        <v>27</v>
      </c>
      <c r="D20" s="169">
        <f>T16</f>
        <v>15000</v>
      </c>
      <c r="E20" s="2"/>
      <c r="F20" s="7" t="s">
        <v>14</v>
      </c>
      <c r="G20" s="8">
        <f>G18+G19</f>
        <v>309940</v>
      </c>
      <c r="J20" s="416" t="s">
        <v>19</v>
      </c>
      <c r="K20" s="417"/>
      <c r="L20" s="417"/>
      <c r="M20" s="417"/>
      <c r="N20" s="417"/>
      <c r="O20" s="417"/>
      <c r="P20" s="417"/>
      <c r="Q20" s="418"/>
      <c r="S20" s="268" t="s">
        <v>96</v>
      </c>
      <c r="T20" s="200">
        <v>0</v>
      </c>
    </row>
    <row r="21" spans="3:20" ht="17" customHeight="1">
      <c r="C21" s="7" t="s">
        <v>28</v>
      </c>
      <c r="D21" s="169">
        <f>T17</f>
        <v>2500</v>
      </c>
      <c r="F21" s="7" t="s">
        <v>53</v>
      </c>
      <c r="G21" s="8">
        <f>-Proforma!F23</f>
        <v>-231406.31201977501</v>
      </c>
      <c r="J21" s="237" t="s">
        <v>120</v>
      </c>
      <c r="K21" s="238" t="s">
        <v>20</v>
      </c>
      <c r="L21" s="239" t="s">
        <v>122</v>
      </c>
      <c r="M21" s="239"/>
      <c r="N21" s="239" t="s">
        <v>21</v>
      </c>
      <c r="O21" s="239" t="s">
        <v>22</v>
      </c>
      <c r="P21" s="239" t="s">
        <v>23</v>
      </c>
      <c r="Q21" s="240" t="s">
        <v>24</v>
      </c>
      <c r="S21" s="45" t="s">
        <v>119</v>
      </c>
      <c r="T21" s="203">
        <v>0.04</v>
      </c>
    </row>
    <row r="22" spans="3:20" ht="23.25" customHeight="1">
      <c r="C22" s="7" t="s">
        <v>29</v>
      </c>
      <c r="D22" s="169">
        <f>Costs!N17</f>
        <v>0</v>
      </c>
      <c r="F22" s="7"/>
      <c r="G22" s="10"/>
      <c r="J22" s="337" t="str">
        <f>IF('Rent Roll'!F11=0,"",'Rent Roll'!F11)</f>
        <v>Swig</v>
      </c>
      <c r="K22" s="234">
        <f>IF('Rent Roll'!H11=0,"",'Rent Roll'!H11)</f>
        <v>1500</v>
      </c>
      <c r="L22" s="171">
        <f>IF('Rent Roll'!J11=0,"",'Rent Roll'!J11)</f>
        <v>68</v>
      </c>
      <c r="M22" s="266"/>
      <c r="N22" s="171">
        <f>IF('Rent Roll'!K11=0,"",'Rent Roll'!K11)</f>
        <v>50</v>
      </c>
      <c r="O22" s="32">
        <f>IFERROR(N22*K22," ")</f>
        <v>75000</v>
      </c>
      <c r="P22" s="75">
        <f>IFERROR(L22*K22," ")</f>
        <v>102000</v>
      </c>
      <c r="Q22" s="8">
        <f>IFERROR(P22/12," ")</f>
        <v>8500</v>
      </c>
      <c r="S22" s="431" t="s">
        <v>193</v>
      </c>
      <c r="T22" s="432"/>
    </row>
    <row r="23" spans="3:20" ht="15" customHeight="1">
      <c r="C23" s="7" t="s">
        <v>30</v>
      </c>
      <c r="D23" s="169">
        <v>10000</v>
      </c>
      <c r="F23" s="7" t="s">
        <v>15</v>
      </c>
      <c r="G23" s="8">
        <f>SUM(G20:G21)</f>
        <v>78533.68798022499</v>
      </c>
      <c r="J23" s="337" t="str">
        <f>IF('Rent Roll'!F12=0,"",'Rent Roll'!F12)</f>
        <v>Sleep Number</v>
      </c>
      <c r="K23" s="234">
        <f>IF('Rent Roll'!H12=0,"",'Rent Roll'!H12)</f>
        <v>2500</v>
      </c>
      <c r="L23" s="171">
        <f>IF('Rent Roll'!J12=0,"",'Rent Roll'!J12)</f>
        <v>48</v>
      </c>
      <c r="M23" s="266"/>
      <c r="N23" s="171">
        <f>IF('Rent Roll'!K12=0,"",'Rent Roll'!K12)</f>
        <v>50</v>
      </c>
      <c r="O23" s="32">
        <f t="shared" ref="O23:O33" si="12">IFERROR(N23*K23," ")</f>
        <v>125000</v>
      </c>
      <c r="P23" s="75">
        <f t="shared" ref="P23:P33" si="13">IFERROR(L23*K23," ")</f>
        <v>120000</v>
      </c>
      <c r="Q23" s="8">
        <f t="shared" ref="Q23:Q33" si="14">IFERROR(P23/12," ")</f>
        <v>10000</v>
      </c>
      <c r="S23" s="7" t="s">
        <v>184</v>
      </c>
      <c r="T23" s="198">
        <v>0</v>
      </c>
    </row>
    <row r="24" spans="3:20" ht="17" customHeight="1">
      <c r="C24" s="7" t="str">
        <f>S19</f>
        <v>Leasing Commission</v>
      </c>
      <c r="D24" s="169">
        <f>T19</f>
        <v>160000</v>
      </c>
      <c r="F24" s="7" t="s">
        <v>17</v>
      </c>
      <c r="G24" s="410">
        <f>G20/G21*-1</f>
        <v>1.3393757382621172</v>
      </c>
      <c r="J24" s="337" t="str">
        <f>IF('Rent Roll'!F13=0,"",'Rent Roll'!F13)</f>
        <v>Verizon</v>
      </c>
      <c r="K24" s="234">
        <f>IF('Rent Roll'!H13=0,"",'Rent Roll'!H13)</f>
        <v>1500</v>
      </c>
      <c r="L24" s="171">
        <f>IF('Rent Roll'!J13=0,"",'Rent Roll'!J13)</f>
        <v>68</v>
      </c>
      <c r="M24" s="266"/>
      <c r="N24" s="171">
        <f>IF('Rent Roll'!K13=0,"",'Rent Roll'!K13)</f>
        <v>50</v>
      </c>
      <c r="O24" s="32">
        <f t="shared" si="12"/>
        <v>75000</v>
      </c>
      <c r="P24" s="75">
        <f t="shared" si="13"/>
        <v>102000</v>
      </c>
      <c r="Q24" s="8">
        <f t="shared" si="14"/>
        <v>8500</v>
      </c>
      <c r="S24" s="7" t="s">
        <v>169</v>
      </c>
      <c r="T24" s="198">
        <v>0</v>
      </c>
    </row>
    <row r="25" spans="3:20" ht="20.25" customHeight="1" thickBot="1">
      <c r="C25" s="7" t="str">
        <f>S20</f>
        <v>Insert Cost Category</v>
      </c>
      <c r="D25" s="169">
        <f>T20</f>
        <v>0</v>
      </c>
      <c r="F25" s="413" t="s">
        <v>228</v>
      </c>
      <c r="G25" s="414">
        <f>G23/G36</f>
        <v>0.10746037549179829</v>
      </c>
      <c r="J25" s="337" t="str">
        <f>IF('Rent Roll'!F14=0,"",'Rent Roll'!F14)</f>
        <v/>
      </c>
      <c r="K25" s="234" t="str">
        <f>IF('Rent Roll'!H14=0,"",'Rent Roll'!H14)</f>
        <v/>
      </c>
      <c r="L25" s="171" t="str">
        <f>IF('Rent Roll'!J14=0,"",'Rent Roll'!J14)</f>
        <v/>
      </c>
      <c r="M25" s="266"/>
      <c r="N25" s="171" t="str">
        <f>IF('Rent Roll'!K14=0,"",'Rent Roll'!K14)</f>
        <v/>
      </c>
      <c r="O25" s="32" t="str">
        <f t="shared" si="12"/>
        <v xml:space="preserve"> </v>
      </c>
      <c r="P25" s="75" t="str">
        <f t="shared" si="13"/>
        <v xml:space="preserve"> </v>
      </c>
      <c r="Q25" s="8" t="str">
        <f t="shared" si="14"/>
        <v xml:space="preserve"> </v>
      </c>
      <c r="S25" s="7" t="s">
        <v>180</v>
      </c>
      <c r="T25" s="198">
        <v>0</v>
      </c>
    </row>
    <row r="26" spans="3:20" ht="17" customHeight="1" thickBot="1">
      <c r="C26" s="24"/>
      <c r="D26" s="170"/>
      <c r="F26" s="408"/>
      <c r="G26" s="409"/>
      <c r="J26" s="337" t="str">
        <f>IF('Rent Roll'!F15=0,"",'Rent Roll'!F15)</f>
        <v/>
      </c>
      <c r="K26" s="234" t="str">
        <f>IF('Rent Roll'!H15=0,"",'Rent Roll'!H15)</f>
        <v/>
      </c>
      <c r="L26" s="171" t="str">
        <f>IF('Rent Roll'!J15=0,"",'Rent Roll'!J15)</f>
        <v/>
      </c>
      <c r="M26" s="266"/>
      <c r="N26" s="171" t="str">
        <f>IF('Rent Roll'!K15=0,"",'Rent Roll'!K15)</f>
        <v/>
      </c>
      <c r="O26" s="32" t="str">
        <f t="shared" si="12"/>
        <v xml:space="preserve"> </v>
      </c>
      <c r="P26" s="75" t="str">
        <f t="shared" si="13"/>
        <v xml:space="preserve"> </v>
      </c>
      <c r="Q26" s="8" t="str">
        <f t="shared" si="14"/>
        <v xml:space="preserve"> </v>
      </c>
      <c r="S26" s="7" t="s">
        <v>195</v>
      </c>
      <c r="T26" s="202">
        <v>0</v>
      </c>
    </row>
    <row r="27" spans="3:20" ht="17" customHeight="1" thickBot="1">
      <c r="C27" s="29" t="s">
        <v>31</v>
      </c>
      <c r="D27" s="30">
        <f>SUM(D15:D26)</f>
        <v>458535.16</v>
      </c>
      <c r="F27" s="411" t="s">
        <v>227</v>
      </c>
      <c r="G27" s="412">
        <f>G29/D32</f>
        <v>8.8668092775955457E-2</v>
      </c>
      <c r="J27" s="337" t="str">
        <f>IF('Rent Roll'!F16=0,"",'Rent Roll'!F16)</f>
        <v/>
      </c>
      <c r="K27" s="234" t="str">
        <f>IF('Rent Roll'!H16=0,"",'Rent Roll'!H16)</f>
        <v/>
      </c>
      <c r="L27" s="171" t="str">
        <f>IF('Rent Roll'!J16=0,"",'Rent Roll'!J16)</f>
        <v/>
      </c>
      <c r="M27" s="266"/>
      <c r="N27" s="171" t="str">
        <f>IF('Rent Roll'!K16=0,"",'Rent Roll'!K16)</f>
        <v/>
      </c>
      <c r="O27" s="32" t="str">
        <f t="shared" si="12"/>
        <v xml:space="preserve"> </v>
      </c>
      <c r="P27" s="75" t="str">
        <f t="shared" si="13"/>
        <v xml:space="preserve"> </v>
      </c>
      <c r="Q27" s="8" t="str">
        <f t="shared" si="14"/>
        <v xml:space="preserve"> </v>
      </c>
      <c r="S27" s="7" t="s">
        <v>194</v>
      </c>
      <c r="T27" s="202">
        <v>0.04</v>
      </c>
    </row>
    <row r="28" spans="3:20">
      <c r="C28" s="7"/>
      <c r="D28" s="10"/>
      <c r="F28" s="7" t="s">
        <v>37</v>
      </c>
      <c r="G28" s="407">
        <f>K34</f>
        <v>5500</v>
      </c>
      <c r="H28" s="14"/>
      <c r="J28" s="337" t="str">
        <f>IF('Rent Roll'!F17=0,"",'Rent Roll'!F17)</f>
        <v/>
      </c>
      <c r="K28" s="234" t="str">
        <f>IF('Rent Roll'!H17=0,"",'Rent Roll'!H17)</f>
        <v/>
      </c>
      <c r="L28" s="171" t="str">
        <f>IF('Rent Roll'!J17=0,"",'Rent Roll'!J17)</f>
        <v/>
      </c>
      <c r="M28" s="266"/>
      <c r="N28" s="171" t="str">
        <f>IF('Rent Roll'!K17=0,"",'Rent Roll'!K17)</f>
        <v/>
      </c>
      <c r="O28" s="32" t="str">
        <f t="shared" si="12"/>
        <v xml:space="preserve"> </v>
      </c>
      <c r="P28" s="75" t="str">
        <f t="shared" si="13"/>
        <v xml:space="preserve"> </v>
      </c>
      <c r="Q28" s="8" t="str">
        <f t="shared" si="14"/>
        <v xml:space="preserve"> </v>
      </c>
      <c r="S28" s="431" t="s">
        <v>263</v>
      </c>
      <c r="T28" s="432"/>
    </row>
    <row r="29" spans="3:20" ht="17" customHeight="1" thickBot="1">
      <c r="C29" s="7" t="s">
        <v>32</v>
      </c>
      <c r="D29" s="8">
        <f>D27+D13</f>
        <v>3513535.16</v>
      </c>
      <c r="F29" s="7" t="s">
        <v>38</v>
      </c>
      <c r="G29" s="15">
        <f>P34</f>
        <v>324000</v>
      </c>
      <c r="H29" s="14"/>
      <c r="J29" s="337" t="str">
        <f>IF('Rent Roll'!F18=0,"",'Rent Roll'!F18)</f>
        <v/>
      </c>
      <c r="K29" s="234" t="str">
        <f>IF('Rent Roll'!H18=0,"",'Rent Roll'!H18)</f>
        <v/>
      </c>
      <c r="L29" s="171" t="str">
        <f>IF('Rent Roll'!J18=0,"",'Rent Roll'!J18)</f>
        <v/>
      </c>
      <c r="M29" s="266"/>
      <c r="N29" s="171" t="str">
        <f>IF('Rent Roll'!K18=0,"",'Rent Roll'!K18)</f>
        <v/>
      </c>
      <c r="O29" s="32" t="str">
        <f t="shared" si="12"/>
        <v xml:space="preserve"> </v>
      </c>
      <c r="P29" s="75" t="str">
        <f t="shared" si="13"/>
        <v xml:space="preserve"> </v>
      </c>
      <c r="Q29" s="8" t="str">
        <f t="shared" si="14"/>
        <v xml:space="preserve"> </v>
      </c>
      <c r="S29" s="7" t="s">
        <v>27</v>
      </c>
      <c r="T29" s="202">
        <v>0.04</v>
      </c>
    </row>
    <row r="30" spans="3:20" ht="17" customHeight="1" thickBot="1">
      <c r="C30" s="195">
        <f>T21</f>
        <v>0.04</v>
      </c>
      <c r="D30" s="8">
        <f>D29*C30</f>
        <v>140541.40640000001</v>
      </c>
      <c r="F30" s="155" t="s">
        <v>94</v>
      </c>
      <c r="G30" s="156">
        <f>G27</f>
        <v>8.8668092775955457E-2</v>
      </c>
      <c r="H30" s="107"/>
      <c r="J30" s="337" t="str">
        <f>IF('Rent Roll'!F19=0,"",'Rent Roll'!F19)</f>
        <v/>
      </c>
      <c r="K30" s="234" t="str">
        <f>IF('Rent Roll'!H19=0,"",'Rent Roll'!H19)</f>
        <v/>
      </c>
      <c r="L30" s="171" t="str">
        <f>IF('Rent Roll'!J19=0,"",'Rent Roll'!J19)</f>
        <v/>
      </c>
      <c r="M30" s="266"/>
      <c r="N30" s="171" t="str">
        <f>IF('Rent Roll'!K19=0,"",'Rent Roll'!K19)</f>
        <v/>
      </c>
      <c r="O30" s="32" t="str">
        <f t="shared" si="12"/>
        <v xml:space="preserve"> </v>
      </c>
      <c r="P30" s="75" t="str">
        <f t="shared" si="13"/>
        <v xml:space="preserve"> </v>
      </c>
      <c r="Q30" s="8" t="str">
        <f t="shared" si="14"/>
        <v xml:space="preserve"> </v>
      </c>
      <c r="S30" s="24" t="s">
        <v>112</v>
      </c>
      <c r="T30" s="205">
        <v>6.5000000000000002E-2</v>
      </c>
    </row>
    <row r="31" spans="3:20" ht="17" customHeight="1" thickBot="1">
      <c r="C31" s="24"/>
      <c r="D31" s="161"/>
      <c r="H31" s="14"/>
      <c r="J31" s="337" t="str">
        <f>IF('Rent Roll'!F20=0,"",'Rent Roll'!F20)</f>
        <v/>
      </c>
      <c r="K31" s="234" t="str">
        <f>IF('Rent Roll'!H20=0,"",'Rent Roll'!H20)</f>
        <v/>
      </c>
      <c r="L31" s="171" t="str">
        <f>IF('Rent Roll'!J20=0,"",'Rent Roll'!J20)</f>
        <v/>
      </c>
      <c r="M31" s="266"/>
      <c r="N31" s="171" t="str">
        <f>IF('Rent Roll'!K20=0,"",'Rent Roll'!K20)</f>
        <v/>
      </c>
      <c r="O31" s="32" t="str">
        <f t="shared" si="12"/>
        <v xml:space="preserve"> </v>
      </c>
      <c r="P31" s="75" t="str">
        <f t="shared" si="13"/>
        <v xml:space="preserve"> </v>
      </c>
      <c r="Q31" s="8" t="str">
        <f t="shared" si="14"/>
        <v xml:space="preserve"> </v>
      </c>
      <c r="S31" s="7" t="s">
        <v>196</v>
      </c>
      <c r="T31" s="202">
        <v>0</v>
      </c>
    </row>
    <row r="32" spans="3:20" ht="17" customHeight="1" thickBot="1">
      <c r="C32" s="43" t="s">
        <v>34</v>
      </c>
      <c r="D32" s="44">
        <f>D29+D30</f>
        <v>3654076.5664000004</v>
      </c>
      <c r="F32" s="419" t="s">
        <v>117</v>
      </c>
      <c r="G32" s="420"/>
      <c r="H32" s="97"/>
      <c r="J32" s="337" t="str">
        <f>IF('Rent Roll'!F21=0,"",'Rent Roll'!F21)</f>
        <v/>
      </c>
      <c r="K32" s="234" t="str">
        <f>IF('Rent Roll'!H21=0,"",'Rent Roll'!H21)</f>
        <v/>
      </c>
      <c r="L32" s="171" t="str">
        <f>IF('Rent Roll'!J21=0,"",'Rent Roll'!J21)</f>
        <v/>
      </c>
      <c r="M32" s="266"/>
      <c r="N32" s="171" t="str">
        <f>IF('Rent Roll'!K21=0,"",'Rent Roll'!K21)</f>
        <v/>
      </c>
      <c r="O32" s="32" t="str">
        <f t="shared" si="12"/>
        <v xml:space="preserve"> </v>
      </c>
      <c r="P32" s="75" t="str">
        <f t="shared" si="13"/>
        <v xml:space="preserve"> </v>
      </c>
      <c r="Q32" s="8" t="str">
        <f t="shared" si="14"/>
        <v xml:space="preserve"> </v>
      </c>
      <c r="S32" s="431" t="s">
        <v>2</v>
      </c>
      <c r="T32" s="432"/>
    </row>
    <row r="33" spans="4:30" ht="17" customHeight="1">
      <c r="D33" s="2"/>
      <c r="E33" s="31"/>
      <c r="F33" s="7" t="s">
        <v>5</v>
      </c>
      <c r="G33" s="8">
        <f>D32</f>
        <v>3654076.5664000004</v>
      </c>
      <c r="H33" s="2"/>
      <c r="J33" s="337" t="str">
        <f>IF('Rent Roll'!F22=0,"",'Rent Roll'!F22)</f>
        <v/>
      </c>
      <c r="K33" s="234" t="str">
        <f>IF('Rent Roll'!H22=0,"",'Rent Roll'!H22)</f>
        <v/>
      </c>
      <c r="L33" s="171" t="str">
        <f>IF('Rent Roll'!J22=0,"",'Rent Roll'!J22)</f>
        <v/>
      </c>
      <c r="M33" s="34"/>
      <c r="N33" s="171" t="str">
        <f>IF('Rent Roll'!K22=0,"",'Rent Roll'!K22)</f>
        <v/>
      </c>
      <c r="O33" s="32" t="str">
        <f t="shared" si="12"/>
        <v xml:space="preserve"> </v>
      </c>
      <c r="P33" s="75" t="str">
        <f t="shared" si="13"/>
        <v xml:space="preserve"> </v>
      </c>
      <c r="Q33" s="8" t="str">
        <f t="shared" si="14"/>
        <v xml:space="preserve"> </v>
      </c>
      <c r="S33" s="7" t="s">
        <v>142</v>
      </c>
      <c r="T33" s="206">
        <v>6.25E-2</v>
      </c>
    </row>
    <row r="34" spans="4:30" ht="17" customHeight="1" thickBot="1">
      <c r="E34" s="31"/>
      <c r="F34" s="7" t="s">
        <v>7</v>
      </c>
      <c r="G34" s="159">
        <f>Financing!F6</f>
        <v>0.8</v>
      </c>
      <c r="J34" s="123"/>
      <c r="K34" s="241">
        <f>SUM(K22:K33)</f>
        <v>5500</v>
      </c>
      <c r="L34" s="242"/>
      <c r="M34" s="242"/>
      <c r="N34" s="242"/>
      <c r="O34" s="243">
        <f>SUM(O22:O33)</f>
        <v>275000</v>
      </c>
      <c r="P34" s="243">
        <f>SUM(P22:P33)</f>
        <v>324000</v>
      </c>
      <c r="Q34" s="244">
        <f>SUM(Q22:Q33)</f>
        <v>27000</v>
      </c>
      <c r="S34" s="7" t="s">
        <v>114</v>
      </c>
      <c r="T34" s="204">
        <v>25</v>
      </c>
    </row>
    <row r="35" spans="4:30" ht="17" customHeight="1" thickBot="1">
      <c r="F35" s="7" t="s">
        <v>8</v>
      </c>
      <c r="G35" s="8">
        <f>G34*G33</f>
        <v>2923261.2531200005</v>
      </c>
      <c r="H35" s="25"/>
      <c r="S35" s="7" t="s">
        <v>113</v>
      </c>
      <c r="T35" s="204">
        <v>8</v>
      </c>
      <c r="U35" s="403" t="s">
        <v>222</v>
      </c>
      <c r="V35" s="404"/>
    </row>
    <row r="36" spans="4:30" ht="17" customHeight="1" thickBot="1">
      <c r="F36" s="7" t="s">
        <v>9</v>
      </c>
      <c r="G36" s="17">
        <f>G33-G35</f>
        <v>730815.31327999989</v>
      </c>
      <c r="J36" s="416" t="s">
        <v>39</v>
      </c>
      <c r="K36" s="417"/>
      <c r="L36" s="417"/>
      <c r="M36" s="417"/>
      <c r="N36" s="417"/>
      <c r="O36" s="417"/>
      <c r="P36" s="417"/>
      <c r="Q36" s="418"/>
      <c r="S36" s="36" t="s">
        <v>7</v>
      </c>
      <c r="T36" s="201">
        <v>0.8</v>
      </c>
      <c r="U36" s="356" t="s">
        <v>223</v>
      </c>
      <c r="V36" s="10"/>
    </row>
    <row r="37" spans="4:30" ht="17" customHeight="1" thickBot="1">
      <c r="F37" s="7" t="s">
        <v>10</v>
      </c>
      <c r="G37" s="10">
        <f>Financing!C7</f>
        <v>25</v>
      </c>
      <c r="H37" s="154"/>
      <c r="J37" s="235" t="s">
        <v>40</v>
      </c>
      <c r="K37" s="53">
        <f>K56</f>
        <v>324000</v>
      </c>
      <c r="L37" s="53">
        <f t="shared" ref="L37:Q37" si="15">L56</f>
        <v>324000</v>
      </c>
      <c r="M37" s="53">
        <f t="shared" si="15"/>
        <v>324000</v>
      </c>
      <c r="N37" s="53">
        <f t="shared" si="15"/>
        <v>324000</v>
      </c>
      <c r="O37" s="53">
        <f t="shared" si="15"/>
        <v>324000</v>
      </c>
      <c r="P37" s="53">
        <f t="shared" si="15"/>
        <v>324000</v>
      </c>
      <c r="Q37" s="54">
        <f t="shared" si="15"/>
        <v>324000</v>
      </c>
      <c r="S37" s="16" t="s">
        <v>116</v>
      </c>
      <c r="T37" s="207">
        <v>0.01</v>
      </c>
      <c r="U37" s="356" t="s">
        <v>224</v>
      </c>
      <c r="V37" s="10"/>
    </row>
    <row r="38" spans="4:30" ht="17" customHeight="1" thickBot="1">
      <c r="F38" s="7" t="s">
        <v>11</v>
      </c>
      <c r="G38" s="160">
        <f>Financing!C6</f>
        <v>6.25E-2</v>
      </c>
      <c r="H38" s="154"/>
      <c r="J38" s="335" t="s">
        <v>176</v>
      </c>
      <c r="K38" s="336"/>
      <c r="L38" s="336">
        <f t="shared" ref="L38:Q38" si="16">L57</f>
        <v>0</v>
      </c>
      <c r="M38" s="336">
        <f t="shared" si="16"/>
        <v>0</v>
      </c>
      <c r="N38" s="336">
        <f t="shared" si="16"/>
        <v>0</v>
      </c>
      <c r="O38" s="336">
        <f t="shared" si="16"/>
        <v>0</v>
      </c>
      <c r="P38" s="336">
        <f t="shared" si="16"/>
        <v>0</v>
      </c>
      <c r="Q38" s="338">
        <f t="shared" si="16"/>
        <v>0</v>
      </c>
      <c r="S38" s="16" t="s">
        <v>234</v>
      </c>
      <c r="T38" s="370">
        <v>8</v>
      </c>
      <c r="U38" s="357" t="s">
        <v>225</v>
      </c>
      <c r="V38" s="197"/>
    </row>
    <row r="39" spans="4:30" ht="17" customHeight="1">
      <c r="F39" s="7" t="s">
        <v>12</v>
      </c>
      <c r="G39" s="22">
        <f>PMT(G38/12,G37*12,G35,0)</f>
        <v>-19283.859334981251</v>
      </c>
      <c r="AC39" s="28"/>
      <c r="AD39" s="28"/>
    </row>
    <row r="40" spans="4:30" ht="17" customHeight="1" thickBot="1">
      <c r="F40" s="16" t="s">
        <v>13</v>
      </c>
      <c r="G40" s="23">
        <f>G39*12</f>
        <v>-231406.31201977501</v>
      </c>
      <c r="AC40" s="28"/>
      <c r="AD40" s="28"/>
    </row>
    <row r="41" spans="4:30" ht="17" hidden="1" customHeight="1" outlineLevel="1" thickBot="1"/>
    <row r="42" spans="4:30" ht="17" hidden="1" customHeight="1" outlineLevel="1" thickBot="1">
      <c r="J42" s="416" t="s">
        <v>39</v>
      </c>
      <c r="K42" s="417"/>
      <c r="L42" s="417"/>
      <c r="M42" s="417"/>
      <c r="N42" s="417"/>
      <c r="O42" s="417"/>
      <c r="P42" s="417"/>
      <c r="Q42" s="418"/>
    </row>
    <row r="43" spans="4:30" ht="17" hidden="1" customHeight="1" outlineLevel="1">
      <c r="J43" s="358" t="s">
        <v>153</v>
      </c>
      <c r="K43" s="359">
        <v>2026</v>
      </c>
      <c r="L43" s="359">
        <v>2027</v>
      </c>
      <c r="M43" s="359">
        <v>2028</v>
      </c>
      <c r="N43" s="359">
        <v>2029</v>
      </c>
      <c r="O43" s="359">
        <v>2030</v>
      </c>
      <c r="P43" s="359">
        <v>2031</v>
      </c>
      <c r="Q43" s="360">
        <v>2032</v>
      </c>
    </row>
    <row r="44" spans="4:30" ht="17" hidden="1" customHeight="1" outlineLevel="1">
      <c r="J44" s="337" t="str">
        <f>IF('Rent Roll'!G11=0,"",'Rent Roll'!G11)</f>
        <v>A Endcap</v>
      </c>
      <c r="K44" s="14">
        <f>IF('Rent Roll'!DD11=0,"",'Rent Roll'!DD11)</f>
        <v>102000</v>
      </c>
      <c r="L44" s="14">
        <f>IF('Rent Roll'!DE11=0,"",'Rent Roll'!DE11)</f>
        <v>102000</v>
      </c>
      <c r="M44" s="14">
        <f>IF('Rent Roll'!DF11=0,"",'Rent Roll'!DF11)</f>
        <v>102000</v>
      </c>
      <c r="N44" s="14">
        <f>IF('Rent Roll'!DG11=0,"",'Rent Roll'!DG11)</f>
        <v>102000</v>
      </c>
      <c r="O44" s="14">
        <f>IF('Rent Roll'!DH11=0,"",'Rent Roll'!DH11)</f>
        <v>102000</v>
      </c>
      <c r="P44" s="14">
        <f>IF('Rent Roll'!DI11=0,"",'Rent Roll'!DI11)</f>
        <v>102000</v>
      </c>
      <c r="Q44" s="8">
        <f>IF('Rent Roll'!DJ11=0,"",'Rent Roll'!DJ11)</f>
        <v>102000</v>
      </c>
    </row>
    <row r="45" spans="4:30" ht="17" hidden="1" customHeight="1" outlineLevel="1">
      <c r="J45" s="337" t="str">
        <f>IF('Rent Roll'!G12=0,"",'Rent Roll'!G12)</f>
        <v>B</v>
      </c>
      <c r="K45" s="14">
        <f>IF('Rent Roll'!DD12=0,"",'Rent Roll'!DD12)</f>
        <v>120000</v>
      </c>
      <c r="L45" s="14">
        <f>IF('Rent Roll'!DE12=0,"",'Rent Roll'!DE12)</f>
        <v>120000</v>
      </c>
      <c r="M45" s="14">
        <f>IF('Rent Roll'!DF12=0,"",'Rent Roll'!DF12)</f>
        <v>120000</v>
      </c>
      <c r="N45" s="14">
        <f>IF('Rent Roll'!DG12=0,"",'Rent Roll'!DG12)</f>
        <v>120000</v>
      </c>
      <c r="O45" s="14">
        <f>IF('Rent Roll'!DH12=0,"",'Rent Roll'!DH12)</f>
        <v>120000</v>
      </c>
      <c r="P45" s="14">
        <f>IF('Rent Roll'!DI12=0,"",'Rent Roll'!DI12)</f>
        <v>120000</v>
      </c>
      <c r="Q45" s="8">
        <f>IF('Rent Roll'!DJ12=0,"",'Rent Roll'!DJ12)</f>
        <v>120000</v>
      </c>
    </row>
    <row r="46" spans="4:30" ht="17" hidden="1" customHeight="1" outlineLevel="1">
      <c r="J46" s="337" t="str">
        <f>IF('Rent Roll'!G13=0,"",'Rent Roll'!G13)</f>
        <v>C Endcap</v>
      </c>
      <c r="K46" s="14">
        <f>IF('Rent Roll'!DD13=0,"",'Rent Roll'!DD13)</f>
        <v>102000</v>
      </c>
      <c r="L46" s="14">
        <f>IF('Rent Roll'!DE13=0,"",'Rent Roll'!DE13)</f>
        <v>102000</v>
      </c>
      <c r="M46" s="14">
        <f>IF('Rent Roll'!DF13=0,"",'Rent Roll'!DF13)</f>
        <v>102000</v>
      </c>
      <c r="N46" s="14">
        <f>IF('Rent Roll'!DG13=0,"",'Rent Roll'!DG13)</f>
        <v>102000</v>
      </c>
      <c r="O46" s="14">
        <f>IF('Rent Roll'!DH13=0,"",'Rent Roll'!DH13)</f>
        <v>102000</v>
      </c>
      <c r="P46" s="14">
        <f>IF('Rent Roll'!DI13=0,"",'Rent Roll'!DI13)</f>
        <v>102000</v>
      </c>
      <c r="Q46" s="8">
        <f>IF('Rent Roll'!DJ13=0,"",'Rent Roll'!DJ13)</f>
        <v>102000</v>
      </c>
    </row>
    <row r="47" spans="4:30" ht="17" hidden="1" customHeight="1" outlineLevel="1">
      <c r="J47" s="337" t="str">
        <f>IF('Rent Roll'!G14=0,"",'Rent Roll'!G14)</f>
        <v/>
      </c>
      <c r="K47" s="14" t="str">
        <f>IF('Rent Roll'!DD14=0,"",'Rent Roll'!DD14)</f>
        <v/>
      </c>
      <c r="L47" s="14" t="str">
        <f>IF('Rent Roll'!DE14=0,"",'Rent Roll'!DE14)</f>
        <v/>
      </c>
      <c r="M47" s="14" t="str">
        <f>IF('Rent Roll'!DF14=0,"",'Rent Roll'!DF14)</f>
        <v/>
      </c>
      <c r="N47" s="14" t="str">
        <f>IF('Rent Roll'!DG14=0,"",'Rent Roll'!DG14)</f>
        <v/>
      </c>
      <c r="O47" s="14" t="str">
        <f>IF('Rent Roll'!DH14=0,"",'Rent Roll'!DH14)</f>
        <v/>
      </c>
      <c r="P47" s="14" t="str">
        <f>IF('Rent Roll'!DI14=0,"",'Rent Roll'!DI14)</f>
        <v/>
      </c>
      <c r="Q47" s="8" t="str">
        <f>IF('Rent Roll'!DJ14=0,"",'Rent Roll'!DJ14)</f>
        <v/>
      </c>
    </row>
    <row r="48" spans="4:30" ht="17" hidden="1" customHeight="1" outlineLevel="1">
      <c r="J48" s="337" t="str">
        <f>IF('Rent Roll'!G15=0,"",'Rent Roll'!G15)</f>
        <v/>
      </c>
      <c r="K48" s="14" t="str">
        <f>IF('Rent Roll'!DD15=0,"",'Rent Roll'!DD15)</f>
        <v/>
      </c>
      <c r="L48" s="14" t="str">
        <f>IF('Rent Roll'!DE15=0,"",'Rent Roll'!DE15)</f>
        <v/>
      </c>
      <c r="M48" s="14" t="str">
        <f>IF('Rent Roll'!DF15=0,"",'Rent Roll'!DF15)</f>
        <v/>
      </c>
      <c r="N48" s="14" t="str">
        <f>IF('Rent Roll'!DG15=0,"",'Rent Roll'!DG15)</f>
        <v/>
      </c>
      <c r="O48" s="14" t="str">
        <f>IF('Rent Roll'!DH15=0,"",'Rent Roll'!DH15)</f>
        <v/>
      </c>
      <c r="P48" s="14" t="str">
        <f>IF('Rent Roll'!DI15=0,"",'Rent Roll'!DI15)</f>
        <v/>
      </c>
      <c r="Q48" s="8" t="str">
        <f>IF('Rent Roll'!DJ15=0,"",'Rent Roll'!DJ15)</f>
        <v/>
      </c>
    </row>
    <row r="49" spans="10:20" ht="17" hidden="1" customHeight="1" outlineLevel="1">
      <c r="J49" s="337" t="str">
        <f>IF('Rent Roll'!G16=0,"",'Rent Roll'!G16)</f>
        <v/>
      </c>
      <c r="K49" s="14" t="str">
        <f>IF('Rent Roll'!DD16=0,"",'Rent Roll'!DD16)</f>
        <v/>
      </c>
      <c r="L49" s="14" t="str">
        <f>IF('Rent Roll'!DE16=0,"",'Rent Roll'!DE16)</f>
        <v/>
      </c>
      <c r="M49" s="14" t="str">
        <f>IF('Rent Roll'!DF16=0,"",'Rent Roll'!DF16)</f>
        <v/>
      </c>
      <c r="N49" s="14" t="str">
        <f>IF('Rent Roll'!DG16=0,"",'Rent Roll'!DG16)</f>
        <v/>
      </c>
      <c r="O49" s="14" t="str">
        <f>IF('Rent Roll'!DH16=0,"",'Rent Roll'!DH16)</f>
        <v/>
      </c>
      <c r="P49" s="14" t="str">
        <f>IF('Rent Roll'!DI16=0,"",'Rent Roll'!DI16)</f>
        <v/>
      </c>
      <c r="Q49" s="8" t="str">
        <f>IF('Rent Roll'!DJ16=0,"",'Rent Roll'!DJ16)</f>
        <v/>
      </c>
    </row>
    <row r="50" spans="10:20" ht="17" hidden="1" customHeight="1" outlineLevel="1">
      <c r="J50" s="337" t="str">
        <f>IF('Rent Roll'!G17=0,"",'Rent Roll'!G17)</f>
        <v/>
      </c>
      <c r="K50" s="14" t="str">
        <f>IF('Rent Roll'!DD17=0,"",'Rent Roll'!DD17)</f>
        <v/>
      </c>
      <c r="L50" s="14" t="str">
        <f>IF('Rent Roll'!DE17=0,"",'Rent Roll'!DE17)</f>
        <v/>
      </c>
      <c r="M50" s="14" t="str">
        <f>IF('Rent Roll'!DF17=0,"",'Rent Roll'!DF17)</f>
        <v/>
      </c>
      <c r="N50" s="14" t="str">
        <f>IF('Rent Roll'!DG17=0,"",'Rent Roll'!DG17)</f>
        <v/>
      </c>
      <c r="O50" s="14" t="str">
        <f>IF('Rent Roll'!DH17=0,"",'Rent Roll'!DH17)</f>
        <v/>
      </c>
      <c r="P50" s="14" t="str">
        <f>IF('Rent Roll'!DI17=0,"",'Rent Roll'!DI17)</f>
        <v/>
      </c>
      <c r="Q50" s="8" t="str">
        <f>IF('Rent Roll'!DJ17=0,"",'Rent Roll'!DJ17)</f>
        <v/>
      </c>
    </row>
    <row r="51" spans="10:20" ht="17" hidden="1" customHeight="1" outlineLevel="1">
      <c r="J51" s="337" t="str">
        <f>IF('Rent Roll'!G18=0,"",'Rent Roll'!G18)</f>
        <v/>
      </c>
      <c r="K51" s="14" t="str">
        <f>IF('Rent Roll'!DD18=0,"",'Rent Roll'!DD18)</f>
        <v/>
      </c>
      <c r="L51" s="14" t="str">
        <f>IF('Rent Roll'!DE18=0,"",'Rent Roll'!DE18)</f>
        <v/>
      </c>
      <c r="M51" s="14" t="str">
        <f>IF('Rent Roll'!DF18=0,"",'Rent Roll'!DF18)</f>
        <v/>
      </c>
      <c r="N51" s="14" t="str">
        <f>IF('Rent Roll'!DG18=0,"",'Rent Roll'!DG18)</f>
        <v/>
      </c>
      <c r="O51" s="14" t="str">
        <f>IF('Rent Roll'!DH18=0,"",'Rent Roll'!DH18)</f>
        <v/>
      </c>
      <c r="P51" s="14" t="str">
        <f>IF('Rent Roll'!DI18=0,"",'Rent Roll'!DI18)</f>
        <v/>
      </c>
      <c r="Q51" s="8" t="str">
        <f>IF('Rent Roll'!DJ18=0,"",'Rent Roll'!DJ18)</f>
        <v/>
      </c>
    </row>
    <row r="52" spans="10:20" ht="17" hidden="1" customHeight="1" outlineLevel="1">
      <c r="J52" s="337" t="str">
        <f>IF('Rent Roll'!G19=0,"",'Rent Roll'!G19)</f>
        <v/>
      </c>
      <c r="K52" s="14" t="str">
        <f>IF('Rent Roll'!DD19=0,"",'Rent Roll'!DD19)</f>
        <v/>
      </c>
      <c r="L52" s="14" t="str">
        <f>IF('Rent Roll'!DE19=0,"",'Rent Roll'!DE19)</f>
        <v/>
      </c>
      <c r="M52" s="14" t="str">
        <f>IF('Rent Roll'!DF19=0,"",'Rent Roll'!DF19)</f>
        <v/>
      </c>
      <c r="N52" s="14" t="str">
        <f>IF('Rent Roll'!DG19=0,"",'Rent Roll'!DG19)</f>
        <v/>
      </c>
      <c r="O52" s="14" t="str">
        <f>IF('Rent Roll'!DH19=0,"",'Rent Roll'!DH19)</f>
        <v/>
      </c>
      <c r="P52" s="14" t="str">
        <f>IF('Rent Roll'!DI19=0,"",'Rent Roll'!DI19)</f>
        <v/>
      </c>
      <c r="Q52" s="8" t="str">
        <f>IF('Rent Roll'!DJ19=0,"",'Rent Roll'!DJ19)</f>
        <v/>
      </c>
    </row>
    <row r="53" spans="10:20" ht="17" hidden="1" customHeight="1" outlineLevel="1">
      <c r="J53" s="337" t="str">
        <f>IF('Rent Roll'!G20=0,"",'Rent Roll'!G20)</f>
        <v/>
      </c>
      <c r="K53" s="14" t="str">
        <f>IF('Rent Roll'!DD20=0,"",'Rent Roll'!DD20)</f>
        <v/>
      </c>
      <c r="L53" s="14" t="str">
        <f>IF('Rent Roll'!DE20=0,"",'Rent Roll'!DE20)</f>
        <v/>
      </c>
      <c r="M53" s="14" t="str">
        <f>IF('Rent Roll'!DF20=0,"",'Rent Roll'!DF20)</f>
        <v/>
      </c>
      <c r="N53" s="14" t="str">
        <f>IF('Rent Roll'!DG20=0,"",'Rent Roll'!DG20)</f>
        <v/>
      </c>
      <c r="O53" s="14" t="str">
        <f>IF('Rent Roll'!DH20=0,"",'Rent Roll'!DH20)</f>
        <v/>
      </c>
      <c r="P53" s="14" t="str">
        <f>IF('Rent Roll'!DI20=0,"",'Rent Roll'!DI20)</f>
        <v/>
      </c>
      <c r="Q53" s="8" t="str">
        <f>IF('Rent Roll'!DJ20=0,"",'Rent Roll'!DJ20)</f>
        <v/>
      </c>
    </row>
    <row r="54" spans="10:20" ht="15" hidden="1" customHeight="1" outlineLevel="1">
      <c r="J54" s="337" t="str">
        <f>IF('Rent Roll'!G21=0,"",'Rent Roll'!G21)</f>
        <v/>
      </c>
      <c r="K54" s="14" t="str">
        <f>IF('Rent Roll'!DD21=0,"",'Rent Roll'!DD21)</f>
        <v/>
      </c>
      <c r="L54" s="14" t="str">
        <f>IF('Rent Roll'!DE21=0,"",'Rent Roll'!DE21)</f>
        <v/>
      </c>
      <c r="M54" s="14" t="str">
        <f>IF('Rent Roll'!DF21=0,"",'Rent Roll'!DF21)</f>
        <v/>
      </c>
      <c r="N54" s="14" t="str">
        <f>IF('Rent Roll'!DG21=0,"",'Rent Roll'!DG21)</f>
        <v/>
      </c>
      <c r="O54" s="14" t="str">
        <f>IF('Rent Roll'!DH21=0,"",'Rent Roll'!DH21)</f>
        <v/>
      </c>
      <c r="P54" s="14" t="str">
        <f>IF('Rent Roll'!DI21=0,"",'Rent Roll'!DI21)</f>
        <v/>
      </c>
      <c r="Q54" s="8" t="str">
        <f>IF('Rent Roll'!DJ21=0,"",'Rent Roll'!DJ21)</f>
        <v/>
      </c>
    </row>
    <row r="55" spans="10:20" ht="15" hidden="1" customHeight="1" outlineLevel="1" thickBot="1">
      <c r="J55" s="337" t="str">
        <f>IF('Rent Roll'!G22=0,"",'Rent Roll'!G22)</f>
        <v/>
      </c>
      <c r="K55" s="14" t="str">
        <f>IF('Rent Roll'!DD22=0,"",'Rent Roll'!DD22)</f>
        <v/>
      </c>
      <c r="L55" s="14" t="str">
        <f>IF('Rent Roll'!DE22=0,"",'Rent Roll'!DE22)</f>
        <v/>
      </c>
      <c r="M55" s="14" t="str">
        <f>IF('Rent Roll'!DF22=0,"",'Rent Roll'!DF22)</f>
        <v/>
      </c>
      <c r="N55" s="14" t="str">
        <f>IF('Rent Roll'!DG22=0,"",'Rent Roll'!DG22)</f>
        <v/>
      </c>
      <c r="O55" s="14" t="str">
        <f>IF('Rent Roll'!DH22=0,"",'Rent Roll'!DH22)</f>
        <v/>
      </c>
      <c r="P55" s="14" t="str">
        <f>IF('Rent Roll'!DI22=0,"",'Rent Roll'!DI22)</f>
        <v/>
      </c>
      <c r="Q55" s="8" t="str">
        <f>IF('Rent Roll'!DJ22=0,"",'Rent Roll'!DJ22)</f>
        <v/>
      </c>
      <c r="S55" s="14"/>
      <c r="T55" s="14"/>
    </row>
    <row r="56" spans="10:20" ht="16" hidden="1" outlineLevel="1" thickBot="1">
      <c r="J56" s="235" t="s">
        <v>40</v>
      </c>
      <c r="K56" s="53">
        <f t="shared" ref="K56:Q56" si="17">SUM(K44:K54)</f>
        <v>324000</v>
      </c>
      <c r="L56" s="53">
        <f t="shared" si="17"/>
        <v>324000</v>
      </c>
      <c r="M56" s="53">
        <f t="shared" si="17"/>
        <v>324000</v>
      </c>
      <c r="N56" s="53">
        <f t="shared" si="17"/>
        <v>324000</v>
      </c>
      <c r="O56" s="53">
        <f t="shared" si="17"/>
        <v>324000</v>
      </c>
      <c r="P56" s="53">
        <f t="shared" si="17"/>
        <v>324000</v>
      </c>
      <c r="Q56" s="54">
        <f t="shared" si="17"/>
        <v>324000</v>
      </c>
    </row>
    <row r="57" spans="10:20" ht="16" hidden="1" outlineLevel="1" thickBot="1">
      <c r="J57" s="335" t="s">
        <v>176</v>
      </c>
      <c r="K57" s="336"/>
      <c r="L57" s="336">
        <f>(L56/K56)-1</f>
        <v>0</v>
      </c>
      <c r="M57" s="336">
        <f t="shared" ref="M57:Q57" si="18">(M56/L56)-1</f>
        <v>0</v>
      </c>
      <c r="N57" s="336">
        <f t="shared" si="18"/>
        <v>0</v>
      </c>
      <c r="O57" s="336">
        <f t="shared" si="18"/>
        <v>0</v>
      </c>
      <c r="P57" s="336">
        <f t="shared" si="18"/>
        <v>0</v>
      </c>
      <c r="Q57" s="338">
        <f t="shared" si="18"/>
        <v>0</v>
      </c>
    </row>
    <row r="58" spans="10:20" hidden="1" outlineLevel="1"/>
    <row r="59" spans="10:20" collapsed="1"/>
  </sheetData>
  <sheetProtection algorithmName="SHA-512" hashValue="kWWuk3Zeo02V0GIGGjY4pEkJK1qDWSSy4iK+JILVyAKneMrOYBcaF/vJxEvtw3na1zYMR4oaI+/w1O3D8BFDvg==" saltValue="YMfpXh6f0preRfZYJr+VQw==" spinCount="100000" sheet="1" objects="1" scenarios="1" formatCells="0" sort="0" autoFilter="0" pivotTables="0"/>
  <mergeCells count="24">
    <mergeCell ref="S2:T2"/>
    <mergeCell ref="S5:T5"/>
    <mergeCell ref="S22:T22"/>
    <mergeCell ref="S28:T28"/>
    <mergeCell ref="S32:T32"/>
    <mergeCell ref="S6:T6"/>
    <mergeCell ref="S7:T7"/>
    <mergeCell ref="S8:T8"/>
    <mergeCell ref="S9:T9"/>
    <mergeCell ref="S12:T12"/>
    <mergeCell ref="D1:E1"/>
    <mergeCell ref="C8:D8"/>
    <mergeCell ref="C14:D14"/>
    <mergeCell ref="C3:Q3"/>
    <mergeCell ref="C4:Q4"/>
    <mergeCell ref="C5:Q5"/>
    <mergeCell ref="C6:Q6"/>
    <mergeCell ref="J42:Q42"/>
    <mergeCell ref="J20:Q20"/>
    <mergeCell ref="J8:Q8"/>
    <mergeCell ref="F14:G14"/>
    <mergeCell ref="F32:G32"/>
    <mergeCell ref="J36:Q36"/>
    <mergeCell ref="F8:G8"/>
  </mergeCells>
  <phoneticPr fontId="21" type="noConversion"/>
  <pageMargins left="0.7" right="0.7" top="0.75" bottom="0.75" header="0.3" footer="0.3"/>
  <pageSetup paperSize="512" scale="91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ialInFinancing_Labels">
                <anchor moveWithCells="1" sizeWithCells="1">
                  <from>
                    <xdr:col>18</xdr:col>
                    <xdr:colOff>266700</xdr:colOff>
                    <xdr:row>2</xdr:row>
                    <xdr:rowOff>88900</xdr:rowOff>
                  </from>
                  <to>
                    <xdr:col>19</xdr:col>
                    <xdr:colOff>762000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Check Box 2">
              <controlPr defaultSize="0" autoFill="0" autoLine="0" autoPict="0">
                <anchor moveWithCells="1">
                  <from>
                    <xdr:col>21</xdr:col>
                    <xdr:colOff>279400</xdr:colOff>
                    <xdr:row>35</xdr:row>
                    <xdr:rowOff>25400</xdr:rowOff>
                  </from>
                  <to>
                    <xdr:col>21</xdr:col>
                    <xdr:colOff>635000</xdr:colOff>
                    <xdr:row>36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eck Box 3">
              <controlPr defaultSize="0" autoFill="0" autoLine="0" autoPict="0">
                <anchor moveWithCells="1">
                  <from>
                    <xdr:col>21</xdr:col>
                    <xdr:colOff>292100</xdr:colOff>
                    <xdr:row>35</xdr:row>
                    <xdr:rowOff>215900</xdr:rowOff>
                  </from>
                  <to>
                    <xdr:col>21</xdr:col>
                    <xdr:colOff>635000</xdr:colOff>
                    <xdr:row>37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Check Box 4">
              <controlPr defaultSize="0" autoFill="0" autoLine="0" autoPict="0">
                <anchor moveWithCells="1">
                  <from>
                    <xdr:col>21</xdr:col>
                    <xdr:colOff>279400</xdr:colOff>
                    <xdr:row>36</xdr:row>
                    <xdr:rowOff>203200</xdr:rowOff>
                  </from>
                  <to>
                    <xdr:col>21</xdr:col>
                    <xdr:colOff>635000</xdr:colOff>
                    <xdr:row>38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793679-D9D4-41B9-8A20-F5F2B97ADD06}">
  <sheetPr codeName="Sheet2">
    <tabColor theme="4" tint="0.79998168889431442"/>
  </sheetPr>
  <dimension ref="B2:Q36"/>
  <sheetViews>
    <sheetView showGridLines="0" tabSelected="1" zoomScale="85" zoomScaleNormal="85" workbookViewId="0">
      <selection activeCell="B32" sqref="B32:F34"/>
    </sheetView>
  </sheetViews>
  <sheetFormatPr baseColWidth="10" defaultColWidth="8.83203125" defaultRowHeight="15"/>
  <cols>
    <col min="2" max="2" width="25" customWidth="1"/>
    <col min="4" max="4" width="9.33203125" customWidth="1"/>
    <col min="6" max="6" width="15" bestFit="1" customWidth="1"/>
    <col min="7" max="7" width="11.1640625" bestFit="1" customWidth="1"/>
    <col min="10" max="10" width="16.33203125" bestFit="1" customWidth="1"/>
    <col min="14" max="14" width="12.83203125" bestFit="1" customWidth="1"/>
    <col min="15" max="15" width="11.1640625" bestFit="1" customWidth="1"/>
    <col min="17" max="17" width="56.6640625" customWidth="1"/>
  </cols>
  <sheetData>
    <row r="2" spans="2:17" ht="16" thickBot="1">
      <c r="B2" s="439" t="s">
        <v>1</v>
      </c>
      <c r="C2" s="439"/>
      <c r="D2" s="439"/>
      <c r="E2" s="439"/>
      <c r="F2" s="439"/>
      <c r="G2" s="439"/>
    </row>
    <row r="3" spans="2:17" ht="16" thickBot="1">
      <c r="B3" s="416" t="s">
        <v>127</v>
      </c>
      <c r="C3" s="417"/>
      <c r="D3" s="417"/>
      <c r="E3" s="417"/>
      <c r="F3" s="417"/>
      <c r="G3" s="418"/>
      <c r="J3" s="416" t="s">
        <v>206</v>
      </c>
      <c r="K3" s="417"/>
      <c r="L3" s="417"/>
      <c r="M3" s="417"/>
      <c r="N3" s="417"/>
      <c r="O3" s="418"/>
    </row>
    <row r="4" spans="2:17">
      <c r="B4" s="209" t="s">
        <v>124</v>
      </c>
      <c r="C4" s="210"/>
      <c r="D4" s="211"/>
      <c r="E4" s="212"/>
      <c r="F4" s="213" t="s">
        <v>5</v>
      </c>
      <c r="G4" s="214" t="s">
        <v>126</v>
      </c>
      <c r="J4" s="209" t="s">
        <v>124</v>
      </c>
      <c r="K4" s="210"/>
      <c r="L4" s="211"/>
      <c r="M4" s="212"/>
      <c r="N4" s="213" t="s">
        <v>5</v>
      </c>
      <c r="O4" s="214" t="s">
        <v>126</v>
      </c>
    </row>
    <row r="5" spans="2:17">
      <c r="B5" s="246"/>
      <c r="C5" s="215"/>
      <c r="D5" s="216"/>
      <c r="E5" s="217"/>
      <c r="F5" s="216"/>
      <c r="G5" s="218"/>
      <c r="J5" s="246" t="s">
        <v>123</v>
      </c>
      <c r="K5" s="215"/>
      <c r="L5" s="216"/>
      <c r="M5" s="217"/>
      <c r="N5" s="216"/>
      <c r="O5" s="218">
        <f>N5/'Deal Summary'!$G$28</f>
        <v>0</v>
      </c>
    </row>
    <row r="6" spans="2:17">
      <c r="B6" s="247" t="s">
        <v>185</v>
      </c>
      <c r="C6" s="215"/>
      <c r="D6" s="216"/>
      <c r="E6" s="217"/>
      <c r="F6" s="248">
        <v>300000</v>
      </c>
      <c r="G6" s="218"/>
      <c r="J6" s="247" t="s">
        <v>135</v>
      </c>
      <c r="K6" s="215"/>
      <c r="L6" s="216"/>
      <c r="M6" s="217"/>
      <c r="N6" s="248">
        <v>0</v>
      </c>
      <c r="O6" s="218">
        <f>N6/'Deal Summary'!$G$28</f>
        <v>0</v>
      </c>
    </row>
    <row r="7" spans="2:17">
      <c r="B7" s="247" t="s">
        <v>186</v>
      </c>
      <c r="C7" s="215"/>
      <c r="D7" s="216"/>
      <c r="E7" s="217"/>
      <c r="F7" s="248"/>
      <c r="G7" s="218"/>
      <c r="J7" s="247" t="s">
        <v>136</v>
      </c>
      <c r="K7" s="215"/>
      <c r="L7" s="216"/>
      <c r="M7" s="217"/>
      <c r="N7" s="248"/>
      <c r="O7" s="218">
        <f>N7/'Deal Summary'!$G$28</f>
        <v>0</v>
      </c>
    </row>
    <row r="8" spans="2:17">
      <c r="B8" s="247" t="s">
        <v>187</v>
      </c>
      <c r="C8" s="215"/>
      <c r="D8" s="216"/>
      <c r="E8" s="217"/>
      <c r="F8" s="248"/>
      <c r="G8" s="218"/>
      <c r="J8" s="247" t="s">
        <v>137</v>
      </c>
      <c r="K8" s="215"/>
      <c r="L8" s="216"/>
      <c r="M8" s="217"/>
      <c r="N8" s="248"/>
      <c r="O8" s="218">
        <f>N8/'Deal Summary'!$G$28</f>
        <v>0</v>
      </c>
    </row>
    <row r="9" spans="2:17">
      <c r="B9" s="246"/>
      <c r="C9" s="215"/>
      <c r="D9" s="216"/>
      <c r="E9" s="217"/>
      <c r="F9" s="216"/>
      <c r="G9" s="218"/>
      <c r="J9" s="246" t="s">
        <v>133</v>
      </c>
      <c r="K9" s="215"/>
      <c r="L9" s="216"/>
      <c r="M9" s="217"/>
      <c r="N9" s="216"/>
      <c r="O9" s="218">
        <f>N9/'Deal Summary'!$G$28</f>
        <v>0</v>
      </c>
    </row>
    <row r="10" spans="2:17">
      <c r="B10" s="247" t="s">
        <v>188</v>
      </c>
      <c r="C10" s="215"/>
      <c r="D10" s="216"/>
      <c r="E10" s="217"/>
      <c r="F10" s="248">
        <v>40000</v>
      </c>
      <c r="G10" s="218"/>
      <c r="J10" s="399" t="s">
        <v>138</v>
      </c>
      <c r="K10" s="215"/>
      <c r="L10" s="216"/>
      <c r="M10" s="217"/>
      <c r="N10" s="248"/>
      <c r="O10" s="218">
        <f>N10/'Deal Summary'!$G$28</f>
        <v>0</v>
      </c>
    </row>
    <row r="11" spans="2:17">
      <c r="B11" s="247" t="s">
        <v>189</v>
      </c>
      <c r="C11" s="215"/>
      <c r="D11" s="216"/>
      <c r="E11" s="217"/>
      <c r="F11" s="248"/>
      <c r="G11" s="218"/>
      <c r="J11" s="247" t="s">
        <v>128</v>
      </c>
      <c r="K11" s="215"/>
      <c r="L11" s="216"/>
      <c r="M11" s="217"/>
      <c r="N11" s="248"/>
      <c r="O11" s="218">
        <f>N11/'Deal Summary'!$G$28</f>
        <v>0</v>
      </c>
    </row>
    <row r="12" spans="2:17">
      <c r="B12" s="247" t="s">
        <v>190</v>
      </c>
      <c r="C12" s="215"/>
      <c r="D12" s="216"/>
      <c r="E12" s="217"/>
      <c r="F12" s="248">
        <v>20000</v>
      </c>
      <c r="G12" s="218"/>
      <c r="J12" s="247" t="s">
        <v>128</v>
      </c>
      <c r="K12" s="215"/>
      <c r="L12" s="216"/>
      <c r="M12" s="217"/>
      <c r="N12" s="248"/>
      <c r="O12" s="218">
        <f>N12/'Deal Summary'!$G$28</f>
        <v>0</v>
      </c>
    </row>
    <row r="13" spans="2:17">
      <c r="B13" s="246"/>
      <c r="C13" s="215"/>
      <c r="D13" s="216"/>
      <c r="E13" s="217"/>
      <c r="F13" s="216"/>
      <c r="G13" s="218"/>
      <c r="J13" s="246" t="s">
        <v>134</v>
      </c>
      <c r="K13" s="215"/>
      <c r="L13" s="216"/>
      <c r="M13" s="217"/>
      <c r="N13" s="216"/>
      <c r="O13" s="218">
        <f>N13/'Deal Summary'!$G$28</f>
        <v>0</v>
      </c>
    </row>
    <row r="14" spans="2:17">
      <c r="B14" s="247" t="s">
        <v>256</v>
      </c>
      <c r="C14" s="215"/>
      <c r="D14" s="216"/>
      <c r="E14" s="217"/>
      <c r="F14" s="248">
        <v>20000</v>
      </c>
      <c r="G14" s="218"/>
      <c r="J14" s="399" t="s">
        <v>139</v>
      </c>
      <c r="K14" s="215"/>
      <c r="L14" s="216"/>
      <c r="M14" s="217"/>
      <c r="N14" s="248"/>
      <c r="O14" s="218">
        <f>N14/'Deal Summary'!$G$28</f>
        <v>0</v>
      </c>
    </row>
    <row r="15" spans="2:17">
      <c r="B15" s="247" t="s">
        <v>191</v>
      </c>
      <c r="C15" s="215"/>
      <c r="D15" s="216"/>
      <c r="E15" s="217"/>
      <c r="F15" s="248"/>
      <c r="G15" s="218"/>
      <c r="J15" s="247" t="s">
        <v>140</v>
      </c>
      <c r="K15" s="215"/>
      <c r="L15" s="216"/>
      <c r="M15" s="217"/>
      <c r="N15" s="248"/>
      <c r="O15" s="218">
        <f>N15/'Deal Summary'!$G$28</f>
        <v>0</v>
      </c>
    </row>
    <row r="16" spans="2:17">
      <c r="B16" s="247" t="s">
        <v>192</v>
      </c>
      <c r="C16" s="215"/>
      <c r="D16" s="216"/>
      <c r="E16" s="217"/>
      <c r="F16" s="248"/>
      <c r="G16" s="218"/>
      <c r="J16" s="247" t="s">
        <v>128</v>
      </c>
      <c r="K16" s="215"/>
      <c r="L16" s="216"/>
      <c r="M16" s="217"/>
      <c r="N16" s="248"/>
      <c r="O16" s="218">
        <f>N16/'Deal Summary'!$G$28</f>
        <v>0</v>
      </c>
      <c r="Q16" s="415"/>
    </row>
    <row r="17" spans="2:17" ht="16" thickBot="1">
      <c r="B17" s="220" t="s">
        <v>148</v>
      </c>
      <c r="C17" s="221"/>
      <c r="D17" s="222"/>
      <c r="E17" s="223"/>
      <c r="F17" s="219">
        <f>SUM(F5:F16)</f>
        <v>380000</v>
      </c>
      <c r="G17" s="245">
        <f>F17/'Deal Summary'!$G$28</f>
        <v>69.090909090909093</v>
      </c>
      <c r="J17" s="220" t="s">
        <v>141</v>
      </c>
      <c r="K17" s="221"/>
      <c r="L17" s="222"/>
      <c r="M17" s="223"/>
      <c r="N17" s="219">
        <f>SUM(N5:N16)</f>
        <v>0</v>
      </c>
      <c r="O17" s="245">
        <f>N17/'Deal Summary'!$G$28</f>
        <v>0</v>
      </c>
      <c r="Q17" s="415"/>
    </row>
    <row r="18" spans="2:17" ht="16" thickBot="1">
      <c r="B18" s="416" t="s">
        <v>125</v>
      </c>
      <c r="C18" s="417"/>
      <c r="D18" s="417"/>
      <c r="E18" s="417"/>
      <c r="F18" s="417"/>
      <c r="G18" s="418"/>
      <c r="Q18" s="415"/>
    </row>
    <row r="19" spans="2:17">
      <c r="B19" s="209" t="s">
        <v>124</v>
      </c>
      <c r="C19" s="210"/>
      <c r="D19" s="211"/>
      <c r="E19" s="212"/>
      <c r="F19" s="213" t="s">
        <v>5</v>
      </c>
      <c r="G19" s="214" t="s">
        <v>126</v>
      </c>
      <c r="Q19" s="415"/>
    </row>
    <row r="20" spans="2:17">
      <c r="B20" s="247" t="s">
        <v>254</v>
      </c>
      <c r="C20" s="215"/>
      <c r="D20" s="216"/>
      <c r="E20" s="217"/>
      <c r="F20" s="248">
        <v>1200000</v>
      </c>
      <c r="G20" s="218">
        <f>F20/'Deal Summary'!$G$28</f>
        <v>218.18181818181819</v>
      </c>
      <c r="Q20" s="415"/>
    </row>
    <row r="21" spans="2:17">
      <c r="B21" s="247" t="s">
        <v>255</v>
      </c>
      <c r="C21" s="215"/>
      <c r="D21" s="216"/>
      <c r="E21" s="217"/>
      <c r="F21" s="248"/>
      <c r="G21" s="218">
        <f>F21/'Deal Summary'!$G$28</f>
        <v>0</v>
      </c>
      <c r="Q21" s="415"/>
    </row>
    <row r="22" spans="2:17">
      <c r="B22" s="247" t="s">
        <v>256</v>
      </c>
      <c r="C22" s="215"/>
      <c r="D22" s="216"/>
      <c r="E22" s="217"/>
      <c r="F22" s="248"/>
      <c r="G22" s="218">
        <f>F22/'Deal Summary'!$G$28</f>
        <v>0</v>
      </c>
      <c r="Q22" s="415"/>
    </row>
    <row r="23" spans="2:17">
      <c r="B23" s="247" t="s">
        <v>192</v>
      </c>
      <c r="C23" s="215"/>
      <c r="D23" s="216"/>
      <c r="E23" s="217"/>
      <c r="F23" s="248"/>
      <c r="G23" s="218">
        <f>F23/'Deal Summary'!$G$28</f>
        <v>0</v>
      </c>
      <c r="Q23" s="415"/>
    </row>
    <row r="24" spans="2:17">
      <c r="B24" s="247" t="s">
        <v>257</v>
      </c>
      <c r="C24" s="215"/>
      <c r="D24" s="216"/>
      <c r="E24" s="217"/>
      <c r="F24" s="248"/>
      <c r="G24" s="218">
        <f>F24/'Deal Summary'!$G$28</f>
        <v>0</v>
      </c>
      <c r="Q24" s="415"/>
    </row>
    <row r="25" spans="2:17">
      <c r="B25" s="247" t="s">
        <v>258</v>
      </c>
      <c r="C25" s="215"/>
      <c r="D25" s="216"/>
      <c r="E25" s="217"/>
      <c r="F25" s="248"/>
      <c r="G25" s="218">
        <f>F25/'Deal Summary'!$G$28</f>
        <v>0</v>
      </c>
      <c r="Q25" s="415"/>
    </row>
    <row r="26" spans="2:17">
      <c r="B26" s="247" t="s">
        <v>259</v>
      </c>
      <c r="C26" s="215"/>
      <c r="D26" s="216"/>
      <c r="E26" s="217"/>
      <c r="F26" s="248"/>
      <c r="G26" s="218">
        <f>F26/'Deal Summary'!$G$28</f>
        <v>0</v>
      </c>
      <c r="Q26" s="415"/>
    </row>
    <row r="27" spans="2:17">
      <c r="B27" s="247" t="s">
        <v>190</v>
      </c>
      <c r="C27" s="215"/>
      <c r="D27" s="216"/>
      <c r="E27" s="217"/>
      <c r="F27" s="248"/>
      <c r="G27" s="218">
        <f>F27/'Deal Summary'!$G$28</f>
        <v>0</v>
      </c>
    </row>
    <row r="28" spans="2:17">
      <c r="B28" s="247" t="s">
        <v>260</v>
      </c>
      <c r="C28" s="215"/>
      <c r="D28" s="216"/>
      <c r="E28" s="217"/>
      <c r="F28" s="248"/>
      <c r="G28" s="218">
        <f>F28/'Deal Summary'!$G$28</f>
        <v>0</v>
      </c>
    </row>
    <row r="29" spans="2:17">
      <c r="B29" s="247" t="s">
        <v>261</v>
      </c>
      <c r="C29" s="215"/>
      <c r="D29" s="216"/>
      <c r="E29" s="217"/>
      <c r="F29" s="248"/>
      <c r="G29" s="218">
        <f>F29/'Deal Summary'!$G$28</f>
        <v>0</v>
      </c>
    </row>
    <row r="30" spans="2:17">
      <c r="B30" s="247" t="s">
        <v>262</v>
      </c>
      <c r="C30" s="215"/>
      <c r="D30" s="216"/>
      <c r="E30" s="217"/>
      <c r="F30" s="248"/>
      <c r="G30" s="218">
        <f>F30/'Deal Summary'!$G$28</f>
        <v>0</v>
      </c>
    </row>
    <row r="31" spans="2:17">
      <c r="B31" s="247"/>
      <c r="C31" s="215"/>
      <c r="D31" s="216"/>
      <c r="E31" s="217"/>
      <c r="F31" s="248"/>
      <c r="G31" s="218">
        <f>F31/'Deal Summary'!$G$28</f>
        <v>0</v>
      </c>
    </row>
    <row r="32" spans="2:17">
      <c r="B32" s="247" t="s">
        <v>96</v>
      </c>
      <c r="F32" s="248"/>
      <c r="G32" s="218">
        <f>F32/'Deal Summary'!$G$28</f>
        <v>0</v>
      </c>
    </row>
    <row r="33" spans="2:7">
      <c r="B33" s="247" t="s">
        <v>96</v>
      </c>
      <c r="F33" s="248"/>
      <c r="G33" s="218">
        <f>F33/'Deal Summary'!$G$28</f>
        <v>0</v>
      </c>
    </row>
    <row r="34" spans="2:7">
      <c r="B34" s="247" t="s">
        <v>96</v>
      </c>
      <c r="F34" s="248"/>
      <c r="G34" s="218">
        <f>F34/'Deal Summary'!$G$28</f>
        <v>0</v>
      </c>
    </row>
    <row r="35" spans="2:7">
      <c r="B35" s="247"/>
      <c r="C35" s="215"/>
      <c r="D35" s="216"/>
      <c r="E35" s="217"/>
      <c r="F35" s="248"/>
      <c r="G35" s="218">
        <f>F35/'Deal Summary'!$G$28</f>
        <v>0</v>
      </c>
    </row>
    <row r="36" spans="2:7" ht="16" thickBot="1">
      <c r="B36" s="220" t="s">
        <v>132</v>
      </c>
      <c r="C36" s="221"/>
      <c r="D36" s="222"/>
      <c r="E36" s="223"/>
      <c r="F36" s="219">
        <f>SUM(F20:F35)</f>
        <v>1200000</v>
      </c>
      <c r="G36" s="245">
        <f>F36/'Deal Summary'!$G$28</f>
        <v>218.18181818181819</v>
      </c>
    </row>
  </sheetData>
  <sheetProtection formatCells="0" sort="0" autoFilter="0" pivotTables="0"/>
  <mergeCells count="4">
    <mergeCell ref="B3:G3"/>
    <mergeCell ref="B18:G18"/>
    <mergeCell ref="J3:O3"/>
    <mergeCell ref="B2:G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491CF-6C12-4C99-9D60-28A7743418C6}">
  <sheetPr codeName="Sheet3">
    <tabColor rgb="FFB4C4C1"/>
  </sheetPr>
  <dimension ref="A1:EJ92"/>
  <sheetViews>
    <sheetView showGridLines="0" topLeftCell="C10" zoomScale="160" zoomScaleNormal="100" workbookViewId="0">
      <selection activeCell="F23" sqref="F23"/>
    </sheetView>
  </sheetViews>
  <sheetFormatPr baseColWidth="10" defaultColWidth="8.83203125" defaultRowHeight="15" outlineLevelRow="1" outlineLevelCol="1"/>
  <cols>
    <col min="2" max="2" width="2.83203125" customWidth="1"/>
    <col min="3" max="3" width="34.33203125" style="121" customWidth="1"/>
    <col min="4" max="4" width="8" customWidth="1"/>
    <col min="5" max="5" width="13.33203125" hidden="1" customWidth="1" outlineLevel="1"/>
    <col min="6" max="6" width="16.5" bestFit="1" customWidth="1" collapsed="1"/>
    <col min="7" max="7" width="16" bestFit="1" customWidth="1"/>
    <col min="8" max="10" width="16.5" bestFit="1" customWidth="1"/>
    <col min="11" max="11" width="12.5" bestFit="1" customWidth="1"/>
    <col min="12" max="13" width="16" customWidth="1"/>
    <col min="14" max="14" width="5" customWidth="1"/>
    <col min="15" max="15" width="39.33203125" customWidth="1"/>
    <col min="16" max="16" width="16" bestFit="1" customWidth="1"/>
    <col min="17" max="17" width="4.83203125" style="58" customWidth="1"/>
    <col min="18" max="18" width="21.1640625" customWidth="1"/>
    <col min="19" max="19" width="10.6640625" customWidth="1"/>
    <col min="20" max="20" width="13.5" bestFit="1" customWidth="1"/>
    <col min="21" max="21" width="34.5" bestFit="1" customWidth="1"/>
    <col min="22" max="22" width="14.5" customWidth="1"/>
    <col min="23" max="23" width="7.1640625" customWidth="1"/>
    <col min="24" max="24" width="34.5" bestFit="1" customWidth="1"/>
    <col min="25" max="25" width="14.5" customWidth="1"/>
    <col min="26" max="26" width="0.5" customWidth="1"/>
  </cols>
  <sheetData>
    <row r="1" spans="1:140" ht="16" thickBot="1">
      <c r="C1" s="55"/>
      <c r="D1" s="55"/>
      <c r="F1" s="56"/>
      <c r="J1" s="57"/>
    </row>
    <row r="2" spans="1:140" ht="14.5" customHeight="1">
      <c r="C2" s="440" t="s">
        <v>41</v>
      </c>
      <c r="D2" s="441"/>
      <c r="E2" s="441"/>
      <c r="F2" s="441"/>
      <c r="G2" s="441"/>
      <c r="H2" s="441"/>
      <c r="I2" s="441"/>
      <c r="J2" s="441"/>
      <c r="K2" s="441"/>
      <c r="L2" s="441"/>
      <c r="M2" s="441"/>
      <c r="N2" s="441"/>
      <c r="O2" s="441"/>
      <c r="P2" s="442"/>
      <c r="Q2" s="59"/>
    </row>
    <row r="3" spans="1:140" ht="14.5" customHeight="1" thickBot="1">
      <c r="C3" s="443"/>
      <c r="D3" s="444"/>
      <c r="E3" s="444"/>
      <c r="F3" s="444"/>
      <c r="G3" s="444"/>
      <c r="H3" s="444"/>
      <c r="I3" s="444"/>
      <c r="J3" s="444"/>
      <c r="K3" s="444"/>
      <c r="L3" s="444"/>
      <c r="M3" s="444"/>
      <c r="N3" s="444"/>
      <c r="O3" s="444"/>
      <c r="P3" s="445"/>
      <c r="Q3" s="59"/>
    </row>
    <row r="4" spans="1:140" ht="16" thickBot="1">
      <c r="C4" s="60"/>
      <c r="D4" s="61"/>
      <c r="E4" s="366" t="s">
        <v>160</v>
      </c>
      <c r="F4" s="366" t="s">
        <v>232</v>
      </c>
      <c r="G4" s="366" t="s">
        <v>103</v>
      </c>
      <c r="H4" s="366" t="s">
        <v>104</v>
      </c>
      <c r="I4" s="366" t="s">
        <v>105</v>
      </c>
      <c r="J4" s="366" t="s">
        <v>106</v>
      </c>
      <c r="K4" s="366" t="s">
        <v>107</v>
      </c>
      <c r="L4" s="366">
        <v>7</v>
      </c>
      <c r="M4" s="62"/>
      <c r="N4" s="63"/>
      <c r="O4" s="446" t="s">
        <v>42</v>
      </c>
      <c r="P4" s="447"/>
      <c r="Q4" s="64"/>
    </row>
    <row r="5" spans="1:140">
      <c r="C5" s="36"/>
      <c r="F5" s="52"/>
      <c r="G5" s="52"/>
      <c r="H5" s="249"/>
      <c r="I5" s="249"/>
      <c r="J5" s="249"/>
      <c r="O5" s="26"/>
      <c r="P5" s="65"/>
      <c r="Q5" s="66"/>
    </row>
    <row r="6" spans="1:140">
      <c r="C6" s="36"/>
      <c r="F6" s="13"/>
      <c r="G6" s="13"/>
      <c r="H6" s="13"/>
      <c r="I6" s="13"/>
      <c r="J6" s="13"/>
      <c r="K6" s="13"/>
      <c r="L6" s="13"/>
      <c r="M6" s="13"/>
      <c r="O6" s="7" t="s">
        <v>161</v>
      </c>
      <c r="P6" s="67">
        <f>'Deal Summary'!T31</f>
        <v>0</v>
      </c>
      <c r="Q6" s="68"/>
    </row>
    <row r="7" spans="1:140">
      <c r="C7" s="36"/>
      <c r="F7" s="13"/>
      <c r="G7" s="13"/>
      <c r="H7" s="13"/>
      <c r="I7" s="13"/>
      <c r="J7" s="13"/>
      <c r="K7" s="13"/>
      <c r="L7" s="13"/>
      <c r="M7" s="13"/>
      <c r="O7" s="7"/>
      <c r="P7" s="67"/>
      <c r="Q7" s="68"/>
    </row>
    <row r="8" spans="1:140">
      <c r="C8" s="69" t="s">
        <v>43</v>
      </c>
      <c r="O8" s="7"/>
      <c r="P8" s="67"/>
      <c r="Q8" s="68"/>
    </row>
    <row r="9" spans="1:140">
      <c r="C9" s="36" t="s">
        <v>6</v>
      </c>
      <c r="E9" s="75">
        <v>0</v>
      </c>
      <c r="F9" s="75">
        <f>'Rent Roll'!DD28</f>
        <v>324000</v>
      </c>
      <c r="G9" s="75">
        <f>'Rent Roll'!DE28</f>
        <v>324000</v>
      </c>
      <c r="H9" s="75">
        <f>'Rent Roll'!DF28</f>
        <v>324000</v>
      </c>
      <c r="I9" s="75">
        <f>'Rent Roll'!DG28</f>
        <v>324000</v>
      </c>
      <c r="J9" s="75">
        <f>'Rent Roll'!DH28</f>
        <v>324000</v>
      </c>
      <c r="K9" s="75">
        <f>'Rent Roll'!DI28</f>
        <v>324000</v>
      </c>
      <c r="L9" s="75">
        <f>'Rent Roll'!DJ28</f>
        <v>324000</v>
      </c>
      <c r="M9" s="250"/>
      <c r="O9" s="7" t="s">
        <v>162</v>
      </c>
      <c r="P9" s="86">
        <f>'Deal Summary'!T26</f>
        <v>0</v>
      </c>
      <c r="Q9" s="66"/>
    </row>
    <row r="10" spans="1:140" s="71" customFormat="1">
      <c r="A10"/>
      <c r="B10"/>
      <c r="C10" s="45" t="s">
        <v>163</v>
      </c>
      <c r="E10" s="72"/>
      <c r="F10" s="72">
        <f t="shared" ref="F10:L10" si="0">F$9*$P$6</f>
        <v>0</v>
      </c>
      <c r="G10" s="72">
        <f t="shared" si="0"/>
        <v>0</v>
      </c>
      <c r="H10" s="72">
        <f t="shared" si="0"/>
        <v>0</v>
      </c>
      <c r="I10" s="72">
        <f t="shared" si="0"/>
        <v>0</v>
      </c>
      <c r="J10" s="72">
        <f t="shared" si="0"/>
        <v>0</v>
      </c>
      <c r="K10" s="72">
        <f t="shared" si="0"/>
        <v>0</v>
      </c>
      <c r="L10" s="72">
        <f t="shared" si="0"/>
        <v>0</v>
      </c>
      <c r="M10" s="250"/>
      <c r="N10"/>
      <c r="O10" s="7" t="s">
        <v>164</v>
      </c>
      <c r="P10" s="70" t="s">
        <v>165</v>
      </c>
      <c r="Q10" s="74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</row>
    <row r="11" spans="1:140" s="71" customFormat="1">
      <c r="A11"/>
      <c r="B11"/>
      <c r="C11" s="69" t="s">
        <v>45</v>
      </c>
      <c r="D11"/>
      <c r="E11" s="250"/>
      <c r="F11" s="250">
        <f>F9-F10</f>
        <v>324000</v>
      </c>
      <c r="G11" s="33">
        <f t="shared" ref="G11:K11" si="1">G9-G10</f>
        <v>324000</v>
      </c>
      <c r="H11" s="250">
        <f t="shared" si="1"/>
        <v>324000</v>
      </c>
      <c r="I11" s="33">
        <f t="shared" si="1"/>
        <v>324000</v>
      </c>
      <c r="J11" s="250">
        <f t="shared" si="1"/>
        <v>324000</v>
      </c>
      <c r="K11" s="33">
        <f t="shared" si="1"/>
        <v>324000</v>
      </c>
      <c r="L11" s="33">
        <f t="shared" ref="L11" si="2">L9-L10</f>
        <v>324000</v>
      </c>
      <c r="M11" s="33"/>
      <c r="N11"/>
      <c r="O11" s="7" t="s">
        <v>44</v>
      </c>
      <c r="P11" s="73">
        <f>'Deal Summary'!T30</f>
        <v>6.5000000000000002E-2</v>
      </c>
      <c r="Q11" s="68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</row>
    <row r="12" spans="1:140">
      <c r="C12" s="36" t="s">
        <v>166</v>
      </c>
      <c r="E12" s="250">
        <f>F12</f>
        <v>0</v>
      </c>
      <c r="F12" s="250">
        <f>F18*'Rent Roll'!$B$28+Proforma!F19*'Rent Roll'!$C$28+Proforma!F20*'Rent Roll'!$D$28</f>
        <v>0</v>
      </c>
      <c r="G12" s="250">
        <f>G18*'Rent Roll'!$B$28+Proforma!G19*'Rent Roll'!$C$28+Proforma!G20*'Rent Roll'!$D$28</f>
        <v>0</v>
      </c>
      <c r="H12" s="250">
        <f>H18*'Rent Roll'!$B$28+Proforma!H19*'Rent Roll'!$C$28+Proforma!H20*'Rent Roll'!$D$28</f>
        <v>0</v>
      </c>
      <c r="I12" s="250">
        <f>I18*'Rent Roll'!$B$28+Proforma!I19*'Rent Roll'!$C$28+Proforma!I20*'Rent Roll'!$D$28</f>
        <v>0</v>
      </c>
      <c r="J12" s="250">
        <f>J18*'Rent Roll'!$B$28+Proforma!J19*'Rent Roll'!$C$28+Proforma!J20*'Rent Roll'!$D$28</f>
        <v>0</v>
      </c>
      <c r="K12" s="250">
        <f>K18*'Rent Roll'!$B$28+Proforma!K19*'Rent Roll'!$C$28+Proforma!K20*'Rent Roll'!$D$28</f>
        <v>0</v>
      </c>
      <c r="L12" s="250">
        <f>L18*'Rent Roll'!$B$28+Proforma!L19*'Rent Roll'!$C$28+Proforma!L20*'Rent Roll'!$D$28</f>
        <v>0</v>
      </c>
      <c r="M12" s="14"/>
      <c r="O12" s="7" t="s">
        <v>46</v>
      </c>
      <c r="P12" s="67">
        <v>0.04</v>
      </c>
      <c r="Q12"/>
    </row>
    <row r="13" spans="1:140" s="71" customFormat="1">
      <c r="A13"/>
      <c r="B13"/>
      <c r="C13" s="36" t="s">
        <v>47</v>
      </c>
      <c r="D13"/>
      <c r="E13" s="250">
        <v>0</v>
      </c>
      <c r="F13" s="250">
        <v>0</v>
      </c>
      <c r="G13" s="250">
        <v>0</v>
      </c>
      <c r="H13" s="250">
        <v>0</v>
      </c>
      <c r="I13" s="250">
        <v>0</v>
      </c>
      <c r="J13" s="14">
        <v>0</v>
      </c>
      <c r="K13" s="14">
        <v>0</v>
      </c>
      <c r="L13" s="14">
        <v>0</v>
      </c>
      <c r="M13" s="14"/>
      <c r="N13"/>
      <c r="O13" s="7" t="s">
        <v>205</v>
      </c>
      <c r="P13" s="76">
        <f>'Deal Summary'!G30</f>
        <v>8.8668092775955457E-2</v>
      </c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</row>
    <row r="14" spans="1:140" s="71" customFormat="1">
      <c r="A14"/>
      <c r="B14"/>
      <c r="C14" s="79" t="s">
        <v>49</v>
      </c>
      <c r="D14" s="80"/>
      <c r="E14" s="319">
        <f t="shared" ref="E14:K14" si="3">E11+E12+E13</f>
        <v>0</v>
      </c>
      <c r="F14" s="319">
        <f t="shared" si="3"/>
        <v>324000</v>
      </c>
      <c r="G14" s="81">
        <f t="shared" si="3"/>
        <v>324000</v>
      </c>
      <c r="H14" s="319">
        <f t="shared" si="3"/>
        <v>324000</v>
      </c>
      <c r="I14" s="81">
        <f t="shared" si="3"/>
        <v>324000</v>
      </c>
      <c r="J14" s="319">
        <f t="shared" si="3"/>
        <v>324000</v>
      </c>
      <c r="K14" s="81">
        <f t="shared" si="3"/>
        <v>324000</v>
      </c>
      <c r="L14" s="81">
        <f t="shared" ref="L14" si="4">L11+L12+L13</f>
        <v>324000</v>
      </c>
      <c r="M14" s="364"/>
      <c r="N14"/>
      <c r="O14" s="77" t="s">
        <v>48</v>
      </c>
      <c r="P14" s="78">
        <f>'Deal Summary'!G36</f>
        <v>730815.31327999989</v>
      </c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</row>
    <row r="15" spans="1:140" s="83" customFormat="1">
      <c r="A15" s="52"/>
      <c r="B15" s="52"/>
      <c r="C15" s="69" t="s">
        <v>50</v>
      </c>
      <c r="D15" s="21"/>
      <c r="E15" s="251"/>
      <c r="F15" s="251"/>
      <c r="G15" s="251"/>
      <c r="H15" s="251"/>
      <c r="I15" s="251"/>
      <c r="J15" s="251"/>
      <c r="K15" s="251"/>
      <c r="L15" s="251"/>
      <c r="M15" s="250"/>
      <c r="N15" s="52"/>
      <c r="O15" s="77"/>
      <c r="P15" s="8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 s="52"/>
      <c r="AH15" s="52"/>
      <c r="AI15" s="52"/>
      <c r="AJ15" s="52"/>
      <c r="AK15" s="52"/>
      <c r="AL15" s="52"/>
      <c r="AM15" s="52"/>
      <c r="AN15" s="52"/>
      <c r="AO15" s="52"/>
      <c r="AP15" s="52"/>
      <c r="AQ15" s="52"/>
      <c r="AR15" s="52"/>
      <c r="AS15" s="52"/>
      <c r="AT15" s="52"/>
    </row>
    <row r="16" spans="1:140" s="80" customFormat="1">
      <c r="A16" s="52"/>
      <c r="B16" s="52"/>
      <c r="C16" s="36" t="s">
        <v>230</v>
      </c>
      <c r="D16" s="21"/>
      <c r="E16" s="251">
        <v>0</v>
      </c>
      <c r="F16" s="251">
        <v>0</v>
      </c>
      <c r="G16" s="251">
        <f>'Rent Roll'!G34</f>
        <v>0</v>
      </c>
      <c r="H16" s="251">
        <f>'Rent Roll'!H34</f>
        <v>0</v>
      </c>
      <c r="I16" s="251">
        <f>'Rent Roll'!I34</f>
        <v>0</v>
      </c>
      <c r="J16" s="251">
        <f>'Rent Roll'!J34</f>
        <v>0</v>
      </c>
      <c r="K16" s="251">
        <f>'Rent Roll'!K34</f>
        <v>0</v>
      </c>
      <c r="L16" s="251">
        <f>'Rent Roll'!L34</f>
        <v>0</v>
      </c>
      <c r="M16" s="250"/>
      <c r="N16" s="52"/>
      <c r="O16" s="77"/>
      <c r="P16" s="8"/>
      <c r="Q16" s="85"/>
      <c r="R16"/>
      <c r="S16"/>
      <c r="T16"/>
      <c r="U16"/>
      <c r="V16"/>
      <c r="W16"/>
      <c r="X16"/>
      <c r="Y16"/>
      <c r="Z16"/>
      <c r="AA16"/>
      <c r="AB16"/>
      <c r="AC16" s="52"/>
      <c r="AD16" s="52"/>
      <c r="AE16" s="52"/>
      <c r="AF16" s="52"/>
      <c r="AG16" s="52"/>
      <c r="AH16" s="52"/>
      <c r="AI16" s="52"/>
      <c r="AJ16" s="52"/>
      <c r="AK16" s="52"/>
      <c r="AL16" s="52"/>
      <c r="AM16" s="52"/>
      <c r="AN16" s="52"/>
      <c r="AO16" s="52"/>
      <c r="AP16" s="52"/>
      <c r="AQ16" s="52"/>
      <c r="AR16" s="52"/>
      <c r="AS16" s="52"/>
      <c r="AT16" s="52"/>
      <c r="AU16" s="52"/>
      <c r="AV16" s="52"/>
      <c r="AW16" s="52"/>
      <c r="AX16" s="52"/>
      <c r="AY16" s="52"/>
      <c r="AZ16" s="52"/>
      <c r="BA16" s="52"/>
      <c r="BB16" s="52"/>
      <c r="BC16" s="52"/>
      <c r="BD16" s="52"/>
      <c r="BE16" s="52"/>
      <c r="BF16" s="52"/>
      <c r="BG16" s="52"/>
      <c r="BH16" s="52"/>
      <c r="BI16" s="52"/>
      <c r="BJ16" s="52"/>
      <c r="BK16" s="52"/>
      <c r="BL16" s="52"/>
      <c r="BM16" s="52"/>
      <c r="BN16" s="52"/>
      <c r="BO16" s="52"/>
      <c r="BP16" s="52"/>
      <c r="BQ16" s="52"/>
      <c r="BR16" s="52"/>
      <c r="BS16" s="52"/>
      <c r="BT16" s="52"/>
      <c r="BU16" s="52"/>
      <c r="BV16" s="52"/>
      <c r="BW16" s="52"/>
      <c r="BX16" s="52"/>
    </row>
    <row r="17" spans="1:76" s="52" customFormat="1" ht="16" thickBot="1">
      <c r="C17" s="36" t="s">
        <v>167</v>
      </c>
      <c r="D17"/>
      <c r="E17" s="33"/>
      <c r="F17" s="33">
        <f>'Rent Roll'!$H$28*0.2</f>
        <v>1100</v>
      </c>
      <c r="G17" s="33">
        <f>'Rent Roll'!$H$28*0.2</f>
        <v>1100</v>
      </c>
      <c r="H17" s="33">
        <f>'Rent Roll'!$H$28*0.2</f>
        <v>1100</v>
      </c>
      <c r="I17" s="33">
        <f>'Rent Roll'!$H$28*0.2</f>
        <v>1100</v>
      </c>
      <c r="J17" s="33">
        <f>'Rent Roll'!$H$28*0.2</f>
        <v>1100</v>
      </c>
      <c r="K17" s="33">
        <f>'Rent Roll'!$H$28*0.2</f>
        <v>1100</v>
      </c>
      <c r="L17" s="33">
        <f>'Rent Roll'!$H$28*0.2</f>
        <v>1100</v>
      </c>
      <c r="M17" s="33"/>
      <c r="O17" s="16" t="s">
        <v>226</v>
      </c>
      <c r="P17" s="125">
        <f>'Tax Credits'!D22</f>
        <v>0</v>
      </c>
      <c r="Q17" s="85"/>
      <c r="R17"/>
      <c r="S17"/>
      <c r="T17"/>
      <c r="U17"/>
      <c r="V17"/>
      <c r="W17"/>
      <c r="X17"/>
      <c r="Y17"/>
      <c r="Z17"/>
      <c r="AA17"/>
      <c r="AB17"/>
    </row>
    <row r="18" spans="1:76" s="52" customFormat="1">
      <c r="C18" s="36" t="s">
        <v>168</v>
      </c>
      <c r="D18"/>
      <c r="E18" s="75">
        <f>F18</f>
        <v>0</v>
      </c>
      <c r="F18" s="339">
        <f>'Deal Summary'!$T23*'Rent Roll'!$H$28</f>
        <v>0</v>
      </c>
      <c r="G18" s="33">
        <f t="shared" ref="G18:L18" si="5">F$18*(1+$P$9)</f>
        <v>0</v>
      </c>
      <c r="H18" s="33">
        <f t="shared" si="5"/>
        <v>0</v>
      </c>
      <c r="I18" s="33">
        <f t="shared" si="5"/>
        <v>0</v>
      </c>
      <c r="J18" s="33">
        <f t="shared" si="5"/>
        <v>0</v>
      </c>
      <c r="K18" s="33">
        <f t="shared" si="5"/>
        <v>0</v>
      </c>
      <c r="L18" s="33">
        <f t="shared" si="5"/>
        <v>0</v>
      </c>
      <c r="M18" s="33"/>
      <c r="O18"/>
      <c r="P18" s="100"/>
      <c r="Q18" s="85"/>
      <c r="R18"/>
      <c r="S18"/>
      <c r="T18"/>
      <c r="U18"/>
      <c r="V18"/>
      <c r="W18"/>
      <c r="X18"/>
      <c r="Y18"/>
      <c r="Z18"/>
      <c r="AA18"/>
      <c r="AB18"/>
    </row>
    <row r="19" spans="1:76" s="52" customFormat="1">
      <c r="C19" s="36" t="s">
        <v>169</v>
      </c>
      <c r="D19"/>
      <c r="E19" s="75">
        <f>F19</f>
        <v>0</v>
      </c>
      <c r="F19" s="339">
        <f>'Deal Summary'!$T24*'Rent Roll'!$H$28</f>
        <v>0</v>
      </c>
      <c r="G19" s="33">
        <f t="shared" ref="G19:L19" si="6">F$19*(1+$P$9)</f>
        <v>0</v>
      </c>
      <c r="H19" s="33">
        <f t="shared" si="6"/>
        <v>0</v>
      </c>
      <c r="I19" s="33">
        <f t="shared" si="6"/>
        <v>0</v>
      </c>
      <c r="J19" s="33">
        <f t="shared" si="6"/>
        <v>0</v>
      </c>
      <c r="K19" s="33">
        <f t="shared" si="6"/>
        <v>0</v>
      </c>
      <c r="L19" s="33">
        <f t="shared" si="6"/>
        <v>0</v>
      </c>
      <c r="M19" s="33"/>
      <c r="O19"/>
      <c r="P19" s="100"/>
      <c r="Q19" s="85"/>
      <c r="R19"/>
      <c r="S19"/>
      <c r="T19"/>
      <c r="U19"/>
      <c r="V19"/>
      <c r="W19"/>
      <c r="X19"/>
      <c r="Y19"/>
      <c r="Z19"/>
      <c r="AA19"/>
      <c r="AB19"/>
    </row>
    <row r="20" spans="1:76" s="52" customFormat="1">
      <c r="C20" s="36" t="s">
        <v>170</v>
      </c>
      <c r="D20"/>
      <c r="E20" s="75">
        <f>F20</f>
        <v>0</v>
      </c>
      <c r="F20" s="339">
        <f>'Deal Summary'!$T25*'Rent Roll'!$H$28</f>
        <v>0</v>
      </c>
      <c r="G20" s="33">
        <f t="shared" ref="G20:L20" si="7">F$20*(1+$P$9)</f>
        <v>0</v>
      </c>
      <c r="H20" s="33">
        <f t="shared" si="7"/>
        <v>0</v>
      </c>
      <c r="I20" s="33">
        <f t="shared" si="7"/>
        <v>0</v>
      </c>
      <c r="J20" s="33">
        <f t="shared" si="7"/>
        <v>0</v>
      </c>
      <c r="K20" s="33">
        <f t="shared" si="7"/>
        <v>0</v>
      </c>
      <c r="L20" s="33">
        <f t="shared" si="7"/>
        <v>0</v>
      </c>
      <c r="M20" s="33"/>
      <c r="O20"/>
      <c r="P20" s="100"/>
      <c r="Q20" s="87"/>
      <c r="R20"/>
      <c r="S20"/>
      <c r="T20"/>
      <c r="U20"/>
      <c r="V20"/>
      <c r="W20"/>
      <c r="X20"/>
      <c r="Y20"/>
      <c r="Z20"/>
      <c r="AA20"/>
      <c r="AB20"/>
    </row>
    <row r="21" spans="1:76" s="52" customFormat="1">
      <c r="C21" s="36" t="s">
        <v>171</v>
      </c>
      <c r="D21" s="320">
        <f>'Deal Summary'!T27</f>
        <v>0.04</v>
      </c>
      <c r="E21" s="33">
        <f>E$11*$D$21</f>
        <v>0</v>
      </c>
      <c r="F21" s="33">
        <f>F$11*$D$21</f>
        <v>12960</v>
      </c>
      <c r="G21" s="33">
        <f>G$11*$D$21</f>
        <v>12960</v>
      </c>
      <c r="H21" s="33">
        <f t="shared" ref="H21:L21" si="8">H$11*$D$21</f>
        <v>12960</v>
      </c>
      <c r="I21" s="33">
        <f t="shared" si="8"/>
        <v>12960</v>
      </c>
      <c r="J21" s="33">
        <f t="shared" si="8"/>
        <v>12960</v>
      </c>
      <c r="K21" s="33">
        <f t="shared" si="8"/>
        <v>12960</v>
      </c>
      <c r="L21" s="33">
        <f t="shared" si="8"/>
        <v>12960</v>
      </c>
      <c r="M21" s="33"/>
      <c r="O21"/>
      <c r="P21" s="100"/>
      <c r="Q21" s="87"/>
      <c r="R21"/>
      <c r="S21"/>
      <c r="T21"/>
      <c r="U21"/>
      <c r="V21"/>
      <c r="W21"/>
      <c r="X21"/>
      <c r="Y21"/>
      <c r="Z21"/>
      <c r="AA21"/>
      <c r="AB21"/>
    </row>
    <row r="22" spans="1:76" s="52" customFormat="1" ht="15.75" customHeight="1">
      <c r="C22" s="79" t="s">
        <v>52</v>
      </c>
      <c r="D22" s="80"/>
      <c r="E22" s="88">
        <f t="shared" ref="E22:L22" si="9">E$14-SUM(E$15:E$21)</f>
        <v>0</v>
      </c>
      <c r="F22" s="88">
        <f t="shared" si="9"/>
        <v>309940</v>
      </c>
      <c r="G22" s="88">
        <f t="shared" si="9"/>
        <v>309940</v>
      </c>
      <c r="H22" s="88">
        <f t="shared" si="9"/>
        <v>309940</v>
      </c>
      <c r="I22" s="88">
        <f t="shared" si="9"/>
        <v>309940</v>
      </c>
      <c r="J22" s="88">
        <f t="shared" si="9"/>
        <v>309940</v>
      </c>
      <c r="K22" s="88">
        <f t="shared" si="9"/>
        <v>309940</v>
      </c>
      <c r="L22" s="88">
        <f t="shared" si="9"/>
        <v>309940</v>
      </c>
      <c r="M22" s="97"/>
      <c r="N22"/>
      <c r="O22"/>
      <c r="P22" s="100"/>
      <c r="Q22" s="82"/>
      <c r="R22"/>
      <c r="S22"/>
      <c r="T22"/>
      <c r="U22"/>
      <c r="V22"/>
      <c r="W22"/>
      <c r="X22"/>
      <c r="Y22"/>
      <c r="Z22"/>
      <c r="AA22"/>
      <c r="AB22"/>
    </row>
    <row r="23" spans="1:76" ht="17.25" customHeight="1" thickBot="1">
      <c r="C23" s="90" t="s">
        <v>53</v>
      </c>
      <c r="D23" s="91"/>
      <c r="E23" s="92"/>
      <c r="F23" s="92">
        <f>(Financing!K7*Financing!C13)+(Financing!K8*Financing!C11)</f>
        <v>231406.31201977501</v>
      </c>
      <c r="G23" s="92">
        <f>(Financing!K9*Financing!C13)+(Financing!K10*Financing!C11)</f>
        <v>231406.31201977501</v>
      </c>
      <c r="H23" s="92">
        <f>(Financing!K11*Financing!C13)+(Financing!K12*Financing!C11)</f>
        <v>231406.31201977501</v>
      </c>
      <c r="I23" s="92">
        <f t="shared" ref="I23:L23" si="10">H23</f>
        <v>231406.31201977501</v>
      </c>
      <c r="J23" s="92">
        <f t="shared" si="10"/>
        <v>231406.31201977501</v>
      </c>
      <c r="K23" s="92">
        <f t="shared" si="10"/>
        <v>231406.31201977501</v>
      </c>
      <c r="L23" s="92">
        <f t="shared" si="10"/>
        <v>231406.31201977501</v>
      </c>
      <c r="M23" s="250"/>
      <c r="P23" s="10"/>
      <c r="Q23" s="82"/>
    </row>
    <row r="24" spans="1:76" ht="17.25" hidden="1" customHeight="1" outlineLevel="1" thickBot="1">
      <c r="C24" s="93" t="s">
        <v>54</v>
      </c>
      <c r="D24" s="94"/>
      <c r="E24" s="95"/>
      <c r="F24" s="95">
        <f>F22-F23</f>
        <v>78533.68798022499</v>
      </c>
      <c r="G24" s="95">
        <f t="shared" ref="G24:H24" si="11">G22-G23</f>
        <v>78533.68798022499</v>
      </c>
      <c r="H24" s="95">
        <f t="shared" si="11"/>
        <v>78533.68798022499</v>
      </c>
      <c r="I24" s="95">
        <f>I22-I23</f>
        <v>78533.68798022499</v>
      </c>
      <c r="J24" s="53">
        <f>J22-J23</f>
        <v>78533.68798022499</v>
      </c>
      <c r="K24" s="53">
        <f>K22-K23</f>
        <v>78533.68798022499</v>
      </c>
      <c r="L24" s="53">
        <f>L22-L23</f>
        <v>78533.68798022499</v>
      </c>
      <c r="M24" s="97"/>
      <c r="P24" s="84">
        <v>7.0000000000000007E-2</v>
      </c>
      <c r="Q24" s="82"/>
    </row>
    <row r="25" spans="1:76" ht="17.25" hidden="1" customHeight="1" outlineLevel="1">
      <c r="C25" s="69" t="s">
        <v>17</v>
      </c>
      <c r="D25" s="52"/>
      <c r="E25" s="96"/>
      <c r="F25" s="96">
        <f t="shared" ref="F25:L25" si="12">F$22/F$23</f>
        <v>1.3393757382621172</v>
      </c>
      <c r="G25" s="96">
        <f t="shared" si="12"/>
        <v>1.3393757382621172</v>
      </c>
      <c r="H25" s="96">
        <f t="shared" si="12"/>
        <v>1.3393757382621172</v>
      </c>
      <c r="I25" s="96">
        <f t="shared" si="12"/>
        <v>1.3393757382621172</v>
      </c>
      <c r="J25" s="96">
        <f t="shared" si="12"/>
        <v>1.3393757382621172</v>
      </c>
      <c r="K25" s="96">
        <f t="shared" si="12"/>
        <v>1.3393757382621172</v>
      </c>
      <c r="L25" s="96">
        <f t="shared" si="12"/>
        <v>1.3393757382621172</v>
      </c>
      <c r="M25" s="97"/>
      <c r="P25" s="84"/>
      <c r="Q25" s="82"/>
    </row>
    <row r="26" spans="1:76" ht="17.25" hidden="1" customHeight="1" outlineLevel="1">
      <c r="C26" s="69"/>
      <c r="D26" s="75"/>
      <c r="E26" s="252"/>
      <c r="F26" s="252"/>
      <c r="G26" s="252"/>
      <c r="H26" s="252"/>
      <c r="I26" s="252"/>
      <c r="J26" s="97"/>
      <c r="K26" s="97"/>
      <c r="L26" s="97"/>
      <c r="M26" s="97"/>
      <c r="P26" s="84"/>
      <c r="Q26" s="82"/>
    </row>
    <row r="27" spans="1:76" ht="15" hidden="1" customHeight="1" outlineLevel="1">
      <c r="C27" s="69" t="s">
        <v>55</v>
      </c>
      <c r="D27" s="75"/>
      <c r="E27" s="252"/>
      <c r="F27" s="252"/>
      <c r="G27" s="252"/>
      <c r="H27" s="252"/>
      <c r="I27" s="252"/>
      <c r="J27" s="97"/>
      <c r="K27" s="97"/>
      <c r="L27" s="97"/>
      <c r="M27" s="97"/>
      <c r="P27" s="84"/>
    </row>
    <row r="28" spans="1:76" s="80" customFormat="1" ht="15" hidden="1" customHeight="1" outlineLevel="1" thickBot="1">
      <c r="A28" s="52"/>
      <c r="B28" s="52"/>
      <c r="C28" s="98" t="s">
        <v>56</v>
      </c>
      <c r="D28"/>
      <c r="E28" s="99"/>
      <c r="F28" s="99">
        <f t="shared" ref="F28:L28" si="13">F$24</f>
        <v>78533.68798022499</v>
      </c>
      <c r="G28" s="99">
        <f t="shared" si="13"/>
        <v>78533.68798022499</v>
      </c>
      <c r="H28" s="99">
        <f t="shared" si="13"/>
        <v>78533.68798022499</v>
      </c>
      <c r="I28" s="99">
        <f t="shared" si="13"/>
        <v>78533.68798022499</v>
      </c>
      <c r="J28" s="99">
        <f t="shared" si="13"/>
        <v>78533.68798022499</v>
      </c>
      <c r="K28" s="99">
        <f t="shared" si="13"/>
        <v>78533.68798022499</v>
      </c>
      <c r="L28" s="99">
        <f t="shared" si="13"/>
        <v>78533.68798022499</v>
      </c>
      <c r="M28" s="250"/>
      <c r="N28"/>
      <c r="O28"/>
      <c r="P28" s="86">
        <v>0.7</v>
      </c>
      <c r="Q28" s="101"/>
      <c r="R28"/>
      <c r="S28"/>
      <c r="T28"/>
      <c r="U28"/>
      <c r="V28"/>
      <c r="W28"/>
      <c r="X28"/>
      <c r="Y28"/>
      <c r="Z28"/>
      <c r="AA28"/>
      <c r="AB28"/>
      <c r="AC28" s="52"/>
      <c r="AD28" s="52"/>
      <c r="AE28" s="52"/>
      <c r="AF28" s="52"/>
      <c r="AG28" s="52"/>
      <c r="AH28" s="52"/>
      <c r="AI28" s="52"/>
      <c r="AJ28" s="52"/>
      <c r="AK28" s="52"/>
      <c r="AL28" s="52"/>
      <c r="AM28" s="52"/>
      <c r="AN28" s="52"/>
      <c r="AO28" s="52"/>
      <c r="AP28" s="52"/>
      <c r="AQ28" s="52"/>
      <c r="AR28" s="52"/>
      <c r="AS28" s="52"/>
      <c r="AT28" s="52"/>
      <c r="AU28" s="52"/>
      <c r="AV28" s="52"/>
      <c r="AW28" s="52"/>
      <c r="AX28" s="52"/>
      <c r="AY28" s="52"/>
      <c r="AZ28" s="52"/>
      <c r="BA28" s="52"/>
      <c r="BB28" s="52"/>
      <c r="BC28" s="52"/>
      <c r="BD28" s="52"/>
      <c r="BE28" s="52"/>
      <c r="BF28" s="52"/>
      <c r="BG28" s="52"/>
      <c r="BH28" s="52"/>
      <c r="BI28" s="52"/>
      <c r="BJ28" s="52"/>
      <c r="BK28" s="52"/>
      <c r="BL28" s="52"/>
      <c r="BM28" s="52"/>
      <c r="BN28" s="52"/>
      <c r="BO28" s="52"/>
      <c r="BP28" s="52"/>
      <c r="BQ28" s="52"/>
      <c r="BR28" s="52"/>
      <c r="BS28" s="52"/>
      <c r="BT28" s="52"/>
      <c r="BU28" s="52"/>
      <c r="BV28" s="52"/>
      <c r="BW28" s="52"/>
      <c r="BX28" s="52"/>
    </row>
    <row r="29" spans="1:76" s="52" customFormat="1" ht="15" hidden="1" customHeight="1" outlineLevel="1" thickTop="1" thickBot="1">
      <c r="C29" s="69" t="s">
        <v>57</v>
      </c>
      <c r="D29"/>
      <c r="E29" s="97"/>
      <c r="F29" s="97">
        <f t="shared" ref="F29:L29" si="14">F$28</f>
        <v>78533.68798022499</v>
      </c>
      <c r="G29" s="97">
        <f t="shared" si="14"/>
        <v>78533.68798022499</v>
      </c>
      <c r="H29" s="97">
        <f t="shared" si="14"/>
        <v>78533.68798022499</v>
      </c>
      <c r="I29" s="97">
        <f t="shared" si="14"/>
        <v>78533.68798022499</v>
      </c>
      <c r="J29" s="97">
        <f t="shared" si="14"/>
        <v>78533.68798022499</v>
      </c>
      <c r="K29" s="97">
        <f t="shared" si="14"/>
        <v>78533.68798022499</v>
      </c>
      <c r="L29" s="97">
        <f t="shared" si="14"/>
        <v>78533.68798022499</v>
      </c>
      <c r="M29" s="14"/>
      <c r="O29"/>
      <c r="P29" s="89">
        <v>0.3</v>
      </c>
      <c r="Q29" s="101"/>
      <c r="R29"/>
      <c r="S29"/>
      <c r="T29"/>
      <c r="U29"/>
      <c r="V29"/>
      <c r="W29"/>
      <c r="X29"/>
      <c r="Y29"/>
      <c r="Z29"/>
      <c r="AA29"/>
      <c r="AB29"/>
    </row>
    <row r="30" spans="1:76" s="52" customFormat="1" ht="15" hidden="1" customHeight="1" outlineLevel="1">
      <c r="C30" s="69"/>
      <c r="D30"/>
      <c r="E30" s="97"/>
      <c r="F30" s="97"/>
      <c r="G30" s="97"/>
      <c r="H30" s="97"/>
      <c r="I30" s="97"/>
      <c r="J30" s="97"/>
      <c r="K30" s="97"/>
      <c r="L30" s="97"/>
      <c r="M30" s="14"/>
      <c r="O30"/>
      <c r="P30" s="100"/>
      <c r="Q30" s="101"/>
      <c r="R30"/>
      <c r="S30"/>
      <c r="T30"/>
      <c r="U30"/>
      <c r="V30"/>
      <c r="W30"/>
      <c r="X30"/>
      <c r="Y30"/>
      <c r="Z30"/>
      <c r="AA30"/>
      <c r="AB30"/>
    </row>
    <row r="31" spans="1:76" ht="15" hidden="1" customHeight="1" outlineLevel="1">
      <c r="C31" s="102" t="s">
        <v>51</v>
      </c>
      <c r="E31" s="103"/>
      <c r="F31" s="103">
        <f>+$P$14*$P$24</f>
        <v>51157.071929599995</v>
      </c>
      <c r="G31" s="103">
        <f t="shared" ref="G31:L31" si="15">+$P$14*$P$24</f>
        <v>51157.071929599995</v>
      </c>
      <c r="H31" s="103">
        <f t="shared" si="15"/>
        <v>51157.071929599995</v>
      </c>
      <c r="I31" s="103">
        <f t="shared" si="15"/>
        <v>51157.071929599995</v>
      </c>
      <c r="J31" s="103">
        <f t="shared" si="15"/>
        <v>51157.071929599995</v>
      </c>
      <c r="K31" s="103">
        <f t="shared" si="15"/>
        <v>51157.071929599995</v>
      </c>
      <c r="L31" s="103">
        <f t="shared" si="15"/>
        <v>51157.071929599995</v>
      </c>
      <c r="M31" s="14"/>
      <c r="N31" s="52"/>
      <c r="P31" s="100"/>
    </row>
    <row r="32" spans="1:76" ht="15" hidden="1" customHeight="1" outlineLevel="1">
      <c r="C32" s="36" t="s">
        <v>58</v>
      </c>
      <c r="E32" s="14"/>
      <c r="F32" s="14">
        <f t="shared" ref="F32:L32" si="16">F$29-F$31</f>
        <v>27376.616050624994</v>
      </c>
      <c r="G32" s="14">
        <f t="shared" si="16"/>
        <v>27376.616050624994</v>
      </c>
      <c r="H32" s="14">
        <f t="shared" si="16"/>
        <v>27376.616050624994</v>
      </c>
      <c r="I32" s="14">
        <f t="shared" si="16"/>
        <v>27376.616050624994</v>
      </c>
      <c r="J32" s="14">
        <f t="shared" si="16"/>
        <v>27376.616050624994</v>
      </c>
      <c r="K32" s="14">
        <f t="shared" si="16"/>
        <v>27376.616050624994</v>
      </c>
      <c r="L32" s="14">
        <f t="shared" si="16"/>
        <v>27376.616050624994</v>
      </c>
      <c r="M32" s="14"/>
      <c r="P32" s="100"/>
      <c r="R32" s="21"/>
    </row>
    <row r="33" spans="1:76" ht="14.25" customHeight="1" collapsed="1" thickBot="1">
      <c r="A33" s="13"/>
      <c r="B33" s="13"/>
      <c r="C33" s="104"/>
      <c r="N33" s="52"/>
      <c r="P33" s="10"/>
      <c r="R33" s="12"/>
      <c r="T33" s="2"/>
    </row>
    <row r="34" spans="1:76" s="94" customFormat="1" ht="16" thickBot="1">
      <c r="A34" s="13"/>
      <c r="B34" s="13"/>
      <c r="C34" s="98" t="s">
        <v>59</v>
      </c>
      <c r="D34" s="105"/>
      <c r="E34" s="106"/>
      <c r="F34" s="106">
        <f t="shared" ref="F34:L34" si="17">IF(($P$14*$P$24)&gt;F29,F29,$P$14*$P$24)+IF((F$32*$P$28)&gt;0,F$32*$P$28,0)</f>
        <v>70320.703165037485</v>
      </c>
      <c r="G34" s="106">
        <f t="shared" si="17"/>
        <v>70320.703165037485</v>
      </c>
      <c r="H34" s="106">
        <f t="shared" si="17"/>
        <v>70320.703165037485</v>
      </c>
      <c r="I34" s="106">
        <f t="shared" si="17"/>
        <v>70320.703165037485</v>
      </c>
      <c r="J34" s="106">
        <f t="shared" si="17"/>
        <v>70320.703165037485</v>
      </c>
      <c r="K34" s="106">
        <f t="shared" si="17"/>
        <v>70320.703165037485</v>
      </c>
      <c r="L34" s="106">
        <f t="shared" si="17"/>
        <v>70320.703165037485</v>
      </c>
      <c r="M34" s="365"/>
      <c r="N34"/>
      <c r="O34"/>
      <c r="P34" s="18"/>
      <c r="Q34" s="101"/>
      <c r="R34"/>
      <c r="S34"/>
      <c r="T34"/>
      <c r="U34"/>
      <c r="V34"/>
      <c r="W34"/>
      <c r="X34"/>
      <c r="Y34"/>
      <c r="Z34"/>
      <c r="AA34"/>
      <c r="AB34"/>
      <c r="AC34" s="52"/>
      <c r="AD34" s="52"/>
      <c r="AE34" s="52"/>
      <c r="AF34" s="52"/>
      <c r="AG34" s="52"/>
      <c r="AH34" s="52"/>
      <c r="AI34" s="52"/>
      <c r="AJ34" s="52"/>
      <c r="AK34" s="52"/>
      <c r="AL34" s="52"/>
      <c r="AM34" s="52"/>
      <c r="AN34" s="52"/>
      <c r="AO34" s="52"/>
      <c r="AP34" s="52"/>
      <c r="AQ34" s="52"/>
      <c r="AR34" s="52"/>
      <c r="AS34" s="52"/>
      <c r="AT34" s="52"/>
      <c r="AU34" s="52"/>
      <c r="AV34" s="52"/>
      <c r="AW34" s="52"/>
      <c r="AX34" s="52"/>
      <c r="AY34" s="52"/>
      <c r="AZ34" s="52"/>
      <c r="BA34" s="52"/>
      <c r="BB34" s="52"/>
      <c r="BC34" s="52"/>
      <c r="BD34" s="52"/>
      <c r="BE34" s="52"/>
      <c r="BF34" s="52"/>
      <c r="BG34" s="52"/>
      <c r="BH34" s="52"/>
      <c r="BI34" s="52"/>
      <c r="BJ34" s="52"/>
      <c r="BK34" s="52"/>
      <c r="BL34" s="52"/>
      <c r="BM34" s="52"/>
      <c r="BN34" s="52"/>
      <c r="BO34" s="52"/>
      <c r="BP34" s="52"/>
      <c r="BQ34" s="52"/>
      <c r="BR34" s="52"/>
      <c r="BS34" s="52"/>
      <c r="BT34" s="52"/>
      <c r="BU34" s="52"/>
      <c r="BV34" s="52"/>
      <c r="BW34" s="52"/>
      <c r="BX34" s="52"/>
    </row>
    <row r="35" spans="1:76">
      <c r="C35" s="98" t="s">
        <v>60</v>
      </c>
      <c r="D35" s="105"/>
      <c r="E35" s="106"/>
      <c r="F35" s="106">
        <f>IF(F$32*$P$29&gt;0,F$32*$P$29,0)</f>
        <v>8212.9848151874976</v>
      </c>
      <c r="G35" s="106">
        <f t="shared" ref="G35:L35" si="18">IF(G$32*$P$29&gt;0,G$32*$P$29,0)</f>
        <v>8212.9848151874976</v>
      </c>
      <c r="H35" s="106">
        <f t="shared" si="18"/>
        <v>8212.9848151874976</v>
      </c>
      <c r="I35" s="106">
        <f t="shared" si="18"/>
        <v>8212.9848151874976</v>
      </c>
      <c r="J35" s="106">
        <f t="shared" si="18"/>
        <v>8212.9848151874976</v>
      </c>
      <c r="K35" s="106">
        <f t="shared" si="18"/>
        <v>8212.9848151874976</v>
      </c>
      <c r="L35" s="106">
        <f t="shared" si="18"/>
        <v>8212.9848151874976</v>
      </c>
      <c r="M35" s="20"/>
      <c r="P35" s="18"/>
    </row>
    <row r="36" spans="1:76">
      <c r="C36" s="98"/>
      <c r="D36" s="107"/>
      <c r="E36" s="20"/>
      <c r="F36" s="20"/>
      <c r="G36" s="20"/>
      <c r="H36" s="20"/>
      <c r="I36" s="20"/>
      <c r="J36" s="20"/>
      <c r="K36" s="20"/>
      <c r="L36" s="20"/>
      <c r="O36" s="52"/>
      <c r="P36" s="100"/>
    </row>
    <row r="37" spans="1:76" ht="15" hidden="1" customHeight="1">
      <c r="C37" s="98" t="s">
        <v>172</v>
      </c>
      <c r="D37" s="107"/>
      <c r="E37" s="20"/>
      <c r="F37" s="20" t="e">
        <f t="shared" ref="F37:L37" si="19">F$34/$O$14</f>
        <v>#VALUE!</v>
      </c>
      <c r="G37" s="20" t="e">
        <f t="shared" si="19"/>
        <v>#VALUE!</v>
      </c>
      <c r="H37" s="20" t="e">
        <f t="shared" si="19"/>
        <v>#VALUE!</v>
      </c>
      <c r="I37" s="20" t="e">
        <f t="shared" si="19"/>
        <v>#VALUE!</v>
      </c>
      <c r="J37" s="20" t="e">
        <f t="shared" si="19"/>
        <v>#VALUE!</v>
      </c>
      <c r="K37" s="20" t="e">
        <f t="shared" si="19"/>
        <v>#VALUE!</v>
      </c>
      <c r="L37" s="20" t="e">
        <f t="shared" si="19"/>
        <v>#VALUE!</v>
      </c>
      <c r="M37" s="20"/>
      <c r="P37" s="10"/>
    </row>
    <row r="38" spans="1:76">
      <c r="C38" s="98" t="s">
        <v>173</v>
      </c>
      <c r="E38" s="25"/>
      <c r="F38" s="25">
        <f>F$35/$P$14</f>
        <v>1.1238112647539485E-2</v>
      </c>
      <c r="G38" s="25">
        <f t="shared" ref="G38:L38" si="20">G$35/$P$14</f>
        <v>1.1238112647539485E-2</v>
      </c>
      <c r="H38" s="25">
        <f t="shared" si="20"/>
        <v>1.1238112647539485E-2</v>
      </c>
      <c r="I38" s="25">
        <f t="shared" si="20"/>
        <v>1.1238112647539485E-2</v>
      </c>
      <c r="J38" s="25">
        <f t="shared" si="20"/>
        <v>1.1238112647539485E-2</v>
      </c>
      <c r="K38" s="25">
        <f t="shared" si="20"/>
        <v>1.1238112647539485E-2</v>
      </c>
      <c r="L38" s="25">
        <f t="shared" si="20"/>
        <v>1.1238112647539485E-2</v>
      </c>
      <c r="M38" s="253"/>
      <c r="N38" s="52"/>
      <c r="P38" s="10"/>
    </row>
    <row r="39" spans="1:76">
      <c r="C39" s="98" t="s">
        <v>35</v>
      </c>
      <c r="E39" s="25"/>
      <c r="F39" s="25">
        <f>F24/$P$14</f>
        <v>0.10746037549179829</v>
      </c>
      <c r="G39" s="25">
        <f t="shared" ref="G39:K39" si="21">G24/$P$14</f>
        <v>0.10746037549179829</v>
      </c>
      <c r="H39" s="25">
        <f t="shared" si="21"/>
        <v>0.10746037549179829</v>
      </c>
      <c r="I39" s="25">
        <f t="shared" si="21"/>
        <v>0.10746037549179829</v>
      </c>
      <c r="J39" s="25">
        <f t="shared" si="21"/>
        <v>0.10746037549179829</v>
      </c>
      <c r="K39" s="25">
        <f t="shared" si="21"/>
        <v>0.10746037549179829</v>
      </c>
      <c r="L39" s="25">
        <f t="shared" ref="L39" si="22">L24/$P$14</f>
        <v>0.10746037549179829</v>
      </c>
      <c r="M39" s="25"/>
      <c r="N39" s="52"/>
      <c r="P39" s="10"/>
      <c r="S39" s="47"/>
    </row>
    <row r="40" spans="1:76" s="71" customFormat="1">
      <c r="A40"/>
      <c r="B40"/>
      <c r="C40" s="98" t="s">
        <v>61</v>
      </c>
      <c r="D40"/>
      <c r="E40"/>
      <c r="F40" s="254">
        <f>(SUM($F$28:F28)+F48)/$P$14</f>
        <v>2.3935038295736146</v>
      </c>
      <c r="G40" s="254">
        <f>(SUM($F$28:G28)+G48)/$P$14</f>
        <v>2.5709880675608829</v>
      </c>
      <c r="H40" s="254">
        <f>(SUM($F$28:H28)+H48)/$P$14</f>
        <v>2.7529763674496057</v>
      </c>
      <c r="I40" s="254">
        <f>(SUM($F$28:I28)+I48)/$P$14</f>
        <v>2.939758438674382</v>
      </c>
      <c r="J40" s="254">
        <f>(SUM($F$28:J28)+J48)/$P$14</f>
        <v>3.1316426253063576</v>
      </c>
      <c r="K40" s="254">
        <f>(SUM($F$28:K28)+K48)/$P$14</f>
        <v>3.3289571046668511</v>
      </c>
      <c r="L40" s="254">
        <f>(SUM($F$28:L28)+L48)/$P$14</f>
        <v>3.5320511630380085</v>
      </c>
      <c r="M40" s="254"/>
      <c r="N40"/>
      <c r="O40"/>
      <c r="P40" s="10"/>
      <c r="Q40" s="58"/>
      <c r="R40"/>
      <c r="S40" s="2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</row>
    <row r="41" spans="1:76">
      <c r="C41" s="108" t="s">
        <v>62</v>
      </c>
      <c r="D41" s="109"/>
      <c r="E41" s="109"/>
      <c r="F41" s="109"/>
      <c r="G41" s="110">
        <f>'IRR '!G10</f>
        <v>0.38739721191406262</v>
      </c>
      <c r="H41" s="110">
        <f>'IRR '!H19</f>
        <v>0.30705953613281256</v>
      </c>
      <c r="I41" s="110">
        <f>'IRR '!I28</f>
        <v>0.26163307128906244</v>
      </c>
      <c r="J41" s="110">
        <f>'IRR '!J37</f>
        <v>0.23244657714843758</v>
      </c>
      <c r="K41" s="110">
        <f>'IRR '!K46</f>
        <v>0.21203259277343756</v>
      </c>
      <c r="L41" s="110">
        <f>'IRR '!L55</f>
        <v>0.19705858886718752</v>
      </c>
      <c r="M41" s="110"/>
      <c r="N41" s="109"/>
      <c r="O41" s="109"/>
      <c r="P41" s="321"/>
      <c r="S41" s="2"/>
    </row>
    <row r="42" spans="1:76">
      <c r="C42" s="36"/>
      <c r="P42" s="10"/>
      <c r="S42" s="2"/>
    </row>
    <row r="43" spans="1:76" ht="36.75" customHeight="1">
      <c r="C43" s="448" t="s">
        <v>63</v>
      </c>
      <c r="D43" s="449"/>
      <c r="E43" s="449"/>
      <c r="F43" s="449"/>
      <c r="G43" s="449"/>
      <c r="H43" s="449"/>
      <c r="I43" s="449"/>
      <c r="J43" s="449"/>
      <c r="K43" s="449"/>
      <c r="L43" s="450"/>
      <c r="M43" s="14"/>
      <c r="O43" s="322" t="s">
        <v>174</v>
      </c>
      <c r="P43" s="10"/>
      <c r="S43" s="2"/>
    </row>
    <row r="44" spans="1:76" ht="26.25" customHeight="1">
      <c r="C44" s="323"/>
      <c r="D44" s="324"/>
      <c r="E44" s="324"/>
      <c r="F44" s="324" t="str">
        <f t="shared" ref="F44:L44" si="23">+F4</f>
        <v>Year 1 (2026)</v>
      </c>
      <c r="G44" s="324" t="str">
        <f t="shared" si="23"/>
        <v>Year 2</v>
      </c>
      <c r="H44" s="324" t="str">
        <f t="shared" si="23"/>
        <v>Year 3</v>
      </c>
      <c r="I44" s="324" t="str">
        <f t="shared" si="23"/>
        <v>Year 4</v>
      </c>
      <c r="J44" s="324" t="str">
        <f t="shared" si="23"/>
        <v>Year 5</v>
      </c>
      <c r="K44" s="324" t="str">
        <f t="shared" si="23"/>
        <v>Year 6</v>
      </c>
      <c r="L44" s="368">
        <f t="shared" si="23"/>
        <v>7</v>
      </c>
      <c r="M44" s="14"/>
      <c r="O44" s="325" t="s">
        <v>175</v>
      </c>
      <c r="P44" s="10"/>
    </row>
    <row r="45" spans="1:76" s="113" customFormat="1" ht="15" customHeight="1">
      <c r="A45"/>
      <c r="B45"/>
      <c r="C45" s="27" t="s">
        <v>64</v>
      </c>
      <c r="D45" s="111"/>
      <c r="E45" s="111"/>
      <c r="F45" s="14">
        <f>F$22/$P$11</f>
        <v>4768307.692307692</v>
      </c>
      <c r="G45" s="14">
        <f t="shared" ref="G45:L45" si="24">G$22/$P$11</f>
        <v>4768307.692307692</v>
      </c>
      <c r="H45" s="14">
        <f t="shared" si="24"/>
        <v>4768307.692307692</v>
      </c>
      <c r="I45" s="14">
        <f t="shared" si="24"/>
        <v>4768307.692307692</v>
      </c>
      <c r="J45" s="14">
        <f t="shared" si="24"/>
        <v>4768307.692307692</v>
      </c>
      <c r="K45" s="14">
        <f t="shared" si="24"/>
        <v>4768307.692307692</v>
      </c>
      <c r="L45" s="112">
        <f t="shared" si="24"/>
        <v>4768307.692307692</v>
      </c>
      <c r="M45"/>
      <c r="N45"/>
      <c r="O45" s="326"/>
      <c r="P45" s="10"/>
      <c r="Q45" s="58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</row>
    <row r="46" spans="1:76" ht="15.75" customHeight="1">
      <c r="C46" s="27" t="s">
        <v>65</v>
      </c>
      <c r="D46" s="111"/>
      <c r="E46" s="111"/>
      <c r="F46" s="14">
        <f t="shared" ref="F46:L46" si="25">F$45*0.04</f>
        <v>190732.30769230769</v>
      </c>
      <c r="G46" s="14">
        <f t="shared" si="25"/>
        <v>190732.30769230769</v>
      </c>
      <c r="H46" s="14">
        <f t="shared" si="25"/>
        <v>190732.30769230769</v>
      </c>
      <c r="I46" s="14">
        <f t="shared" si="25"/>
        <v>190732.30769230769</v>
      </c>
      <c r="J46" s="14">
        <f t="shared" si="25"/>
        <v>190732.30769230769</v>
      </c>
      <c r="K46" s="14">
        <f t="shared" si="25"/>
        <v>190732.30769230769</v>
      </c>
      <c r="L46" s="112">
        <f t="shared" si="25"/>
        <v>190732.30769230769</v>
      </c>
      <c r="M46" s="14"/>
      <c r="O46" s="325"/>
      <c r="P46" s="10"/>
    </row>
    <row r="47" spans="1:76" ht="15" customHeight="1">
      <c r="C47" s="27" t="s">
        <v>66</v>
      </c>
      <c r="D47" s="111"/>
      <c r="E47" s="111"/>
      <c r="F47" s="14">
        <f>Financing!H28</f>
        <v>2906899.8215488885</v>
      </c>
      <c r="G47" s="14">
        <f>Financing!H40</f>
        <v>2855725.3105421858</v>
      </c>
      <c r="H47" s="14">
        <f>Financing!H52</f>
        <v>2801259.1621259395</v>
      </c>
      <c r="I47" s="14">
        <f>Financing!H64</f>
        <v>2743289.652208942</v>
      </c>
      <c r="J47" s="14">
        <f>Financing!H76</f>
        <v>2681591.4382222421</v>
      </c>
      <c r="K47" s="14">
        <f>Financing!H88</f>
        <v>2615924.6831539478</v>
      </c>
      <c r="L47" s="112">
        <f>Financing!H100</f>
        <v>2546034.1232403489</v>
      </c>
      <c r="M47" s="14"/>
      <c r="O47" s="327"/>
      <c r="P47" s="10"/>
      <c r="Q47" s="115"/>
    </row>
    <row r="48" spans="1:76" ht="15" customHeight="1">
      <c r="C48" s="77" t="s">
        <v>67</v>
      </c>
      <c r="D48" s="52"/>
      <c r="E48" s="52"/>
      <c r="F48" s="97">
        <f t="shared" ref="F48:L48" si="26">F$45-F$46-F$47</f>
        <v>1670675.5630664956</v>
      </c>
      <c r="G48" s="97">
        <f t="shared" si="26"/>
        <v>1721850.0740731983</v>
      </c>
      <c r="H48" s="97">
        <f t="shared" si="26"/>
        <v>1776316.2224894445</v>
      </c>
      <c r="I48" s="97">
        <f t="shared" si="26"/>
        <v>1834285.7324064421</v>
      </c>
      <c r="J48" s="97">
        <f t="shared" si="26"/>
        <v>1895983.946393142</v>
      </c>
      <c r="K48" s="97">
        <f t="shared" si="26"/>
        <v>1961650.7014614362</v>
      </c>
      <c r="L48" s="114">
        <f t="shared" si="26"/>
        <v>2031541.2613750352</v>
      </c>
      <c r="M48" s="97"/>
      <c r="O48" s="328"/>
      <c r="P48" s="10"/>
      <c r="Q48" s="115"/>
    </row>
    <row r="49" spans="3:17" ht="15" customHeight="1">
      <c r="C49" s="11" t="s">
        <v>68</v>
      </c>
      <c r="D49" s="111"/>
      <c r="E49" s="111"/>
      <c r="F49" s="14">
        <f>$P$14</f>
        <v>730815.31327999989</v>
      </c>
      <c r="G49" s="14">
        <f t="shared" ref="G49:L49" si="27">$P$14</f>
        <v>730815.31327999989</v>
      </c>
      <c r="H49" s="14">
        <f t="shared" si="27"/>
        <v>730815.31327999989</v>
      </c>
      <c r="I49" s="14">
        <f t="shared" si="27"/>
        <v>730815.31327999989</v>
      </c>
      <c r="J49" s="14">
        <f t="shared" si="27"/>
        <v>730815.31327999989</v>
      </c>
      <c r="K49" s="14">
        <f t="shared" si="27"/>
        <v>730815.31327999989</v>
      </c>
      <c r="L49" s="112">
        <f t="shared" si="27"/>
        <v>730815.31327999989</v>
      </c>
      <c r="M49" s="14"/>
      <c r="N49" s="329"/>
      <c r="O49" s="330"/>
      <c r="P49" s="331"/>
      <c r="Q49" s="118"/>
    </row>
    <row r="50" spans="3:17" ht="19" customHeight="1" thickBot="1">
      <c r="C50" s="29" t="s">
        <v>69</v>
      </c>
      <c r="D50" s="116"/>
      <c r="E50" s="116"/>
      <c r="F50" s="117">
        <f t="shared" ref="F50:L50" si="28">F$48-F$49</f>
        <v>939860.2497864957</v>
      </c>
      <c r="G50" s="117">
        <f t="shared" si="28"/>
        <v>991034.76079319837</v>
      </c>
      <c r="H50" s="117">
        <f t="shared" si="28"/>
        <v>1045500.9092094447</v>
      </c>
      <c r="I50" s="117">
        <f t="shared" si="28"/>
        <v>1103470.4191264422</v>
      </c>
      <c r="J50" s="117">
        <f t="shared" si="28"/>
        <v>1165168.6331131421</v>
      </c>
      <c r="K50" s="117">
        <f t="shared" si="28"/>
        <v>1230835.3881814363</v>
      </c>
      <c r="L50" s="367">
        <f t="shared" si="28"/>
        <v>1300725.9480950353</v>
      </c>
      <c r="M50" s="124"/>
      <c r="N50" s="332"/>
      <c r="O50" s="333"/>
      <c r="P50" s="334"/>
      <c r="Q50" s="120"/>
    </row>
    <row r="51" spans="3:17" ht="19" customHeight="1">
      <c r="C51" s="111"/>
      <c r="D51" s="111"/>
      <c r="E51" s="111"/>
      <c r="F51" s="14"/>
      <c r="G51" s="14"/>
      <c r="H51" s="14"/>
      <c r="N51" s="118"/>
      <c r="P51" s="119"/>
      <c r="Q51" s="120"/>
    </row>
    <row r="52" spans="3:17" ht="19" customHeight="1">
      <c r="C52" s="344" t="s">
        <v>202</v>
      </c>
      <c r="D52" s="113"/>
      <c r="E52" s="113"/>
      <c r="F52" s="343">
        <f t="shared" ref="F52:L53" si="29">F$50*$P28</f>
        <v>657902.17485054699</v>
      </c>
      <c r="G52" s="343">
        <f t="shared" si="29"/>
        <v>693724.33255523886</v>
      </c>
      <c r="H52" s="343">
        <f t="shared" si="29"/>
        <v>731850.63644661126</v>
      </c>
      <c r="I52" s="343">
        <f t="shared" si="29"/>
        <v>772429.29338850942</v>
      </c>
      <c r="J52" s="343">
        <f t="shared" si="29"/>
        <v>815618.04317919945</v>
      </c>
      <c r="K52" s="343">
        <f t="shared" si="29"/>
        <v>861584.77172700537</v>
      </c>
      <c r="L52" s="346">
        <f t="shared" si="29"/>
        <v>910508.16366652469</v>
      </c>
      <c r="Q52" s="120"/>
    </row>
    <row r="53" spans="3:17" ht="19" customHeight="1">
      <c r="C53" s="345" t="s">
        <v>203</v>
      </c>
      <c r="D53" s="71"/>
      <c r="E53" s="71"/>
      <c r="F53" s="122">
        <f t="shared" si="29"/>
        <v>281958.07493594871</v>
      </c>
      <c r="G53" s="122">
        <f t="shared" si="29"/>
        <v>297310.42823795951</v>
      </c>
      <c r="H53" s="122">
        <f t="shared" si="29"/>
        <v>313650.2727628334</v>
      </c>
      <c r="I53" s="122">
        <f t="shared" si="29"/>
        <v>331041.12573793263</v>
      </c>
      <c r="J53" s="122">
        <f t="shared" si="29"/>
        <v>349550.5899339426</v>
      </c>
      <c r="K53" s="122">
        <f t="shared" si="29"/>
        <v>369250.61645443091</v>
      </c>
      <c r="L53" s="347">
        <f t="shared" si="29"/>
        <v>390217.78442851058</v>
      </c>
      <c r="Q53" s="120"/>
    </row>
    <row r="54" spans="3:17" ht="15.75" customHeight="1">
      <c r="C54"/>
      <c r="Q54" s="82"/>
    </row>
    <row r="55" spans="3:17">
      <c r="C55"/>
      <c r="D55" s="13"/>
    </row>
    <row r="56" spans="3:17">
      <c r="C56"/>
    </row>
    <row r="57" spans="3:17">
      <c r="C57"/>
    </row>
    <row r="58" spans="3:17">
      <c r="C58"/>
      <c r="N58" s="2"/>
    </row>
    <row r="59" spans="3:17">
      <c r="C59"/>
    </row>
    <row r="60" spans="3:17">
      <c r="C60"/>
    </row>
    <row r="61" spans="3:17">
      <c r="C61"/>
    </row>
    <row r="62" spans="3:17">
      <c r="C62"/>
    </row>
    <row r="63" spans="3:17">
      <c r="C63"/>
    </row>
    <row r="64" spans="3:17">
      <c r="C64"/>
    </row>
    <row r="65" spans="3:3">
      <c r="C65"/>
    </row>
    <row r="66" spans="3:3">
      <c r="C66"/>
    </row>
    <row r="67" spans="3:3">
      <c r="C67"/>
    </row>
    <row r="68" spans="3:3">
      <c r="C68"/>
    </row>
    <row r="69" spans="3:3">
      <c r="C69"/>
    </row>
    <row r="70" spans="3:3">
      <c r="C70"/>
    </row>
    <row r="71" spans="3:3">
      <c r="C71"/>
    </row>
    <row r="72" spans="3:3">
      <c r="C72"/>
    </row>
    <row r="73" spans="3:3">
      <c r="C73"/>
    </row>
    <row r="74" spans="3:3">
      <c r="C74"/>
    </row>
    <row r="75" spans="3:3">
      <c r="C75"/>
    </row>
    <row r="76" spans="3:3">
      <c r="C76"/>
    </row>
    <row r="77" spans="3:3">
      <c r="C77"/>
    </row>
    <row r="78" spans="3:3">
      <c r="C78"/>
    </row>
    <row r="79" spans="3:3">
      <c r="C79"/>
    </row>
    <row r="80" spans="3:3">
      <c r="C80"/>
    </row>
    <row r="81" spans="3:13">
      <c r="C81"/>
    </row>
    <row r="82" spans="3:13">
      <c r="C82"/>
    </row>
    <row r="83" spans="3:13">
      <c r="C83"/>
    </row>
    <row r="84" spans="3:13">
      <c r="C84"/>
    </row>
    <row r="85" spans="3:13">
      <c r="C85"/>
      <c r="D85" s="14"/>
      <c r="E85" s="14"/>
      <c r="F85" s="14"/>
      <c r="G85" s="14"/>
      <c r="H85" s="14"/>
      <c r="I85" s="14"/>
      <c r="J85" s="14"/>
      <c r="K85" s="14"/>
    </row>
    <row r="86" spans="3:13">
      <c r="C86"/>
      <c r="D86" s="14"/>
      <c r="E86" s="20"/>
      <c r="F86" s="14"/>
      <c r="G86" s="14"/>
      <c r="H86" s="14"/>
      <c r="I86" s="14"/>
      <c r="J86" s="14"/>
      <c r="K86" s="14"/>
    </row>
    <row r="87" spans="3:13">
      <c r="C87"/>
      <c r="D87" s="14"/>
      <c r="E87" s="14"/>
      <c r="H87" s="14"/>
      <c r="I87" s="14"/>
      <c r="J87" s="14"/>
      <c r="K87" s="14"/>
    </row>
    <row r="90" spans="3:13">
      <c r="L90" s="14"/>
      <c r="M90" s="14"/>
    </row>
    <row r="91" spans="3:13">
      <c r="L91" s="14"/>
      <c r="M91" s="14"/>
    </row>
    <row r="92" spans="3:13">
      <c r="L92" s="14"/>
      <c r="M92" s="14"/>
    </row>
  </sheetData>
  <sheetProtection sheet="1" objects="1" scenarios="1" formatCells="0" sort="0" autoFilter="0" pivotTables="0"/>
  <mergeCells count="3">
    <mergeCell ref="C2:P3"/>
    <mergeCell ref="O4:P4"/>
    <mergeCell ref="C43:L43"/>
  </mergeCells>
  <phoneticPr fontId="2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22907A-42C3-40AE-9C88-1CBADE8E8F29}">
  <sheetPr codeName="Sheet4">
    <tabColor theme="4" tint="0.79998168889431442"/>
  </sheetPr>
  <dimension ref="B1:DK34"/>
  <sheetViews>
    <sheetView showGridLines="0" topLeftCell="A7" workbookViewId="0">
      <selection activeCell="J14" sqref="J14"/>
    </sheetView>
  </sheetViews>
  <sheetFormatPr baseColWidth="10" defaultColWidth="8.83203125" defaultRowHeight="15"/>
  <cols>
    <col min="2" max="2" width="6.1640625" customWidth="1"/>
    <col min="3" max="3" width="5.83203125" customWidth="1"/>
    <col min="4" max="4" width="6.5" customWidth="1"/>
    <col min="5" max="5" width="8" customWidth="1"/>
    <col min="6" max="6" width="20.5" bestFit="1" customWidth="1"/>
    <col min="7" max="9" width="10.6640625" bestFit="1" customWidth="1"/>
    <col min="10" max="10" width="14" bestFit="1" customWidth="1"/>
    <col min="11" max="11" width="10.6640625" bestFit="1" customWidth="1"/>
    <col min="12" max="12" width="11.5" bestFit="1" customWidth="1"/>
    <col min="13" max="13" width="14.33203125" bestFit="1" customWidth="1"/>
    <col min="14" max="14" width="15.5" bestFit="1" customWidth="1"/>
    <col min="28" max="28" width="13.1640625" customWidth="1"/>
    <col min="41" max="41" width="14.1640625" bestFit="1" customWidth="1"/>
    <col min="108" max="114" width="13.1640625" bestFit="1" customWidth="1"/>
  </cols>
  <sheetData>
    <row r="1" spans="2:115">
      <c r="AB1" s="270" t="s">
        <v>149</v>
      </c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</row>
    <row r="2" spans="2:115">
      <c r="AB2" s="271" t="s">
        <v>150</v>
      </c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</row>
    <row r="3" spans="2:115">
      <c r="AB3" s="272" t="s">
        <v>151</v>
      </c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</row>
    <row r="4" spans="2:115">
      <c r="AB4" s="273" t="s">
        <v>152</v>
      </c>
    </row>
    <row r="7" spans="2:115" ht="16" thickBot="1"/>
    <row r="8" spans="2:115" ht="16" thickBot="1">
      <c r="F8" s="451" t="s">
        <v>158</v>
      </c>
      <c r="G8" s="452"/>
      <c r="H8" s="452"/>
      <c r="I8" s="452"/>
      <c r="J8" s="452"/>
      <c r="K8" s="452"/>
      <c r="L8" s="452"/>
      <c r="M8" s="452"/>
      <c r="N8" s="453"/>
      <c r="O8" s="274"/>
      <c r="P8" s="275"/>
      <c r="Q8" s="276"/>
      <c r="R8" s="276"/>
      <c r="S8" s="276"/>
      <c r="T8" s="276"/>
      <c r="U8" s="276"/>
      <c r="V8" s="276"/>
      <c r="W8" s="276"/>
      <c r="X8" s="276"/>
      <c r="Y8" s="276"/>
      <c r="Z8" s="276"/>
      <c r="AA8" s="276"/>
      <c r="AB8" s="277">
        <v>2026</v>
      </c>
      <c r="AC8" s="278"/>
      <c r="AD8" s="276"/>
      <c r="AE8" s="276"/>
      <c r="AF8" s="276"/>
      <c r="AG8" s="276"/>
      <c r="AH8" s="276"/>
      <c r="AI8" s="276"/>
      <c r="AJ8" s="276"/>
      <c r="AK8" s="276"/>
      <c r="AL8" s="276"/>
      <c r="AM8" s="276"/>
      <c r="AN8" s="279"/>
      <c r="AO8" s="280">
        <v>2027</v>
      </c>
      <c r="AP8" s="278"/>
      <c r="AQ8" s="276"/>
      <c r="AR8" s="276"/>
      <c r="AS8" s="276"/>
      <c r="AT8" s="276"/>
      <c r="AU8" s="276"/>
      <c r="AV8" s="276"/>
      <c r="AW8" s="276"/>
      <c r="AX8" s="276"/>
      <c r="AY8" s="276"/>
      <c r="AZ8" s="276"/>
      <c r="BA8" s="279"/>
      <c r="BB8" s="280">
        <v>2028</v>
      </c>
      <c r="BC8" s="278"/>
      <c r="BD8" s="276"/>
      <c r="BE8" s="276"/>
      <c r="BF8" s="276"/>
      <c r="BG8" s="276"/>
      <c r="BH8" s="276"/>
      <c r="BI8" s="276"/>
      <c r="BJ8" s="276"/>
      <c r="BK8" s="276"/>
      <c r="BL8" s="276"/>
      <c r="BM8" s="276"/>
      <c r="BN8" s="279"/>
      <c r="BO8" s="280">
        <v>2029</v>
      </c>
      <c r="BP8" s="278"/>
      <c r="BQ8" s="276"/>
      <c r="BR8" s="276"/>
      <c r="BS8" s="276"/>
      <c r="BT8" s="276"/>
      <c r="BU8" s="276"/>
      <c r="BV8" s="276"/>
      <c r="BW8" s="276"/>
      <c r="BX8" s="276"/>
      <c r="BY8" s="276"/>
      <c r="BZ8" s="276"/>
      <c r="CA8" s="279"/>
      <c r="CB8" s="280">
        <v>2030</v>
      </c>
      <c r="CC8" s="278"/>
      <c r="CD8" s="276"/>
      <c r="CE8" s="276"/>
      <c r="CF8" s="276"/>
      <c r="CG8" s="276"/>
      <c r="CH8" s="276"/>
      <c r="CI8" s="276"/>
      <c r="CJ8" s="276"/>
      <c r="CK8" s="276"/>
      <c r="CL8" s="276"/>
      <c r="CM8" s="276"/>
      <c r="CN8" s="279"/>
      <c r="CO8" s="280">
        <v>2031</v>
      </c>
      <c r="CP8" s="278"/>
      <c r="CQ8" s="276"/>
      <c r="CR8" s="276"/>
      <c r="CS8" s="276"/>
      <c r="CT8" s="276"/>
      <c r="CU8" s="276"/>
      <c r="CV8" s="276"/>
      <c r="CW8" s="276"/>
      <c r="CX8" s="276"/>
      <c r="CY8" s="276"/>
      <c r="CZ8" s="276"/>
      <c r="DA8" s="279"/>
      <c r="DB8" s="300">
        <v>2032</v>
      </c>
      <c r="DD8" s="282">
        <v>2026</v>
      </c>
      <c r="DE8" s="280">
        <v>2027</v>
      </c>
      <c r="DF8" s="280">
        <v>2028</v>
      </c>
      <c r="DG8" s="280">
        <v>2029</v>
      </c>
      <c r="DH8" s="280">
        <v>2030</v>
      </c>
      <c r="DI8" s="280">
        <v>2031</v>
      </c>
      <c r="DJ8" s="281">
        <v>2032</v>
      </c>
    </row>
    <row r="9" spans="2:115">
      <c r="B9" s="454" t="s">
        <v>183</v>
      </c>
      <c r="C9" s="455"/>
      <c r="D9" s="456"/>
      <c r="E9" s="341" t="s">
        <v>177</v>
      </c>
      <c r="F9" s="283" t="s">
        <v>120</v>
      </c>
      <c r="G9" s="6" t="s">
        <v>153</v>
      </c>
      <c r="H9" s="6" t="s">
        <v>20</v>
      </c>
      <c r="I9" s="6" t="s">
        <v>154</v>
      </c>
      <c r="J9" s="6" t="s">
        <v>122</v>
      </c>
      <c r="K9" s="6" t="s">
        <v>21</v>
      </c>
      <c r="L9" s="6" t="s">
        <v>22</v>
      </c>
      <c r="M9" s="6" t="s">
        <v>23</v>
      </c>
      <c r="N9" s="284" t="s">
        <v>24</v>
      </c>
      <c r="O9" s="274"/>
      <c r="P9" s="260">
        <v>1</v>
      </c>
      <c r="Q9" s="285">
        <v>2</v>
      </c>
      <c r="R9" s="285">
        <v>3</v>
      </c>
      <c r="S9" s="285">
        <v>4</v>
      </c>
      <c r="T9" s="285">
        <v>5</v>
      </c>
      <c r="U9" s="285">
        <v>6</v>
      </c>
      <c r="V9" s="285">
        <v>7</v>
      </c>
      <c r="W9" s="285">
        <v>8</v>
      </c>
      <c r="X9" s="285">
        <v>9</v>
      </c>
      <c r="Y9" s="285">
        <v>10</v>
      </c>
      <c r="Z9" s="285">
        <v>11</v>
      </c>
      <c r="AA9" s="285">
        <v>12</v>
      </c>
      <c r="AB9" s="286" t="s">
        <v>155</v>
      </c>
      <c r="AC9" s="287">
        <v>1</v>
      </c>
      <c r="AD9" s="285">
        <v>2</v>
      </c>
      <c r="AE9" s="285">
        <v>3</v>
      </c>
      <c r="AF9" s="285">
        <v>4</v>
      </c>
      <c r="AG9" s="285">
        <v>5</v>
      </c>
      <c r="AH9" s="285">
        <v>6</v>
      </c>
      <c r="AI9" s="285">
        <v>7</v>
      </c>
      <c r="AJ9" s="285">
        <v>8</v>
      </c>
      <c r="AK9" s="285">
        <v>9</v>
      </c>
      <c r="AL9" s="285">
        <v>10</v>
      </c>
      <c r="AM9" s="285">
        <v>11</v>
      </c>
      <c r="AN9" s="288">
        <v>12</v>
      </c>
      <c r="AO9" s="289" t="s">
        <v>155</v>
      </c>
      <c r="AP9" s="287">
        <v>1</v>
      </c>
      <c r="AQ9" s="285">
        <v>2</v>
      </c>
      <c r="AR9" s="285">
        <v>3</v>
      </c>
      <c r="AS9" s="285">
        <v>4</v>
      </c>
      <c r="AT9" s="285">
        <v>5</v>
      </c>
      <c r="AU9" s="285">
        <v>6</v>
      </c>
      <c r="AV9" s="285">
        <v>7</v>
      </c>
      <c r="AW9" s="285">
        <v>8</v>
      </c>
      <c r="AX9" s="285">
        <v>9</v>
      </c>
      <c r="AY9" s="285">
        <v>10</v>
      </c>
      <c r="AZ9" s="285">
        <v>11</v>
      </c>
      <c r="BA9" s="288">
        <v>12</v>
      </c>
      <c r="BB9" s="289" t="s">
        <v>155</v>
      </c>
      <c r="BC9" s="287">
        <v>1</v>
      </c>
      <c r="BD9" s="285">
        <v>2</v>
      </c>
      <c r="BE9" s="285">
        <v>3</v>
      </c>
      <c r="BF9" s="285">
        <v>4</v>
      </c>
      <c r="BG9" s="285">
        <v>5</v>
      </c>
      <c r="BH9" s="285">
        <v>6</v>
      </c>
      <c r="BI9" s="285">
        <v>7</v>
      </c>
      <c r="BJ9" s="285">
        <v>8</v>
      </c>
      <c r="BK9" s="285">
        <v>9</v>
      </c>
      <c r="BL9" s="285">
        <v>10</v>
      </c>
      <c r="BM9" s="285">
        <v>11</v>
      </c>
      <c r="BN9" s="288">
        <v>12</v>
      </c>
      <c r="BO9" s="289" t="s">
        <v>155</v>
      </c>
      <c r="BP9" s="287">
        <v>1</v>
      </c>
      <c r="BQ9" s="285">
        <v>2</v>
      </c>
      <c r="BR9" s="285">
        <v>3</v>
      </c>
      <c r="BS9" s="285">
        <v>4</v>
      </c>
      <c r="BT9" s="285">
        <v>5</v>
      </c>
      <c r="BU9" s="285">
        <v>6</v>
      </c>
      <c r="BV9" s="285">
        <v>7</v>
      </c>
      <c r="BW9" s="285">
        <v>8</v>
      </c>
      <c r="BX9" s="285">
        <v>9</v>
      </c>
      <c r="BY9" s="285">
        <v>10</v>
      </c>
      <c r="BZ9" s="285">
        <v>11</v>
      </c>
      <c r="CA9" s="288">
        <v>12</v>
      </c>
      <c r="CB9" s="289" t="s">
        <v>155</v>
      </c>
      <c r="CC9" s="287">
        <v>1</v>
      </c>
      <c r="CD9" s="285">
        <v>2</v>
      </c>
      <c r="CE9" s="285">
        <v>3</v>
      </c>
      <c r="CF9" s="285">
        <v>4</v>
      </c>
      <c r="CG9" s="285">
        <v>5</v>
      </c>
      <c r="CH9" s="285">
        <v>6</v>
      </c>
      <c r="CI9" s="285">
        <v>7</v>
      </c>
      <c r="CJ9" s="285">
        <v>8</v>
      </c>
      <c r="CK9" s="285">
        <v>9</v>
      </c>
      <c r="CL9" s="285">
        <v>10</v>
      </c>
      <c r="CM9" s="285">
        <v>11</v>
      </c>
      <c r="CN9" s="288">
        <v>12</v>
      </c>
      <c r="CO9" s="289" t="s">
        <v>155</v>
      </c>
      <c r="CP9" s="287">
        <v>1</v>
      </c>
      <c r="CQ9" s="285">
        <v>2</v>
      </c>
      <c r="CR9" s="285">
        <v>3</v>
      </c>
      <c r="CS9" s="285">
        <v>4</v>
      </c>
      <c r="CT9" s="285">
        <v>5</v>
      </c>
      <c r="CU9" s="285">
        <v>6</v>
      </c>
      <c r="CV9" s="285">
        <v>7</v>
      </c>
      <c r="CW9" s="285">
        <v>8</v>
      </c>
      <c r="CX9" s="285">
        <v>9</v>
      </c>
      <c r="CY9" s="285">
        <v>10</v>
      </c>
      <c r="CZ9" s="285">
        <v>11</v>
      </c>
      <c r="DA9" s="288">
        <v>12</v>
      </c>
      <c r="DB9" s="301" t="s">
        <v>155</v>
      </c>
      <c r="DD9" s="291" t="s">
        <v>156</v>
      </c>
      <c r="DE9" s="289" t="s">
        <v>156</v>
      </c>
      <c r="DF9" s="289" t="s">
        <v>156</v>
      </c>
      <c r="DG9" s="289" t="s">
        <v>156</v>
      </c>
      <c r="DH9" s="289" t="s">
        <v>156</v>
      </c>
      <c r="DI9" s="289" t="s">
        <v>156</v>
      </c>
      <c r="DJ9" s="290" t="s">
        <v>156</v>
      </c>
    </row>
    <row r="10" spans="2:115">
      <c r="B10" s="24" t="s">
        <v>178</v>
      </c>
      <c r="C10" s="71" t="s">
        <v>179</v>
      </c>
      <c r="D10" s="161" t="s">
        <v>180</v>
      </c>
      <c r="E10" s="342"/>
      <c r="F10" s="302" t="s">
        <v>159</v>
      </c>
      <c r="G10" s="6"/>
      <c r="H10" s="6"/>
      <c r="I10" s="6"/>
      <c r="J10" s="6"/>
      <c r="K10" s="6"/>
      <c r="L10" s="6"/>
      <c r="M10" s="6"/>
      <c r="N10" s="284"/>
      <c r="O10" s="274"/>
      <c r="P10" s="292"/>
      <c r="Q10" s="293"/>
      <c r="R10" s="293"/>
      <c r="S10" s="293"/>
      <c r="T10" s="293"/>
      <c r="U10" s="293"/>
      <c r="V10" s="293"/>
      <c r="W10" s="293"/>
      <c r="X10" s="293"/>
      <c r="Y10" s="293"/>
      <c r="Z10" s="293"/>
      <c r="AA10" s="293"/>
      <c r="AB10" s="303"/>
      <c r="AC10" s="304"/>
      <c r="AD10" s="293"/>
      <c r="AE10" s="293"/>
      <c r="AF10" s="293"/>
      <c r="AG10" s="293"/>
      <c r="AH10" s="293"/>
      <c r="AI10" s="293"/>
      <c r="AJ10" s="293"/>
      <c r="AK10" s="293"/>
      <c r="AL10" s="293"/>
      <c r="AM10" s="293"/>
      <c r="AN10" s="305"/>
      <c r="AO10" s="303"/>
      <c r="AP10" s="304"/>
      <c r="AQ10" s="293"/>
      <c r="AR10" s="293"/>
      <c r="AS10" s="293"/>
      <c r="AT10" s="293"/>
      <c r="AU10" s="293"/>
      <c r="AV10" s="293"/>
      <c r="AW10" s="293"/>
      <c r="AX10" s="293"/>
      <c r="AY10" s="293"/>
      <c r="AZ10" s="293"/>
      <c r="BA10" s="306"/>
      <c r="BB10" s="303"/>
      <c r="BC10" s="304"/>
      <c r="BD10" s="293"/>
      <c r="BE10" s="293"/>
      <c r="BF10" s="293"/>
      <c r="BG10" s="293"/>
      <c r="BH10" s="293"/>
      <c r="BI10" s="293"/>
      <c r="BJ10" s="293"/>
      <c r="BK10" s="293"/>
      <c r="BL10" s="293"/>
      <c r="BM10" s="293"/>
      <c r="BN10" s="306"/>
      <c r="BO10" s="303"/>
      <c r="BP10" s="304"/>
      <c r="BQ10" s="293"/>
      <c r="BR10" s="293"/>
      <c r="BS10" s="293"/>
      <c r="BT10" s="293"/>
      <c r="BU10" s="293"/>
      <c r="BV10" s="293"/>
      <c r="BW10" s="293"/>
      <c r="BX10" s="293"/>
      <c r="BY10" s="293"/>
      <c r="BZ10" s="293"/>
      <c r="CA10" s="306"/>
      <c r="CB10" s="303"/>
      <c r="CC10" s="304"/>
      <c r="CD10" s="293"/>
      <c r="CE10" s="293"/>
      <c r="CF10" s="293"/>
      <c r="CG10" s="293"/>
      <c r="CH10" s="293"/>
      <c r="CI10" s="293"/>
      <c r="CJ10" s="293"/>
      <c r="CK10" s="293"/>
      <c r="CL10" s="293"/>
      <c r="CM10" s="293"/>
      <c r="CN10" s="306"/>
      <c r="CO10" s="261"/>
      <c r="CP10" s="304"/>
      <c r="CQ10" s="293"/>
      <c r="CR10" s="293"/>
      <c r="CS10" s="293"/>
      <c r="CT10" s="293"/>
      <c r="CU10" s="293"/>
      <c r="CV10" s="293"/>
      <c r="CW10" s="293"/>
      <c r="CX10" s="293"/>
      <c r="CY10" s="293"/>
      <c r="CZ10" s="293"/>
      <c r="DA10" s="306"/>
      <c r="DB10" s="295"/>
      <c r="DD10" s="375"/>
      <c r="DE10" s="376"/>
      <c r="DF10" s="376"/>
      <c r="DG10" s="376"/>
      <c r="DH10" s="376"/>
      <c r="DI10" s="376"/>
      <c r="DJ10" s="377"/>
      <c r="DK10" s="6"/>
    </row>
    <row r="11" spans="2:115">
      <c r="B11" s="307" t="s">
        <v>181</v>
      </c>
      <c r="C11" s="308" t="s">
        <v>181</v>
      </c>
      <c r="D11" s="389" t="s">
        <v>181</v>
      </c>
      <c r="E11" s="390">
        <v>0</v>
      </c>
      <c r="F11" s="307" t="s">
        <v>267</v>
      </c>
      <c r="G11" s="308" t="s">
        <v>270</v>
      </c>
      <c r="H11" s="309">
        <v>1500</v>
      </c>
      <c r="I11" s="294">
        <f>H11/$H$28</f>
        <v>0.27272727272727271</v>
      </c>
      <c r="J11" s="310">
        <v>68</v>
      </c>
      <c r="K11" s="310">
        <v>50</v>
      </c>
      <c r="L11" s="32">
        <f t="shared" ref="L11:L27" si="0">IF(K11=0," ",K11*H11)</f>
        <v>75000</v>
      </c>
      <c r="M11" s="33">
        <f t="shared" ref="M11:M12" si="1">IF(H11=0," ",J11*H11)</f>
        <v>102000</v>
      </c>
      <c r="N11" s="8">
        <f t="shared" ref="N11:N12" si="2">IF(M11=" "," ",M11/12)</f>
        <v>8500</v>
      </c>
      <c r="O11" s="274"/>
      <c r="P11" s="384">
        <f>J11</f>
        <v>68</v>
      </c>
      <c r="Q11" s="382">
        <f t="shared" ref="Q11:AA27" si="3">P11</f>
        <v>68</v>
      </c>
      <c r="R11" s="382">
        <f t="shared" si="3"/>
        <v>68</v>
      </c>
      <c r="S11" s="382">
        <f t="shared" si="3"/>
        <v>68</v>
      </c>
      <c r="T11" s="382">
        <f t="shared" si="3"/>
        <v>68</v>
      </c>
      <c r="U11" s="382">
        <f t="shared" si="3"/>
        <v>68</v>
      </c>
      <c r="V11" s="382">
        <f t="shared" si="3"/>
        <v>68</v>
      </c>
      <c r="W11" s="382">
        <f t="shared" si="3"/>
        <v>68</v>
      </c>
      <c r="X11" s="382">
        <f t="shared" si="3"/>
        <v>68</v>
      </c>
      <c r="Y11" s="382">
        <f t="shared" si="3"/>
        <v>68</v>
      </c>
      <c r="Z11" s="382">
        <f t="shared" si="3"/>
        <v>68</v>
      </c>
      <c r="AA11" s="382">
        <f t="shared" si="3"/>
        <v>68</v>
      </c>
      <c r="AB11" s="295">
        <f>+AVERAGE(P11:AA11)</f>
        <v>68</v>
      </c>
      <c r="AC11" s="381">
        <f t="shared" ref="AC11:AC27" si="4">AA11*(1+E11)</f>
        <v>68</v>
      </c>
      <c r="AD11" s="382">
        <f>AC11</f>
        <v>68</v>
      </c>
      <c r="AE11" s="382">
        <f t="shared" ref="AE11:AN11" si="5">AD11</f>
        <v>68</v>
      </c>
      <c r="AF11" s="382">
        <f t="shared" si="5"/>
        <v>68</v>
      </c>
      <c r="AG11" s="382">
        <f t="shared" si="5"/>
        <v>68</v>
      </c>
      <c r="AH11" s="382">
        <f t="shared" si="5"/>
        <v>68</v>
      </c>
      <c r="AI11" s="382">
        <f>AH11</f>
        <v>68</v>
      </c>
      <c r="AJ11" s="382">
        <f t="shared" si="5"/>
        <v>68</v>
      </c>
      <c r="AK11" s="382">
        <f t="shared" si="5"/>
        <v>68</v>
      </c>
      <c r="AL11" s="382">
        <f t="shared" si="5"/>
        <v>68</v>
      </c>
      <c r="AM11" s="382">
        <f t="shared" si="5"/>
        <v>68</v>
      </c>
      <c r="AN11" s="383">
        <f t="shared" si="5"/>
        <v>68</v>
      </c>
      <c r="AO11" s="295">
        <f>+AVERAGE(AC11:AN11)</f>
        <v>68</v>
      </c>
      <c r="AP11" s="381">
        <f t="shared" ref="AP11:AP27" si="6">AN11*(1+E11)</f>
        <v>68</v>
      </c>
      <c r="AQ11" s="382">
        <f>AP11</f>
        <v>68</v>
      </c>
      <c r="AR11" s="382">
        <f t="shared" ref="AR11:BA11" si="7">AQ11</f>
        <v>68</v>
      </c>
      <c r="AS11" s="382">
        <f t="shared" si="7"/>
        <v>68</v>
      </c>
      <c r="AT11" s="382">
        <f t="shared" si="7"/>
        <v>68</v>
      </c>
      <c r="AU11" s="382">
        <f t="shared" si="7"/>
        <v>68</v>
      </c>
      <c r="AV11" s="382">
        <f t="shared" si="7"/>
        <v>68</v>
      </c>
      <c r="AW11" s="382">
        <f t="shared" si="7"/>
        <v>68</v>
      </c>
      <c r="AX11" s="382">
        <f t="shared" si="7"/>
        <v>68</v>
      </c>
      <c r="AY11" s="382">
        <f t="shared" si="7"/>
        <v>68</v>
      </c>
      <c r="AZ11" s="382">
        <f t="shared" si="7"/>
        <v>68</v>
      </c>
      <c r="BA11" s="383">
        <f t="shared" si="7"/>
        <v>68</v>
      </c>
      <c r="BB11" s="295">
        <f>+AVERAGE(AP11:BA11)</f>
        <v>68</v>
      </c>
      <c r="BC11" s="381">
        <f t="shared" ref="BC11:BC27" si="8">BA11*(1+E11)</f>
        <v>68</v>
      </c>
      <c r="BD11" s="382">
        <f>BC11</f>
        <v>68</v>
      </c>
      <c r="BE11" s="382">
        <f t="shared" ref="BE11:BN11" si="9">BD11</f>
        <v>68</v>
      </c>
      <c r="BF11" s="382">
        <f t="shared" si="9"/>
        <v>68</v>
      </c>
      <c r="BG11" s="382">
        <f t="shared" si="9"/>
        <v>68</v>
      </c>
      <c r="BH11" s="382">
        <f t="shared" si="9"/>
        <v>68</v>
      </c>
      <c r="BI11" s="382">
        <f t="shared" si="9"/>
        <v>68</v>
      </c>
      <c r="BJ11" s="382">
        <f t="shared" si="9"/>
        <v>68</v>
      </c>
      <c r="BK11" s="382">
        <f t="shared" si="9"/>
        <v>68</v>
      </c>
      <c r="BL11" s="382">
        <f t="shared" si="9"/>
        <v>68</v>
      </c>
      <c r="BM11" s="382">
        <f t="shared" si="9"/>
        <v>68</v>
      </c>
      <c r="BN11" s="383">
        <f t="shared" si="9"/>
        <v>68</v>
      </c>
      <c r="BO11" s="295">
        <f>+AVERAGE(BC11:BN11)</f>
        <v>68</v>
      </c>
      <c r="BP11" s="381">
        <f t="shared" ref="BP11:BP27" si="10">BN11*(1+E11)</f>
        <v>68</v>
      </c>
      <c r="BQ11" s="382">
        <f>BP11</f>
        <v>68</v>
      </c>
      <c r="BR11" s="382">
        <f t="shared" ref="BR11:CA11" si="11">BQ11</f>
        <v>68</v>
      </c>
      <c r="BS11" s="382">
        <f t="shared" si="11"/>
        <v>68</v>
      </c>
      <c r="BT11" s="382">
        <f t="shared" si="11"/>
        <v>68</v>
      </c>
      <c r="BU11" s="382">
        <f t="shared" si="11"/>
        <v>68</v>
      </c>
      <c r="BV11" s="382">
        <f t="shared" si="11"/>
        <v>68</v>
      </c>
      <c r="BW11" s="382">
        <f t="shared" si="11"/>
        <v>68</v>
      </c>
      <c r="BX11" s="382">
        <f t="shared" si="11"/>
        <v>68</v>
      </c>
      <c r="BY11" s="382">
        <f t="shared" si="11"/>
        <v>68</v>
      </c>
      <c r="BZ11" s="382">
        <f t="shared" si="11"/>
        <v>68</v>
      </c>
      <c r="CA11" s="383">
        <f t="shared" si="11"/>
        <v>68</v>
      </c>
      <c r="CB11" s="295">
        <f>+AVERAGE(BP11:CA11)</f>
        <v>68</v>
      </c>
      <c r="CC11" s="381">
        <f t="shared" ref="CC11:CC27" si="12">CA11*(1+E11)</f>
        <v>68</v>
      </c>
      <c r="CD11" s="382">
        <f>CC11</f>
        <v>68</v>
      </c>
      <c r="CE11" s="382">
        <f t="shared" ref="CE11:CN11" si="13">CD11</f>
        <v>68</v>
      </c>
      <c r="CF11" s="382">
        <f t="shared" si="13"/>
        <v>68</v>
      </c>
      <c r="CG11" s="382">
        <f t="shared" si="13"/>
        <v>68</v>
      </c>
      <c r="CH11" s="382">
        <f t="shared" si="13"/>
        <v>68</v>
      </c>
      <c r="CI11" s="382">
        <f t="shared" si="13"/>
        <v>68</v>
      </c>
      <c r="CJ11" s="382">
        <f t="shared" si="13"/>
        <v>68</v>
      </c>
      <c r="CK11" s="382">
        <f t="shared" si="13"/>
        <v>68</v>
      </c>
      <c r="CL11" s="382">
        <f t="shared" si="13"/>
        <v>68</v>
      </c>
      <c r="CM11" s="382">
        <f t="shared" si="13"/>
        <v>68</v>
      </c>
      <c r="CN11" s="383">
        <f t="shared" si="13"/>
        <v>68</v>
      </c>
      <c r="CO11" s="311">
        <f>+AVERAGE(CC11:CN11)</f>
        <v>68</v>
      </c>
      <c r="CP11" s="381">
        <f t="shared" ref="CP11:CP27" si="14">CN11*(1+E11)</f>
        <v>68</v>
      </c>
      <c r="CQ11" s="382">
        <f>CP11</f>
        <v>68</v>
      </c>
      <c r="CR11" s="382">
        <f t="shared" ref="CR11:DA11" si="15">CQ11</f>
        <v>68</v>
      </c>
      <c r="CS11" s="382">
        <f t="shared" si="15"/>
        <v>68</v>
      </c>
      <c r="CT11" s="382">
        <f t="shared" si="15"/>
        <v>68</v>
      </c>
      <c r="CU11" s="382">
        <f t="shared" si="15"/>
        <v>68</v>
      </c>
      <c r="CV11" s="382">
        <f t="shared" si="15"/>
        <v>68</v>
      </c>
      <c r="CW11" s="382">
        <f t="shared" si="15"/>
        <v>68</v>
      </c>
      <c r="CX11" s="382">
        <f t="shared" si="15"/>
        <v>68</v>
      </c>
      <c r="CY11" s="382">
        <f t="shared" si="15"/>
        <v>68</v>
      </c>
      <c r="CZ11" s="382">
        <f t="shared" si="15"/>
        <v>68</v>
      </c>
      <c r="DA11" s="383">
        <f t="shared" si="15"/>
        <v>68</v>
      </c>
      <c r="DB11" s="295">
        <f>+AVERAGE(CP11:DA11)</f>
        <v>68</v>
      </c>
      <c r="DD11" s="378">
        <f t="shared" ref="DD11:DD27" si="16">+(P11*$H11)/12+(Q11*$H11)/12+(R11*$H11)/12+(S11*$H11)/12+(T11*$H11)/12+(U11*$H11)/12+(V11*$H11)/12+(W11*$H11)/12+(X11*$H11)/12+(Y11*$H11)/12+(Z11*$H11)/12+(AA11*$H11)/12</f>
        <v>102000</v>
      </c>
      <c r="DE11" s="379">
        <f t="shared" ref="DE11:DE27" si="17">+(AC11*$H11)/12+(AD11*$H11)/12+(AE11*$H11)/12+(AF11*$H11)/12+(AG11*$H11)/12+(AH11*$H11)/12+(AI11*$H11)/12+(AJ11*$H11)/12+(AK11*$H11)/12+(AL11*$H11)/12+(AM11*$H11)/12+(AN11*$H11)/12</f>
        <v>102000</v>
      </c>
      <c r="DF11" s="379">
        <f t="shared" ref="DF11:DF27" si="18">+(AP11*$H11)/12+(AQ11*$H11)/12+(AR11*$H11)/12+(AS11*$H11)/12+(AT11*$H11)/12+(AU11*$H11)/12+(AV11*$H11)/12+(AW11*$H11)/12+(AX11*$H11)/12+(AY11*$H11)/12+(AZ11*$H11)/12+(BA11*$H11)/12</f>
        <v>102000</v>
      </c>
      <c r="DG11" s="379">
        <f t="shared" ref="DG11:DG27" si="19">+(BC11*$H11)/12+(BD11*$H11)/12+(BE11*$H11)/12+(BF11*$H11)/12+(BG11*$H11)/12+(BH11*$H11)/12+(BI11*$H11)/12+(BJ11*$H11)/12+(BK11*$H11)/12+(BL11*$H11)/12+(BM11*$H11)/12+(BN11*$H11)/12</f>
        <v>102000</v>
      </c>
      <c r="DH11" s="379">
        <f t="shared" ref="DH11:DH27" si="20">+(BP11*$H11)/12+(BQ11*$H11)/12+(BR11*$H11)/12+(BS11*$H11)/12+(BT11*$H11)/12+(BU11*$H11)/12+(BV11*$H11)/12+(BW11*$H11)/12+(BX11*$H11)/12+(BY11*$H11)/12+(BZ11*$H11)/12+(CA11*$H11)/12</f>
        <v>102000</v>
      </c>
      <c r="DI11" s="379">
        <f>+(CC11*$H11)/12+(CD11*$H11)/12+(CE11*$H11)/12+(CF11*$H11)/12+(CG11*$H11)/12+(CH11*$H11)/12+(CI11*$H11)/12+(CJ11*$H11)/12+(CK11*$H11)/12+(CL11*$H11)/12+(CM11*$H11)/12+(CN11*$H11)/12</f>
        <v>102000</v>
      </c>
      <c r="DJ11" s="380">
        <f>+(CP11*$H11)/12+(CQ11*$H11)/12+(CR11*$H11)/12+(CS11*$H11)/12+(CT11*$H11)/12+(CU11*$H11)/12+(CV11*$H11)/12+(CW11*$H11)/12+(CX11*$H11)/12+(CY11*$H11)/12+(CZ11*$H11)/12+(DA11*$H11)/12</f>
        <v>102000</v>
      </c>
      <c r="DK11" s="2"/>
    </row>
    <row r="12" spans="2:115">
      <c r="B12" s="307" t="s">
        <v>181</v>
      </c>
      <c r="C12" s="308" t="s">
        <v>181</v>
      </c>
      <c r="D12" s="389" t="s">
        <v>181</v>
      </c>
      <c r="E12" s="390">
        <v>0</v>
      </c>
      <c r="F12" s="307" t="s">
        <v>268</v>
      </c>
      <c r="G12" s="308" t="s">
        <v>265</v>
      </c>
      <c r="H12" s="309">
        <v>2500</v>
      </c>
      <c r="I12" s="294">
        <f t="shared" ref="I12:I27" si="21">H12/$H$28</f>
        <v>0.45454545454545453</v>
      </c>
      <c r="J12" s="310">
        <v>48</v>
      </c>
      <c r="K12" s="310">
        <v>50</v>
      </c>
      <c r="L12" s="32">
        <f t="shared" si="0"/>
        <v>125000</v>
      </c>
      <c r="M12" s="33">
        <f t="shared" si="1"/>
        <v>120000</v>
      </c>
      <c r="N12" s="8">
        <f t="shared" si="2"/>
        <v>10000</v>
      </c>
      <c r="O12" s="274"/>
      <c r="P12" s="384">
        <f t="shared" ref="P12:P27" si="22">J12</f>
        <v>48</v>
      </c>
      <c r="Q12" s="382">
        <f t="shared" si="3"/>
        <v>48</v>
      </c>
      <c r="R12" s="382">
        <f t="shared" si="3"/>
        <v>48</v>
      </c>
      <c r="S12" s="382">
        <f t="shared" si="3"/>
        <v>48</v>
      </c>
      <c r="T12" s="382">
        <f t="shared" si="3"/>
        <v>48</v>
      </c>
      <c r="U12" s="382">
        <f t="shared" si="3"/>
        <v>48</v>
      </c>
      <c r="V12" s="382">
        <f t="shared" si="3"/>
        <v>48</v>
      </c>
      <c r="W12" s="382">
        <f t="shared" si="3"/>
        <v>48</v>
      </c>
      <c r="X12" s="382">
        <f t="shared" si="3"/>
        <v>48</v>
      </c>
      <c r="Y12" s="382">
        <f t="shared" si="3"/>
        <v>48</v>
      </c>
      <c r="Z12" s="382">
        <f t="shared" si="3"/>
        <v>48</v>
      </c>
      <c r="AA12" s="382">
        <f t="shared" si="3"/>
        <v>48</v>
      </c>
      <c r="AB12" s="295">
        <f t="shared" ref="AB12:AB27" si="23">+AVERAGE(P12:AA12)</f>
        <v>48</v>
      </c>
      <c r="AC12" s="381">
        <f t="shared" si="4"/>
        <v>48</v>
      </c>
      <c r="AD12" s="382">
        <f t="shared" ref="AD12:AN27" si="24">AC12</f>
        <v>48</v>
      </c>
      <c r="AE12" s="382">
        <f t="shared" si="24"/>
        <v>48</v>
      </c>
      <c r="AF12" s="382">
        <f t="shared" si="24"/>
        <v>48</v>
      </c>
      <c r="AG12" s="382">
        <f t="shared" si="24"/>
        <v>48</v>
      </c>
      <c r="AH12" s="382">
        <f t="shared" si="24"/>
        <v>48</v>
      </c>
      <c r="AI12" s="382">
        <f t="shared" si="24"/>
        <v>48</v>
      </c>
      <c r="AJ12" s="382">
        <f t="shared" si="24"/>
        <v>48</v>
      </c>
      <c r="AK12" s="382">
        <f t="shared" si="24"/>
        <v>48</v>
      </c>
      <c r="AL12" s="382">
        <f t="shared" si="24"/>
        <v>48</v>
      </c>
      <c r="AM12" s="382">
        <f t="shared" si="24"/>
        <v>48</v>
      </c>
      <c r="AN12" s="383">
        <f t="shared" si="24"/>
        <v>48</v>
      </c>
      <c r="AO12" s="295">
        <f t="shared" ref="AO12:AO27" si="25">+AVERAGE(AC12:AN12)</f>
        <v>48</v>
      </c>
      <c r="AP12" s="381">
        <f t="shared" si="6"/>
        <v>48</v>
      </c>
      <c r="AQ12" s="382">
        <f t="shared" ref="AQ12:BA27" si="26">AP12</f>
        <v>48</v>
      </c>
      <c r="AR12" s="382">
        <f t="shared" si="26"/>
        <v>48</v>
      </c>
      <c r="AS12" s="382">
        <f t="shared" si="26"/>
        <v>48</v>
      </c>
      <c r="AT12" s="382">
        <f t="shared" si="26"/>
        <v>48</v>
      </c>
      <c r="AU12" s="382">
        <f t="shared" si="26"/>
        <v>48</v>
      </c>
      <c r="AV12" s="382">
        <f t="shared" si="26"/>
        <v>48</v>
      </c>
      <c r="AW12" s="382">
        <f t="shared" si="26"/>
        <v>48</v>
      </c>
      <c r="AX12" s="382">
        <f t="shared" si="26"/>
        <v>48</v>
      </c>
      <c r="AY12" s="382">
        <f t="shared" si="26"/>
        <v>48</v>
      </c>
      <c r="AZ12" s="382">
        <f t="shared" si="26"/>
        <v>48</v>
      </c>
      <c r="BA12" s="383">
        <f t="shared" si="26"/>
        <v>48</v>
      </c>
      <c r="BB12" s="295">
        <f t="shared" ref="BB12:BB27" si="27">+AVERAGE(AP12:BA12)</f>
        <v>48</v>
      </c>
      <c r="BC12" s="381">
        <f t="shared" si="8"/>
        <v>48</v>
      </c>
      <c r="BD12" s="382">
        <f t="shared" ref="BD12:BN27" si="28">BC12</f>
        <v>48</v>
      </c>
      <c r="BE12" s="382">
        <f t="shared" si="28"/>
        <v>48</v>
      </c>
      <c r="BF12" s="382">
        <f t="shared" si="28"/>
        <v>48</v>
      </c>
      <c r="BG12" s="382">
        <f t="shared" si="28"/>
        <v>48</v>
      </c>
      <c r="BH12" s="382">
        <f t="shared" si="28"/>
        <v>48</v>
      </c>
      <c r="BI12" s="382">
        <f t="shared" si="28"/>
        <v>48</v>
      </c>
      <c r="BJ12" s="382">
        <f t="shared" si="28"/>
        <v>48</v>
      </c>
      <c r="BK12" s="382">
        <f t="shared" si="28"/>
        <v>48</v>
      </c>
      <c r="BL12" s="382">
        <f t="shared" si="28"/>
        <v>48</v>
      </c>
      <c r="BM12" s="382">
        <f t="shared" si="28"/>
        <v>48</v>
      </c>
      <c r="BN12" s="383">
        <f t="shared" si="28"/>
        <v>48</v>
      </c>
      <c r="BO12" s="295">
        <f t="shared" ref="BO12:BO27" si="29">+AVERAGE(BC12:BN12)</f>
        <v>48</v>
      </c>
      <c r="BP12" s="381">
        <f t="shared" si="10"/>
        <v>48</v>
      </c>
      <c r="BQ12" s="382">
        <f t="shared" ref="BQ12:CA27" si="30">BP12</f>
        <v>48</v>
      </c>
      <c r="BR12" s="382">
        <f t="shared" si="30"/>
        <v>48</v>
      </c>
      <c r="BS12" s="382">
        <f t="shared" si="30"/>
        <v>48</v>
      </c>
      <c r="BT12" s="382">
        <f t="shared" si="30"/>
        <v>48</v>
      </c>
      <c r="BU12" s="382">
        <f t="shared" si="30"/>
        <v>48</v>
      </c>
      <c r="BV12" s="382">
        <f t="shared" si="30"/>
        <v>48</v>
      </c>
      <c r="BW12" s="382">
        <f t="shared" si="30"/>
        <v>48</v>
      </c>
      <c r="BX12" s="382">
        <f t="shared" si="30"/>
        <v>48</v>
      </c>
      <c r="BY12" s="382">
        <f t="shared" si="30"/>
        <v>48</v>
      </c>
      <c r="BZ12" s="382">
        <f t="shared" si="30"/>
        <v>48</v>
      </c>
      <c r="CA12" s="383">
        <f t="shared" si="30"/>
        <v>48</v>
      </c>
      <c r="CB12" s="295">
        <f t="shared" ref="CB12:CB27" si="31">+AVERAGE(BP12:CA12)</f>
        <v>48</v>
      </c>
      <c r="CC12" s="381">
        <f t="shared" si="12"/>
        <v>48</v>
      </c>
      <c r="CD12" s="382">
        <f t="shared" ref="CD12:CN27" si="32">CC12</f>
        <v>48</v>
      </c>
      <c r="CE12" s="382">
        <f t="shared" si="32"/>
        <v>48</v>
      </c>
      <c r="CF12" s="382">
        <f t="shared" si="32"/>
        <v>48</v>
      </c>
      <c r="CG12" s="382">
        <f t="shared" si="32"/>
        <v>48</v>
      </c>
      <c r="CH12" s="382">
        <f t="shared" si="32"/>
        <v>48</v>
      </c>
      <c r="CI12" s="382">
        <f t="shared" si="32"/>
        <v>48</v>
      </c>
      <c r="CJ12" s="382">
        <f t="shared" si="32"/>
        <v>48</v>
      </c>
      <c r="CK12" s="382">
        <f t="shared" si="32"/>
        <v>48</v>
      </c>
      <c r="CL12" s="382">
        <f t="shared" si="32"/>
        <v>48</v>
      </c>
      <c r="CM12" s="382">
        <f t="shared" si="32"/>
        <v>48</v>
      </c>
      <c r="CN12" s="383">
        <f t="shared" si="32"/>
        <v>48</v>
      </c>
      <c r="CO12" s="311">
        <f t="shared" ref="CO12:CO27" si="33">+AVERAGE(CC12:CN12)</f>
        <v>48</v>
      </c>
      <c r="CP12" s="381">
        <f t="shared" si="14"/>
        <v>48</v>
      </c>
      <c r="CQ12" s="382">
        <f t="shared" ref="CQ12:DA27" si="34">CP12</f>
        <v>48</v>
      </c>
      <c r="CR12" s="382">
        <f t="shared" si="34"/>
        <v>48</v>
      </c>
      <c r="CS12" s="382">
        <f t="shared" si="34"/>
        <v>48</v>
      </c>
      <c r="CT12" s="382">
        <f t="shared" si="34"/>
        <v>48</v>
      </c>
      <c r="CU12" s="382">
        <f t="shared" si="34"/>
        <v>48</v>
      </c>
      <c r="CV12" s="382">
        <f t="shared" si="34"/>
        <v>48</v>
      </c>
      <c r="CW12" s="382">
        <f t="shared" si="34"/>
        <v>48</v>
      </c>
      <c r="CX12" s="382">
        <f t="shared" si="34"/>
        <v>48</v>
      </c>
      <c r="CY12" s="382">
        <f t="shared" si="34"/>
        <v>48</v>
      </c>
      <c r="CZ12" s="382">
        <f t="shared" si="34"/>
        <v>48</v>
      </c>
      <c r="DA12" s="383">
        <f t="shared" si="34"/>
        <v>48</v>
      </c>
      <c r="DB12" s="295">
        <f t="shared" ref="DB12:DB27" si="35">+AVERAGE(CP12:DA12)</f>
        <v>48</v>
      </c>
      <c r="DD12" s="378">
        <f t="shared" si="16"/>
        <v>120000</v>
      </c>
      <c r="DE12" s="379">
        <f t="shared" si="17"/>
        <v>120000</v>
      </c>
      <c r="DF12" s="379">
        <f t="shared" si="18"/>
        <v>120000</v>
      </c>
      <c r="DG12" s="379">
        <f t="shared" si="19"/>
        <v>120000</v>
      </c>
      <c r="DH12" s="379">
        <f t="shared" si="20"/>
        <v>120000</v>
      </c>
      <c r="DI12" s="379">
        <f t="shared" ref="DI12:DI16" si="36">+(CC12*$H12)/12+(CD12*$H12)/12+(CE12*$H12)/12+(CF12*$H12)/12+(CG12*$H12)/12+(CH12*$H12)/12+(CI12*$H12)/12+(CJ12*$H12)/12+(CK12*$H12)/12+(CL12*$H12)/12+(CM12*$H12)/12+(CN12*$H12)/12</f>
        <v>120000</v>
      </c>
      <c r="DJ12" s="380">
        <f t="shared" ref="DJ12:DJ16" si="37">+(CP12*$H12)/12+(CQ12*$H12)/12+(CR12*$H12)/12+(CS12*$H12)/12+(CT12*$H12)/12+(CU12*$H12)/12+(CV12*$H12)/12+(CW12*$H12)/12+(CX12*$H12)/12+(CY12*$H12)/12+(CZ12*$H12)/12+(DA12*$H12)/12</f>
        <v>120000</v>
      </c>
      <c r="DK12" s="2"/>
    </row>
    <row r="13" spans="2:115">
      <c r="B13" s="307" t="s">
        <v>181</v>
      </c>
      <c r="C13" s="308" t="s">
        <v>182</v>
      </c>
      <c r="D13" s="389" t="s">
        <v>181</v>
      </c>
      <c r="E13" s="390">
        <v>0</v>
      </c>
      <c r="F13" s="307" t="s">
        <v>269</v>
      </c>
      <c r="G13" s="308" t="s">
        <v>271</v>
      </c>
      <c r="H13" s="309">
        <v>1500</v>
      </c>
      <c r="I13" s="294">
        <f t="shared" si="21"/>
        <v>0.27272727272727271</v>
      </c>
      <c r="J13" s="310">
        <v>68</v>
      </c>
      <c r="K13" s="310">
        <v>50</v>
      </c>
      <c r="L13" s="32">
        <f t="shared" si="0"/>
        <v>75000</v>
      </c>
      <c r="M13" s="33">
        <f>IF(H13=0," ",J13*H13)</f>
        <v>102000</v>
      </c>
      <c r="N13" s="8">
        <f>IF(M13=" "," ",M13/12)</f>
        <v>8500</v>
      </c>
      <c r="O13" s="274"/>
      <c r="P13" s="384">
        <f t="shared" si="22"/>
        <v>68</v>
      </c>
      <c r="Q13" s="382">
        <f t="shared" si="3"/>
        <v>68</v>
      </c>
      <c r="R13" s="382">
        <f t="shared" si="3"/>
        <v>68</v>
      </c>
      <c r="S13" s="382">
        <f t="shared" si="3"/>
        <v>68</v>
      </c>
      <c r="T13" s="382">
        <f t="shared" si="3"/>
        <v>68</v>
      </c>
      <c r="U13" s="382">
        <f t="shared" si="3"/>
        <v>68</v>
      </c>
      <c r="V13" s="382">
        <f t="shared" si="3"/>
        <v>68</v>
      </c>
      <c r="W13" s="382">
        <f t="shared" si="3"/>
        <v>68</v>
      </c>
      <c r="X13" s="382">
        <f t="shared" si="3"/>
        <v>68</v>
      </c>
      <c r="Y13" s="382">
        <f t="shared" si="3"/>
        <v>68</v>
      </c>
      <c r="Z13" s="382">
        <f t="shared" si="3"/>
        <v>68</v>
      </c>
      <c r="AA13" s="382">
        <f t="shared" si="3"/>
        <v>68</v>
      </c>
      <c r="AB13" s="295">
        <f t="shared" si="23"/>
        <v>68</v>
      </c>
      <c r="AC13" s="381">
        <f t="shared" si="4"/>
        <v>68</v>
      </c>
      <c r="AD13" s="382">
        <f t="shared" si="24"/>
        <v>68</v>
      </c>
      <c r="AE13" s="382">
        <f t="shared" si="24"/>
        <v>68</v>
      </c>
      <c r="AF13" s="382">
        <f t="shared" si="24"/>
        <v>68</v>
      </c>
      <c r="AG13" s="382">
        <f t="shared" si="24"/>
        <v>68</v>
      </c>
      <c r="AH13" s="382">
        <f t="shared" si="24"/>
        <v>68</v>
      </c>
      <c r="AI13" s="382">
        <f t="shared" si="24"/>
        <v>68</v>
      </c>
      <c r="AJ13" s="382">
        <f t="shared" si="24"/>
        <v>68</v>
      </c>
      <c r="AK13" s="382">
        <f t="shared" si="24"/>
        <v>68</v>
      </c>
      <c r="AL13" s="382">
        <f t="shared" si="24"/>
        <v>68</v>
      </c>
      <c r="AM13" s="382">
        <f t="shared" si="24"/>
        <v>68</v>
      </c>
      <c r="AN13" s="383">
        <f t="shared" si="24"/>
        <v>68</v>
      </c>
      <c r="AO13" s="295">
        <f t="shared" si="25"/>
        <v>68</v>
      </c>
      <c r="AP13" s="381">
        <f t="shared" si="6"/>
        <v>68</v>
      </c>
      <c r="AQ13" s="382">
        <f t="shared" si="26"/>
        <v>68</v>
      </c>
      <c r="AR13" s="382">
        <f t="shared" si="26"/>
        <v>68</v>
      </c>
      <c r="AS13" s="382">
        <f t="shared" si="26"/>
        <v>68</v>
      </c>
      <c r="AT13" s="382">
        <f t="shared" si="26"/>
        <v>68</v>
      </c>
      <c r="AU13" s="382">
        <f t="shared" si="26"/>
        <v>68</v>
      </c>
      <c r="AV13" s="382">
        <f t="shared" si="26"/>
        <v>68</v>
      </c>
      <c r="AW13" s="382">
        <f t="shared" si="26"/>
        <v>68</v>
      </c>
      <c r="AX13" s="382">
        <f t="shared" si="26"/>
        <v>68</v>
      </c>
      <c r="AY13" s="382">
        <f t="shared" si="26"/>
        <v>68</v>
      </c>
      <c r="AZ13" s="382">
        <f t="shared" si="26"/>
        <v>68</v>
      </c>
      <c r="BA13" s="383">
        <f t="shared" si="26"/>
        <v>68</v>
      </c>
      <c r="BB13" s="295">
        <f t="shared" si="27"/>
        <v>68</v>
      </c>
      <c r="BC13" s="381">
        <f t="shared" si="8"/>
        <v>68</v>
      </c>
      <c r="BD13" s="382">
        <f t="shared" si="28"/>
        <v>68</v>
      </c>
      <c r="BE13" s="382">
        <f t="shared" si="28"/>
        <v>68</v>
      </c>
      <c r="BF13" s="382">
        <f t="shared" si="28"/>
        <v>68</v>
      </c>
      <c r="BG13" s="382">
        <f t="shared" si="28"/>
        <v>68</v>
      </c>
      <c r="BH13" s="382">
        <f t="shared" si="28"/>
        <v>68</v>
      </c>
      <c r="BI13" s="382">
        <f t="shared" si="28"/>
        <v>68</v>
      </c>
      <c r="BJ13" s="382">
        <f t="shared" si="28"/>
        <v>68</v>
      </c>
      <c r="BK13" s="382">
        <f t="shared" si="28"/>
        <v>68</v>
      </c>
      <c r="BL13" s="382">
        <f t="shared" si="28"/>
        <v>68</v>
      </c>
      <c r="BM13" s="382">
        <f t="shared" si="28"/>
        <v>68</v>
      </c>
      <c r="BN13" s="383">
        <f t="shared" si="28"/>
        <v>68</v>
      </c>
      <c r="BO13" s="295">
        <f t="shared" si="29"/>
        <v>68</v>
      </c>
      <c r="BP13" s="381">
        <f t="shared" si="10"/>
        <v>68</v>
      </c>
      <c r="BQ13" s="382">
        <f t="shared" si="30"/>
        <v>68</v>
      </c>
      <c r="BR13" s="382">
        <f t="shared" si="30"/>
        <v>68</v>
      </c>
      <c r="BS13" s="382">
        <f t="shared" si="30"/>
        <v>68</v>
      </c>
      <c r="BT13" s="382">
        <f t="shared" si="30"/>
        <v>68</v>
      </c>
      <c r="BU13" s="382">
        <f t="shared" si="30"/>
        <v>68</v>
      </c>
      <c r="BV13" s="382">
        <f t="shared" si="30"/>
        <v>68</v>
      </c>
      <c r="BW13" s="382">
        <f t="shared" si="30"/>
        <v>68</v>
      </c>
      <c r="BX13" s="382">
        <f t="shared" si="30"/>
        <v>68</v>
      </c>
      <c r="BY13" s="382">
        <f t="shared" si="30"/>
        <v>68</v>
      </c>
      <c r="BZ13" s="382">
        <f t="shared" si="30"/>
        <v>68</v>
      </c>
      <c r="CA13" s="383">
        <f t="shared" si="30"/>
        <v>68</v>
      </c>
      <c r="CB13" s="295">
        <f t="shared" si="31"/>
        <v>68</v>
      </c>
      <c r="CC13" s="381">
        <f t="shared" si="12"/>
        <v>68</v>
      </c>
      <c r="CD13" s="382">
        <f t="shared" si="32"/>
        <v>68</v>
      </c>
      <c r="CE13" s="382">
        <f t="shared" si="32"/>
        <v>68</v>
      </c>
      <c r="CF13" s="382">
        <f t="shared" si="32"/>
        <v>68</v>
      </c>
      <c r="CG13" s="382">
        <f t="shared" si="32"/>
        <v>68</v>
      </c>
      <c r="CH13" s="382">
        <f t="shared" si="32"/>
        <v>68</v>
      </c>
      <c r="CI13" s="382">
        <f t="shared" si="32"/>
        <v>68</v>
      </c>
      <c r="CJ13" s="382">
        <f t="shared" si="32"/>
        <v>68</v>
      </c>
      <c r="CK13" s="382">
        <f t="shared" si="32"/>
        <v>68</v>
      </c>
      <c r="CL13" s="382">
        <f t="shared" si="32"/>
        <v>68</v>
      </c>
      <c r="CM13" s="382">
        <f t="shared" si="32"/>
        <v>68</v>
      </c>
      <c r="CN13" s="383">
        <f t="shared" si="32"/>
        <v>68</v>
      </c>
      <c r="CO13" s="311">
        <f t="shared" si="33"/>
        <v>68</v>
      </c>
      <c r="CP13" s="381">
        <f t="shared" si="14"/>
        <v>68</v>
      </c>
      <c r="CQ13" s="382">
        <f t="shared" si="34"/>
        <v>68</v>
      </c>
      <c r="CR13" s="382">
        <f t="shared" si="34"/>
        <v>68</v>
      </c>
      <c r="CS13" s="382">
        <f t="shared" si="34"/>
        <v>68</v>
      </c>
      <c r="CT13" s="382">
        <f t="shared" si="34"/>
        <v>68</v>
      </c>
      <c r="CU13" s="382">
        <f t="shared" si="34"/>
        <v>68</v>
      </c>
      <c r="CV13" s="382">
        <f t="shared" si="34"/>
        <v>68</v>
      </c>
      <c r="CW13" s="382">
        <f t="shared" si="34"/>
        <v>68</v>
      </c>
      <c r="CX13" s="382">
        <f t="shared" si="34"/>
        <v>68</v>
      </c>
      <c r="CY13" s="382">
        <f t="shared" si="34"/>
        <v>68</v>
      </c>
      <c r="CZ13" s="382">
        <f t="shared" si="34"/>
        <v>68</v>
      </c>
      <c r="DA13" s="383">
        <f t="shared" si="34"/>
        <v>68</v>
      </c>
      <c r="DB13" s="295">
        <f t="shared" si="35"/>
        <v>68</v>
      </c>
      <c r="DD13" s="378">
        <f t="shared" si="16"/>
        <v>102000</v>
      </c>
      <c r="DE13" s="379">
        <f t="shared" si="17"/>
        <v>102000</v>
      </c>
      <c r="DF13" s="379">
        <f t="shared" si="18"/>
        <v>102000</v>
      </c>
      <c r="DG13" s="379">
        <f t="shared" si="19"/>
        <v>102000</v>
      </c>
      <c r="DH13" s="379">
        <f t="shared" si="20"/>
        <v>102000</v>
      </c>
      <c r="DI13" s="379">
        <f t="shared" si="36"/>
        <v>102000</v>
      </c>
      <c r="DJ13" s="380">
        <f t="shared" si="37"/>
        <v>102000</v>
      </c>
      <c r="DK13" s="2"/>
    </row>
    <row r="14" spans="2:115">
      <c r="B14" s="307" t="s">
        <v>181</v>
      </c>
      <c r="C14" s="308" t="s">
        <v>181</v>
      </c>
      <c r="D14" s="389" t="s">
        <v>181</v>
      </c>
      <c r="E14" s="390">
        <v>0.01</v>
      </c>
      <c r="F14" s="307"/>
      <c r="G14" s="308"/>
      <c r="H14" s="309"/>
      <c r="I14" s="294">
        <f t="shared" si="21"/>
        <v>0</v>
      </c>
      <c r="J14" s="310"/>
      <c r="K14" s="310">
        <v>0</v>
      </c>
      <c r="L14" s="32" t="str">
        <f t="shared" si="0"/>
        <v xml:space="preserve"> </v>
      </c>
      <c r="M14" s="33" t="str">
        <f t="shared" ref="M14:M27" si="38">IF(H14=0," ",J14*H14)</f>
        <v xml:space="preserve"> </v>
      </c>
      <c r="N14" s="8" t="str">
        <f t="shared" ref="N14:N27" si="39">IF(M14=" "," ",M14/12)</f>
        <v xml:space="preserve"> </v>
      </c>
      <c r="O14" s="274"/>
      <c r="P14" s="384">
        <f t="shared" si="22"/>
        <v>0</v>
      </c>
      <c r="Q14" s="382">
        <f t="shared" si="3"/>
        <v>0</v>
      </c>
      <c r="R14" s="382">
        <f t="shared" si="3"/>
        <v>0</v>
      </c>
      <c r="S14" s="382">
        <f t="shared" si="3"/>
        <v>0</v>
      </c>
      <c r="T14" s="382">
        <f t="shared" si="3"/>
        <v>0</v>
      </c>
      <c r="U14" s="382">
        <f t="shared" si="3"/>
        <v>0</v>
      </c>
      <c r="V14" s="382">
        <f t="shared" si="3"/>
        <v>0</v>
      </c>
      <c r="W14" s="382">
        <f t="shared" si="3"/>
        <v>0</v>
      </c>
      <c r="X14" s="382">
        <f t="shared" si="3"/>
        <v>0</v>
      </c>
      <c r="Y14" s="382">
        <f t="shared" si="3"/>
        <v>0</v>
      </c>
      <c r="Z14" s="382">
        <f t="shared" si="3"/>
        <v>0</v>
      </c>
      <c r="AA14" s="382">
        <f t="shared" si="3"/>
        <v>0</v>
      </c>
      <c r="AB14" s="295">
        <f t="shared" si="23"/>
        <v>0</v>
      </c>
      <c r="AC14" s="381">
        <f t="shared" si="4"/>
        <v>0</v>
      </c>
      <c r="AD14" s="382">
        <f t="shared" si="24"/>
        <v>0</v>
      </c>
      <c r="AE14" s="382">
        <f t="shared" si="24"/>
        <v>0</v>
      </c>
      <c r="AF14" s="382">
        <f t="shared" si="24"/>
        <v>0</v>
      </c>
      <c r="AG14" s="382">
        <f t="shared" si="24"/>
        <v>0</v>
      </c>
      <c r="AH14" s="382">
        <f t="shared" si="24"/>
        <v>0</v>
      </c>
      <c r="AI14" s="382">
        <f t="shared" si="24"/>
        <v>0</v>
      </c>
      <c r="AJ14" s="382">
        <f t="shared" si="24"/>
        <v>0</v>
      </c>
      <c r="AK14" s="382">
        <f t="shared" si="24"/>
        <v>0</v>
      </c>
      <c r="AL14" s="382">
        <f t="shared" si="24"/>
        <v>0</v>
      </c>
      <c r="AM14" s="382">
        <f t="shared" si="24"/>
        <v>0</v>
      </c>
      <c r="AN14" s="383">
        <f t="shared" si="24"/>
        <v>0</v>
      </c>
      <c r="AO14" s="295">
        <f t="shared" si="25"/>
        <v>0</v>
      </c>
      <c r="AP14" s="381">
        <f t="shared" si="6"/>
        <v>0</v>
      </c>
      <c r="AQ14" s="382">
        <f t="shared" si="26"/>
        <v>0</v>
      </c>
      <c r="AR14" s="382">
        <f t="shared" si="26"/>
        <v>0</v>
      </c>
      <c r="AS14" s="382">
        <f t="shared" si="26"/>
        <v>0</v>
      </c>
      <c r="AT14" s="382">
        <f t="shared" si="26"/>
        <v>0</v>
      </c>
      <c r="AU14" s="382">
        <f t="shared" si="26"/>
        <v>0</v>
      </c>
      <c r="AV14" s="382">
        <f t="shared" si="26"/>
        <v>0</v>
      </c>
      <c r="AW14" s="382">
        <f t="shared" si="26"/>
        <v>0</v>
      </c>
      <c r="AX14" s="382">
        <f t="shared" si="26"/>
        <v>0</v>
      </c>
      <c r="AY14" s="382">
        <f t="shared" si="26"/>
        <v>0</v>
      </c>
      <c r="AZ14" s="382">
        <f t="shared" si="26"/>
        <v>0</v>
      </c>
      <c r="BA14" s="383">
        <f t="shared" si="26"/>
        <v>0</v>
      </c>
      <c r="BB14" s="295">
        <f t="shared" si="27"/>
        <v>0</v>
      </c>
      <c r="BC14" s="381">
        <f t="shared" si="8"/>
        <v>0</v>
      </c>
      <c r="BD14" s="382">
        <f t="shared" si="28"/>
        <v>0</v>
      </c>
      <c r="BE14" s="382">
        <f t="shared" si="28"/>
        <v>0</v>
      </c>
      <c r="BF14" s="382">
        <f t="shared" si="28"/>
        <v>0</v>
      </c>
      <c r="BG14" s="382">
        <f t="shared" si="28"/>
        <v>0</v>
      </c>
      <c r="BH14" s="382">
        <f t="shared" si="28"/>
        <v>0</v>
      </c>
      <c r="BI14" s="382">
        <f t="shared" si="28"/>
        <v>0</v>
      </c>
      <c r="BJ14" s="382">
        <f t="shared" si="28"/>
        <v>0</v>
      </c>
      <c r="BK14" s="382">
        <f t="shared" si="28"/>
        <v>0</v>
      </c>
      <c r="BL14" s="382">
        <f t="shared" si="28"/>
        <v>0</v>
      </c>
      <c r="BM14" s="382">
        <f t="shared" si="28"/>
        <v>0</v>
      </c>
      <c r="BN14" s="383">
        <f t="shared" si="28"/>
        <v>0</v>
      </c>
      <c r="BO14" s="295">
        <f t="shared" si="29"/>
        <v>0</v>
      </c>
      <c r="BP14" s="381">
        <f t="shared" si="10"/>
        <v>0</v>
      </c>
      <c r="BQ14" s="382">
        <f t="shared" si="30"/>
        <v>0</v>
      </c>
      <c r="BR14" s="382">
        <f t="shared" si="30"/>
        <v>0</v>
      </c>
      <c r="BS14" s="382">
        <f t="shared" si="30"/>
        <v>0</v>
      </c>
      <c r="BT14" s="382">
        <f t="shared" si="30"/>
        <v>0</v>
      </c>
      <c r="BU14" s="382">
        <f t="shared" si="30"/>
        <v>0</v>
      </c>
      <c r="BV14" s="382">
        <f t="shared" si="30"/>
        <v>0</v>
      </c>
      <c r="BW14" s="382">
        <f t="shared" si="30"/>
        <v>0</v>
      </c>
      <c r="BX14" s="382">
        <f t="shared" si="30"/>
        <v>0</v>
      </c>
      <c r="BY14" s="382">
        <f t="shared" si="30"/>
        <v>0</v>
      </c>
      <c r="BZ14" s="382">
        <f t="shared" si="30"/>
        <v>0</v>
      </c>
      <c r="CA14" s="383">
        <f t="shared" si="30"/>
        <v>0</v>
      </c>
      <c r="CB14" s="295">
        <f t="shared" si="31"/>
        <v>0</v>
      </c>
      <c r="CC14" s="381">
        <f t="shared" si="12"/>
        <v>0</v>
      </c>
      <c r="CD14" s="382">
        <f t="shared" si="32"/>
        <v>0</v>
      </c>
      <c r="CE14" s="382">
        <f t="shared" si="32"/>
        <v>0</v>
      </c>
      <c r="CF14" s="382">
        <f t="shared" si="32"/>
        <v>0</v>
      </c>
      <c r="CG14" s="382">
        <f t="shared" si="32"/>
        <v>0</v>
      </c>
      <c r="CH14" s="382">
        <f t="shared" si="32"/>
        <v>0</v>
      </c>
      <c r="CI14" s="382">
        <f t="shared" si="32"/>
        <v>0</v>
      </c>
      <c r="CJ14" s="382">
        <f t="shared" si="32"/>
        <v>0</v>
      </c>
      <c r="CK14" s="382">
        <f t="shared" si="32"/>
        <v>0</v>
      </c>
      <c r="CL14" s="382">
        <f t="shared" si="32"/>
        <v>0</v>
      </c>
      <c r="CM14" s="382">
        <f t="shared" si="32"/>
        <v>0</v>
      </c>
      <c r="CN14" s="383">
        <f t="shared" si="32"/>
        <v>0</v>
      </c>
      <c r="CO14" s="311">
        <f t="shared" si="33"/>
        <v>0</v>
      </c>
      <c r="CP14" s="381">
        <f t="shared" si="14"/>
        <v>0</v>
      </c>
      <c r="CQ14" s="382">
        <f t="shared" si="34"/>
        <v>0</v>
      </c>
      <c r="CR14" s="382">
        <f t="shared" si="34"/>
        <v>0</v>
      </c>
      <c r="CS14" s="382">
        <f t="shared" si="34"/>
        <v>0</v>
      </c>
      <c r="CT14" s="382">
        <f t="shared" si="34"/>
        <v>0</v>
      </c>
      <c r="CU14" s="382">
        <f t="shared" si="34"/>
        <v>0</v>
      </c>
      <c r="CV14" s="382">
        <f t="shared" si="34"/>
        <v>0</v>
      </c>
      <c r="CW14" s="382">
        <f t="shared" si="34"/>
        <v>0</v>
      </c>
      <c r="CX14" s="382">
        <f t="shared" si="34"/>
        <v>0</v>
      </c>
      <c r="CY14" s="382">
        <f t="shared" si="34"/>
        <v>0</v>
      </c>
      <c r="CZ14" s="382">
        <f t="shared" si="34"/>
        <v>0</v>
      </c>
      <c r="DA14" s="383">
        <f t="shared" si="34"/>
        <v>0</v>
      </c>
      <c r="DB14" s="295">
        <f t="shared" si="35"/>
        <v>0</v>
      </c>
      <c r="DD14" s="378">
        <f t="shared" si="16"/>
        <v>0</v>
      </c>
      <c r="DE14" s="379">
        <f t="shared" si="17"/>
        <v>0</v>
      </c>
      <c r="DF14" s="379">
        <f t="shared" si="18"/>
        <v>0</v>
      </c>
      <c r="DG14" s="379">
        <f t="shared" si="19"/>
        <v>0</v>
      </c>
      <c r="DH14" s="379">
        <f t="shared" si="20"/>
        <v>0</v>
      </c>
      <c r="DI14" s="379">
        <f t="shared" si="36"/>
        <v>0</v>
      </c>
      <c r="DJ14" s="380">
        <f t="shared" si="37"/>
        <v>0</v>
      </c>
      <c r="DK14" s="2"/>
    </row>
    <row r="15" spans="2:115">
      <c r="B15" s="307" t="s">
        <v>181</v>
      </c>
      <c r="C15" s="308" t="s">
        <v>181</v>
      </c>
      <c r="D15" s="389" t="s">
        <v>181</v>
      </c>
      <c r="E15" s="390">
        <v>0.02</v>
      </c>
      <c r="F15" s="307"/>
      <c r="G15" s="308"/>
      <c r="H15" s="309"/>
      <c r="I15" s="294">
        <f t="shared" si="21"/>
        <v>0</v>
      </c>
      <c r="J15" s="310"/>
      <c r="K15" s="310">
        <v>0</v>
      </c>
      <c r="L15" s="32" t="str">
        <f t="shared" si="0"/>
        <v xml:space="preserve"> </v>
      </c>
      <c r="M15" s="33" t="str">
        <f t="shared" si="38"/>
        <v xml:space="preserve"> </v>
      </c>
      <c r="N15" s="8" t="str">
        <f t="shared" si="39"/>
        <v xml:space="preserve"> </v>
      </c>
      <c r="O15" s="274"/>
      <c r="P15" s="384">
        <f t="shared" si="22"/>
        <v>0</v>
      </c>
      <c r="Q15" s="382">
        <f t="shared" si="3"/>
        <v>0</v>
      </c>
      <c r="R15" s="382">
        <f t="shared" si="3"/>
        <v>0</v>
      </c>
      <c r="S15" s="382">
        <f t="shared" si="3"/>
        <v>0</v>
      </c>
      <c r="T15" s="382">
        <f t="shared" si="3"/>
        <v>0</v>
      </c>
      <c r="U15" s="382">
        <f t="shared" si="3"/>
        <v>0</v>
      </c>
      <c r="V15" s="382">
        <f t="shared" si="3"/>
        <v>0</v>
      </c>
      <c r="W15" s="382">
        <f t="shared" si="3"/>
        <v>0</v>
      </c>
      <c r="X15" s="382">
        <f t="shared" si="3"/>
        <v>0</v>
      </c>
      <c r="Y15" s="382">
        <f t="shared" si="3"/>
        <v>0</v>
      </c>
      <c r="Z15" s="382">
        <f t="shared" si="3"/>
        <v>0</v>
      </c>
      <c r="AA15" s="382">
        <f t="shared" si="3"/>
        <v>0</v>
      </c>
      <c r="AB15" s="295">
        <f t="shared" si="23"/>
        <v>0</v>
      </c>
      <c r="AC15" s="381">
        <f t="shared" si="4"/>
        <v>0</v>
      </c>
      <c r="AD15" s="382">
        <f t="shared" si="24"/>
        <v>0</v>
      </c>
      <c r="AE15" s="382">
        <f t="shared" si="24"/>
        <v>0</v>
      </c>
      <c r="AF15" s="382">
        <f t="shared" si="24"/>
        <v>0</v>
      </c>
      <c r="AG15" s="382">
        <f t="shared" si="24"/>
        <v>0</v>
      </c>
      <c r="AH15" s="382">
        <f t="shared" si="24"/>
        <v>0</v>
      </c>
      <c r="AI15" s="382">
        <f t="shared" si="24"/>
        <v>0</v>
      </c>
      <c r="AJ15" s="382">
        <f t="shared" si="24"/>
        <v>0</v>
      </c>
      <c r="AK15" s="382">
        <f t="shared" si="24"/>
        <v>0</v>
      </c>
      <c r="AL15" s="382">
        <f t="shared" si="24"/>
        <v>0</v>
      </c>
      <c r="AM15" s="382">
        <f t="shared" si="24"/>
        <v>0</v>
      </c>
      <c r="AN15" s="383">
        <f t="shared" si="24"/>
        <v>0</v>
      </c>
      <c r="AO15" s="295">
        <f t="shared" si="25"/>
        <v>0</v>
      </c>
      <c r="AP15" s="381">
        <f t="shared" si="6"/>
        <v>0</v>
      </c>
      <c r="AQ15" s="382">
        <f t="shared" si="26"/>
        <v>0</v>
      </c>
      <c r="AR15" s="382">
        <f t="shared" si="26"/>
        <v>0</v>
      </c>
      <c r="AS15" s="382">
        <f t="shared" si="26"/>
        <v>0</v>
      </c>
      <c r="AT15" s="382">
        <f t="shared" si="26"/>
        <v>0</v>
      </c>
      <c r="AU15" s="382">
        <f t="shared" si="26"/>
        <v>0</v>
      </c>
      <c r="AV15" s="382">
        <f t="shared" si="26"/>
        <v>0</v>
      </c>
      <c r="AW15" s="382">
        <f t="shared" si="26"/>
        <v>0</v>
      </c>
      <c r="AX15" s="382">
        <f t="shared" si="26"/>
        <v>0</v>
      </c>
      <c r="AY15" s="382">
        <f t="shared" si="26"/>
        <v>0</v>
      </c>
      <c r="AZ15" s="382">
        <f t="shared" si="26"/>
        <v>0</v>
      </c>
      <c r="BA15" s="383">
        <f t="shared" si="26"/>
        <v>0</v>
      </c>
      <c r="BB15" s="295">
        <f t="shared" si="27"/>
        <v>0</v>
      </c>
      <c r="BC15" s="381">
        <f t="shared" si="8"/>
        <v>0</v>
      </c>
      <c r="BD15" s="382">
        <f t="shared" si="28"/>
        <v>0</v>
      </c>
      <c r="BE15" s="382">
        <f t="shared" si="28"/>
        <v>0</v>
      </c>
      <c r="BF15" s="382">
        <f t="shared" si="28"/>
        <v>0</v>
      </c>
      <c r="BG15" s="382">
        <f t="shared" si="28"/>
        <v>0</v>
      </c>
      <c r="BH15" s="382">
        <f t="shared" si="28"/>
        <v>0</v>
      </c>
      <c r="BI15" s="382">
        <f t="shared" si="28"/>
        <v>0</v>
      </c>
      <c r="BJ15" s="382">
        <f t="shared" si="28"/>
        <v>0</v>
      </c>
      <c r="BK15" s="382">
        <f t="shared" si="28"/>
        <v>0</v>
      </c>
      <c r="BL15" s="382">
        <f t="shared" si="28"/>
        <v>0</v>
      </c>
      <c r="BM15" s="382">
        <f t="shared" si="28"/>
        <v>0</v>
      </c>
      <c r="BN15" s="383">
        <f t="shared" si="28"/>
        <v>0</v>
      </c>
      <c r="BO15" s="295">
        <f t="shared" si="29"/>
        <v>0</v>
      </c>
      <c r="BP15" s="381">
        <f t="shared" si="10"/>
        <v>0</v>
      </c>
      <c r="BQ15" s="382">
        <f t="shared" si="30"/>
        <v>0</v>
      </c>
      <c r="BR15" s="382">
        <f t="shared" si="30"/>
        <v>0</v>
      </c>
      <c r="BS15" s="382">
        <f t="shared" si="30"/>
        <v>0</v>
      </c>
      <c r="BT15" s="382">
        <f t="shared" si="30"/>
        <v>0</v>
      </c>
      <c r="BU15" s="382">
        <f t="shared" si="30"/>
        <v>0</v>
      </c>
      <c r="BV15" s="382">
        <f t="shared" si="30"/>
        <v>0</v>
      </c>
      <c r="BW15" s="382">
        <f t="shared" si="30"/>
        <v>0</v>
      </c>
      <c r="BX15" s="382">
        <f t="shared" si="30"/>
        <v>0</v>
      </c>
      <c r="BY15" s="382">
        <f t="shared" si="30"/>
        <v>0</v>
      </c>
      <c r="BZ15" s="382">
        <f t="shared" si="30"/>
        <v>0</v>
      </c>
      <c r="CA15" s="383">
        <f t="shared" si="30"/>
        <v>0</v>
      </c>
      <c r="CB15" s="295">
        <f t="shared" si="31"/>
        <v>0</v>
      </c>
      <c r="CC15" s="381">
        <f t="shared" si="12"/>
        <v>0</v>
      </c>
      <c r="CD15" s="382">
        <f t="shared" si="32"/>
        <v>0</v>
      </c>
      <c r="CE15" s="382">
        <f t="shared" si="32"/>
        <v>0</v>
      </c>
      <c r="CF15" s="382">
        <f t="shared" si="32"/>
        <v>0</v>
      </c>
      <c r="CG15" s="382">
        <f t="shared" si="32"/>
        <v>0</v>
      </c>
      <c r="CH15" s="382">
        <f t="shared" si="32"/>
        <v>0</v>
      </c>
      <c r="CI15" s="382">
        <f t="shared" si="32"/>
        <v>0</v>
      </c>
      <c r="CJ15" s="382">
        <f t="shared" si="32"/>
        <v>0</v>
      </c>
      <c r="CK15" s="382">
        <f t="shared" si="32"/>
        <v>0</v>
      </c>
      <c r="CL15" s="382">
        <f t="shared" si="32"/>
        <v>0</v>
      </c>
      <c r="CM15" s="382">
        <f t="shared" si="32"/>
        <v>0</v>
      </c>
      <c r="CN15" s="383">
        <f t="shared" si="32"/>
        <v>0</v>
      </c>
      <c r="CO15" s="311">
        <f t="shared" si="33"/>
        <v>0</v>
      </c>
      <c r="CP15" s="381">
        <f t="shared" si="14"/>
        <v>0</v>
      </c>
      <c r="CQ15" s="382">
        <f t="shared" si="34"/>
        <v>0</v>
      </c>
      <c r="CR15" s="382">
        <f t="shared" si="34"/>
        <v>0</v>
      </c>
      <c r="CS15" s="382">
        <f t="shared" si="34"/>
        <v>0</v>
      </c>
      <c r="CT15" s="382">
        <f t="shared" si="34"/>
        <v>0</v>
      </c>
      <c r="CU15" s="382">
        <f t="shared" si="34"/>
        <v>0</v>
      </c>
      <c r="CV15" s="382">
        <f t="shared" si="34"/>
        <v>0</v>
      </c>
      <c r="CW15" s="382">
        <f t="shared" si="34"/>
        <v>0</v>
      </c>
      <c r="CX15" s="382">
        <f t="shared" si="34"/>
        <v>0</v>
      </c>
      <c r="CY15" s="382">
        <f t="shared" si="34"/>
        <v>0</v>
      </c>
      <c r="CZ15" s="382">
        <f t="shared" si="34"/>
        <v>0</v>
      </c>
      <c r="DA15" s="383">
        <f t="shared" si="34"/>
        <v>0</v>
      </c>
      <c r="DB15" s="295">
        <f t="shared" si="35"/>
        <v>0</v>
      </c>
      <c r="DD15" s="378">
        <f t="shared" si="16"/>
        <v>0</v>
      </c>
      <c r="DE15" s="379">
        <f t="shared" si="17"/>
        <v>0</v>
      </c>
      <c r="DF15" s="379">
        <f t="shared" si="18"/>
        <v>0</v>
      </c>
      <c r="DG15" s="379">
        <f t="shared" si="19"/>
        <v>0</v>
      </c>
      <c r="DH15" s="379">
        <f t="shared" si="20"/>
        <v>0</v>
      </c>
      <c r="DI15" s="379">
        <f t="shared" si="36"/>
        <v>0</v>
      </c>
      <c r="DJ15" s="380">
        <f t="shared" si="37"/>
        <v>0</v>
      </c>
      <c r="DK15" s="2"/>
    </row>
    <row r="16" spans="2:115">
      <c r="B16" s="307" t="s">
        <v>181</v>
      </c>
      <c r="C16" s="308" t="s">
        <v>181</v>
      </c>
      <c r="D16" s="389" t="s">
        <v>181</v>
      </c>
      <c r="E16" s="390">
        <v>0.01</v>
      </c>
      <c r="F16" s="307"/>
      <c r="G16" s="308"/>
      <c r="H16" s="309"/>
      <c r="I16" s="294">
        <f t="shared" si="21"/>
        <v>0</v>
      </c>
      <c r="J16" s="310"/>
      <c r="K16" s="310">
        <v>0</v>
      </c>
      <c r="L16" s="32" t="str">
        <f t="shared" si="0"/>
        <v xml:space="preserve"> </v>
      </c>
      <c r="M16" s="33" t="str">
        <f t="shared" si="38"/>
        <v xml:space="preserve"> </v>
      </c>
      <c r="N16" s="8" t="str">
        <f t="shared" si="39"/>
        <v xml:space="preserve"> </v>
      </c>
      <c r="O16" s="274"/>
      <c r="P16" s="384">
        <f t="shared" si="22"/>
        <v>0</v>
      </c>
      <c r="Q16" s="382">
        <f t="shared" si="3"/>
        <v>0</v>
      </c>
      <c r="R16" s="382">
        <f t="shared" si="3"/>
        <v>0</v>
      </c>
      <c r="S16" s="382">
        <f t="shared" si="3"/>
        <v>0</v>
      </c>
      <c r="T16" s="382">
        <f t="shared" si="3"/>
        <v>0</v>
      </c>
      <c r="U16" s="382">
        <f t="shared" si="3"/>
        <v>0</v>
      </c>
      <c r="V16" s="382">
        <f t="shared" si="3"/>
        <v>0</v>
      </c>
      <c r="W16" s="382">
        <f t="shared" si="3"/>
        <v>0</v>
      </c>
      <c r="X16" s="382">
        <f t="shared" si="3"/>
        <v>0</v>
      </c>
      <c r="Y16" s="382">
        <f t="shared" si="3"/>
        <v>0</v>
      </c>
      <c r="Z16" s="382">
        <f t="shared" si="3"/>
        <v>0</v>
      </c>
      <c r="AA16" s="382">
        <f t="shared" si="3"/>
        <v>0</v>
      </c>
      <c r="AB16" s="295">
        <f t="shared" si="23"/>
        <v>0</v>
      </c>
      <c r="AC16" s="381">
        <f t="shared" si="4"/>
        <v>0</v>
      </c>
      <c r="AD16" s="382">
        <f t="shared" si="24"/>
        <v>0</v>
      </c>
      <c r="AE16" s="382">
        <f t="shared" si="24"/>
        <v>0</v>
      </c>
      <c r="AF16" s="382">
        <f t="shared" si="24"/>
        <v>0</v>
      </c>
      <c r="AG16" s="382">
        <f t="shared" si="24"/>
        <v>0</v>
      </c>
      <c r="AH16" s="382">
        <f t="shared" si="24"/>
        <v>0</v>
      </c>
      <c r="AI16" s="382">
        <f t="shared" si="24"/>
        <v>0</v>
      </c>
      <c r="AJ16" s="382">
        <f t="shared" si="24"/>
        <v>0</v>
      </c>
      <c r="AK16" s="382">
        <f t="shared" si="24"/>
        <v>0</v>
      </c>
      <c r="AL16" s="382">
        <f t="shared" si="24"/>
        <v>0</v>
      </c>
      <c r="AM16" s="382">
        <f t="shared" si="24"/>
        <v>0</v>
      </c>
      <c r="AN16" s="383">
        <f t="shared" si="24"/>
        <v>0</v>
      </c>
      <c r="AO16" s="295">
        <f t="shared" si="25"/>
        <v>0</v>
      </c>
      <c r="AP16" s="381">
        <f t="shared" si="6"/>
        <v>0</v>
      </c>
      <c r="AQ16" s="382">
        <f t="shared" si="26"/>
        <v>0</v>
      </c>
      <c r="AR16" s="382">
        <f t="shared" si="26"/>
        <v>0</v>
      </c>
      <c r="AS16" s="382">
        <f t="shared" si="26"/>
        <v>0</v>
      </c>
      <c r="AT16" s="382">
        <f t="shared" si="26"/>
        <v>0</v>
      </c>
      <c r="AU16" s="382">
        <f t="shared" si="26"/>
        <v>0</v>
      </c>
      <c r="AV16" s="382">
        <f t="shared" si="26"/>
        <v>0</v>
      </c>
      <c r="AW16" s="382">
        <f t="shared" si="26"/>
        <v>0</v>
      </c>
      <c r="AX16" s="382">
        <f t="shared" si="26"/>
        <v>0</v>
      </c>
      <c r="AY16" s="382">
        <f t="shared" si="26"/>
        <v>0</v>
      </c>
      <c r="AZ16" s="382">
        <f t="shared" si="26"/>
        <v>0</v>
      </c>
      <c r="BA16" s="383">
        <f t="shared" si="26"/>
        <v>0</v>
      </c>
      <c r="BB16" s="295">
        <f t="shared" si="27"/>
        <v>0</v>
      </c>
      <c r="BC16" s="381">
        <f t="shared" si="8"/>
        <v>0</v>
      </c>
      <c r="BD16" s="382">
        <f t="shared" si="28"/>
        <v>0</v>
      </c>
      <c r="BE16" s="382">
        <f t="shared" si="28"/>
        <v>0</v>
      </c>
      <c r="BF16" s="382">
        <f t="shared" si="28"/>
        <v>0</v>
      </c>
      <c r="BG16" s="382">
        <f t="shared" si="28"/>
        <v>0</v>
      </c>
      <c r="BH16" s="382">
        <f t="shared" si="28"/>
        <v>0</v>
      </c>
      <c r="BI16" s="382">
        <f t="shared" si="28"/>
        <v>0</v>
      </c>
      <c r="BJ16" s="382">
        <f t="shared" si="28"/>
        <v>0</v>
      </c>
      <c r="BK16" s="382">
        <f t="shared" si="28"/>
        <v>0</v>
      </c>
      <c r="BL16" s="382">
        <f t="shared" si="28"/>
        <v>0</v>
      </c>
      <c r="BM16" s="382">
        <f t="shared" si="28"/>
        <v>0</v>
      </c>
      <c r="BN16" s="383">
        <f t="shared" si="28"/>
        <v>0</v>
      </c>
      <c r="BO16" s="295">
        <f t="shared" si="29"/>
        <v>0</v>
      </c>
      <c r="BP16" s="381">
        <f t="shared" si="10"/>
        <v>0</v>
      </c>
      <c r="BQ16" s="382">
        <f t="shared" si="30"/>
        <v>0</v>
      </c>
      <c r="BR16" s="382">
        <f t="shared" si="30"/>
        <v>0</v>
      </c>
      <c r="BS16" s="382">
        <f t="shared" si="30"/>
        <v>0</v>
      </c>
      <c r="BT16" s="382">
        <f t="shared" si="30"/>
        <v>0</v>
      </c>
      <c r="BU16" s="382">
        <f t="shared" si="30"/>
        <v>0</v>
      </c>
      <c r="BV16" s="382">
        <f t="shared" si="30"/>
        <v>0</v>
      </c>
      <c r="BW16" s="382">
        <f t="shared" si="30"/>
        <v>0</v>
      </c>
      <c r="BX16" s="382">
        <f t="shared" si="30"/>
        <v>0</v>
      </c>
      <c r="BY16" s="382">
        <f t="shared" si="30"/>
        <v>0</v>
      </c>
      <c r="BZ16" s="382">
        <f t="shared" si="30"/>
        <v>0</v>
      </c>
      <c r="CA16" s="383">
        <f t="shared" si="30"/>
        <v>0</v>
      </c>
      <c r="CB16" s="295">
        <f t="shared" si="31"/>
        <v>0</v>
      </c>
      <c r="CC16" s="381">
        <f t="shared" si="12"/>
        <v>0</v>
      </c>
      <c r="CD16" s="382">
        <f t="shared" si="32"/>
        <v>0</v>
      </c>
      <c r="CE16" s="382">
        <f t="shared" si="32"/>
        <v>0</v>
      </c>
      <c r="CF16" s="382">
        <f t="shared" si="32"/>
        <v>0</v>
      </c>
      <c r="CG16" s="382">
        <f t="shared" si="32"/>
        <v>0</v>
      </c>
      <c r="CH16" s="382">
        <f t="shared" si="32"/>
        <v>0</v>
      </c>
      <c r="CI16" s="382">
        <f t="shared" si="32"/>
        <v>0</v>
      </c>
      <c r="CJ16" s="382">
        <f t="shared" si="32"/>
        <v>0</v>
      </c>
      <c r="CK16" s="382">
        <f t="shared" si="32"/>
        <v>0</v>
      </c>
      <c r="CL16" s="382">
        <f t="shared" si="32"/>
        <v>0</v>
      </c>
      <c r="CM16" s="382">
        <f t="shared" si="32"/>
        <v>0</v>
      </c>
      <c r="CN16" s="383">
        <f t="shared" si="32"/>
        <v>0</v>
      </c>
      <c r="CO16" s="311">
        <f t="shared" si="33"/>
        <v>0</v>
      </c>
      <c r="CP16" s="381">
        <f t="shared" si="14"/>
        <v>0</v>
      </c>
      <c r="CQ16" s="382">
        <f t="shared" si="34"/>
        <v>0</v>
      </c>
      <c r="CR16" s="382">
        <f t="shared" si="34"/>
        <v>0</v>
      </c>
      <c r="CS16" s="382">
        <f t="shared" si="34"/>
        <v>0</v>
      </c>
      <c r="CT16" s="382">
        <f t="shared" si="34"/>
        <v>0</v>
      </c>
      <c r="CU16" s="382">
        <f t="shared" si="34"/>
        <v>0</v>
      </c>
      <c r="CV16" s="382">
        <f t="shared" si="34"/>
        <v>0</v>
      </c>
      <c r="CW16" s="382">
        <f t="shared" si="34"/>
        <v>0</v>
      </c>
      <c r="CX16" s="382">
        <f t="shared" si="34"/>
        <v>0</v>
      </c>
      <c r="CY16" s="382">
        <f t="shared" si="34"/>
        <v>0</v>
      </c>
      <c r="CZ16" s="382">
        <f t="shared" si="34"/>
        <v>0</v>
      </c>
      <c r="DA16" s="383">
        <f t="shared" si="34"/>
        <v>0</v>
      </c>
      <c r="DB16" s="295">
        <f t="shared" si="35"/>
        <v>0</v>
      </c>
      <c r="DD16" s="378">
        <f t="shared" si="16"/>
        <v>0</v>
      </c>
      <c r="DE16" s="379">
        <f t="shared" si="17"/>
        <v>0</v>
      </c>
      <c r="DF16" s="379">
        <f t="shared" si="18"/>
        <v>0</v>
      </c>
      <c r="DG16" s="379">
        <f t="shared" si="19"/>
        <v>0</v>
      </c>
      <c r="DH16" s="379">
        <f t="shared" si="20"/>
        <v>0</v>
      </c>
      <c r="DI16" s="379">
        <f t="shared" si="36"/>
        <v>0</v>
      </c>
      <c r="DJ16" s="380">
        <f t="shared" si="37"/>
        <v>0</v>
      </c>
    </row>
    <row r="17" spans="2:114">
      <c r="B17" s="307" t="s">
        <v>182</v>
      </c>
      <c r="C17" s="308" t="s">
        <v>182</v>
      </c>
      <c r="D17" s="389" t="s">
        <v>181</v>
      </c>
      <c r="E17" s="390">
        <v>0.01</v>
      </c>
      <c r="F17" s="307"/>
      <c r="G17" s="308"/>
      <c r="H17" s="309"/>
      <c r="I17" s="294">
        <f t="shared" si="21"/>
        <v>0</v>
      </c>
      <c r="J17" s="310"/>
      <c r="K17" s="310">
        <v>0</v>
      </c>
      <c r="L17" s="32" t="str">
        <f t="shared" si="0"/>
        <v xml:space="preserve"> </v>
      </c>
      <c r="M17" s="33" t="str">
        <f t="shared" si="38"/>
        <v xml:space="preserve"> </v>
      </c>
      <c r="N17" s="8" t="str">
        <f t="shared" si="39"/>
        <v xml:space="preserve"> </v>
      </c>
      <c r="O17" s="274"/>
      <c r="P17" s="384">
        <f t="shared" si="22"/>
        <v>0</v>
      </c>
      <c r="Q17" s="382">
        <f t="shared" si="3"/>
        <v>0</v>
      </c>
      <c r="R17" s="382">
        <f t="shared" si="3"/>
        <v>0</v>
      </c>
      <c r="S17" s="382">
        <f t="shared" si="3"/>
        <v>0</v>
      </c>
      <c r="T17" s="382">
        <f t="shared" si="3"/>
        <v>0</v>
      </c>
      <c r="U17" s="382">
        <f t="shared" si="3"/>
        <v>0</v>
      </c>
      <c r="V17" s="382">
        <f t="shared" si="3"/>
        <v>0</v>
      </c>
      <c r="W17" s="382">
        <f t="shared" si="3"/>
        <v>0</v>
      </c>
      <c r="X17" s="382">
        <f t="shared" si="3"/>
        <v>0</v>
      </c>
      <c r="Y17" s="382">
        <f t="shared" si="3"/>
        <v>0</v>
      </c>
      <c r="Z17" s="382">
        <f t="shared" si="3"/>
        <v>0</v>
      </c>
      <c r="AA17" s="382">
        <f t="shared" si="3"/>
        <v>0</v>
      </c>
      <c r="AB17" s="295">
        <f t="shared" si="23"/>
        <v>0</v>
      </c>
      <c r="AC17" s="381">
        <f t="shared" si="4"/>
        <v>0</v>
      </c>
      <c r="AD17" s="382">
        <f t="shared" si="24"/>
        <v>0</v>
      </c>
      <c r="AE17" s="382">
        <f t="shared" si="24"/>
        <v>0</v>
      </c>
      <c r="AF17" s="382">
        <f t="shared" si="24"/>
        <v>0</v>
      </c>
      <c r="AG17" s="382">
        <f t="shared" si="24"/>
        <v>0</v>
      </c>
      <c r="AH17" s="382">
        <f t="shared" si="24"/>
        <v>0</v>
      </c>
      <c r="AI17" s="382">
        <f t="shared" si="24"/>
        <v>0</v>
      </c>
      <c r="AJ17" s="382">
        <f t="shared" si="24"/>
        <v>0</v>
      </c>
      <c r="AK17" s="382">
        <f t="shared" si="24"/>
        <v>0</v>
      </c>
      <c r="AL17" s="382">
        <f t="shared" si="24"/>
        <v>0</v>
      </c>
      <c r="AM17" s="382">
        <f t="shared" si="24"/>
        <v>0</v>
      </c>
      <c r="AN17" s="383">
        <f t="shared" si="24"/>
        <v>0</v>
      </c>
      <c r="AO17" s="295">
        <f t="shared" si="25"/>
        <v>0</v>
      </c>
      <c r="AP17" s="381">
        <f t="shared" si="6"/>
        <v>0</v>
      </c>
      <c r="AQ17" s="382">
        <f t="shared" si="26"/>
        <v>0</v>
      </c>
      <c r="AR17" s="382">
        <f t="shared" si="26"/>
        <v>0</v>
      </c>
      <c r="AS17" s="382">
        <f t="shared" si="26"/>
        <v>0</v>
      </c>
      <c r="AT17" s="382">
        <f t="shared" si="26"/>
        <v>0</v>
      </c>
      <c r="AU17" s="382">
        <f t="shared" si="26"/>
        <v>0</v>
      </c>
      <c r="AV17" s="382">
        <f t="shared" si="26"/>
        <v>0</v>
      </c>
      <c r="AW17" s="382">
        <f t="shared" si="26"/>
        <v>0</v>
      </c>
      <c r="AX17" s="382">
        <f t="shared" si="26"/>
        <v>0</v>
      </c>
      <c r="AY17" s="382">
        <f t="shared" si="26"/>
        <v>0</v>
      </c>
      <c r="AZ17" s="382">
        <f t="shared" si="26"/>
        <v>0</v>
      </c>
      <c r="BA17" s="383">
        <f t="shared" si="26"/>
        <v>0</v>
      </c>
      <c r="BB17" s="295">
        <f t="shared" si="27"/>
        <v>0</v>
      </c>
      <c r="BC17" s="381">
        <f t="shared" si="8"/>
        <v>0</v>
      </c>
      <c r="BD17" s="382">
        <f t="shared" si="28"/>
        <v>0</v>
      </c>
      <c r="BE17" s="382">
        <f t="shared" si="28"/>
        <v>0</v>
      </c>
      <c r="BF17" s="382">
        <f t="shared" si="28"/>
        <v>0</v>
      </c>
      <c r="BG17" s="382">
        <f t="shared" si="28"/>
        <v>0</v>
      </c>
      <c r="BH17" s="382">
        <f t="shared" si="28"/>
        <v>0</v>
      </c>
      <c r="BI17" s="382">
        <f t="shared" si="28"/>
        <v>0</v>
      </c>
      <c r="BJ17" s="382">
        <f t="shared" si="28"/>
        <v>0</v>
      </c>
      <c r="BK17" s="382">
        <f t="shared" si="28"/>
        <v>0</v>
      </c>
      <c r="BL17" s="382">
        <f t="shared" si="28"/>
        <v>0</v>
      </c>
      <c r="BM17" s="382">
        <f t="shared" si="28"/>
        <v>0</v>
      </c>
      <c r="BN17" s="383">
        <f t="shared" si="28"/>
        <v>0</v>
      </c>
      <c r="BO17" s="295">
        <f t="shared" si="29"/>
        <v>0</v>
      </c>
      <c r="BP17" s="381">
        <f t="shared" si="10"/>
        <v>0</v>
      </c>
      <c r="BQ17" s="382">
        <f t="shared" si="30"/>
        <v>0</v>
      </c>
      <c r="BR17" s="382">
        <f t="shared" si="30"/>
        <v>0</v>
      </c>
      <c r="BS17" s="382">
        <f t="shared" si="30"/>
        <v>0</v>
      </c>
      <c r="BT17" s="382">
        <f t="shared" si="30"/>
        <v>0</v>
      </c>
      <c r="BU17" s="382">
        <f t="shared" si="30"/>
        <v>0</v>
      </c>
      <c r="BV17" s="382">
        <f t="shared" si="30"/>
        <v>0</v>
      </c>
      <c r="BW17" s="382">
        <f t="shared" si="30"/>
        <v>0</v>
      </c>
      <c r="BX17" s="382">
        <f t="shared" si="30"/>
        <v>0</v>
      </c>
      <c r="BY17" s="382">
        <f t="shared" si="30"/>
        <v>0</v>
      </c>
      <c r="BZ17" s="382">
        <f t="shared" si="30"/>
        <v>0</v>
      </c>
      <c r="CA17" s="383">
        <f t="shared" si="30"/>
        <v>0</v>
      </c>
      <c r="CB17" s="295">
        <f t="shared" si="31"/>
        <v>0</v>
      </c>
      <c r="CC17" s="381">
        <f t="shared" si="12"/>
        <v>0</v>
      </c>
      <c r="CD17" s="382">
        <f t="shared" si="32"/>
        <v>0</v>
      </c>
      <c r="CE17" s="382">
        <f t="shared" si="32"/>
        <v>0</v>
      </c>
      <c r="CF17" s="382">
        <f t="shared" si="32"/>
        <v>0</v>
      </c>
      <c r="CG17" s="382">
        <f t="shared" si="32"/>
        <v>0</v>
      </c>
      <c r="CH17" s="382">
        <f t="shared" si="32"/>
        <v>0</v>
      </c>
      <c r="CI17" s="382">
        <f t="shared" si="32"/>
        <v>0</v>
      </c>
      <c r="CJ17" s="382">
        <f t="shared" si="32"/>
        <v>0</v>
      </c>
      <c r="CK17" s="382">
        <f t="shared" si="32"/>
        <v>0</v>
      </c>
      <c r="CL17" s="382">
        <f t="shared" si="32"/>
        <v>0</v>
      </c>
      <c r="CM17" s="382">
        <f t="shared" si="32"/>
        <v>0</v>
      </c>
      <c r="CN17" s="383">
        <f t="shared" si="32"/>
        <v>0</v>
      </c>
      <c r="CO17" s="311">
        <f t="shared" si="33"/>
        <v>0</v>
      </c>
      <c r="CP17" s="381">
        <f t="shared" si="14"/>
        <v>0</v>
      </c>
      <c r="CQ17" s="382">
        <f t="shared" si="34"/>
        <v>0</v>
      </c>
      <c r="CR17" s="382">
        <f t="shared" si="34"/>
        <v>0</v>
      </c>
      <c r="CS17" s="382">
        <f t="shared" si="34"/>
        <v>0</v>
      </c>
      <c r="CT17" s="382">
        <f t="shared" si="34"/>
        <v>0</v>
      </c>
      <c r="CU17" s="382">
        <f t="shared" si="34"/>
        <v>0</v>
      </c>
      <c r="CV17" s="382">
        <f t="shared" si="34"/>
        <v>0</v>
      </c>
      <c r="CW17" s="382">
        <f t="shared" si="34"/>
        <v>0</v>
      </c>
      <c r="CX17" s="382">
        <f t="shared" si="34"/>
        <v>0</v>
      </c>
      <c r="CY17" s="382">
        <f t="shared" si="34"/>
        <v>0</v>
      </c>
      <c r="CZ17" s="382">
        <f t="shared" si="34"/>
        <v>0</v>
      </c>
      <c r="DA17" s="383">
        <f t="shared" si="34"/>
        <v>0</v>
      </c>
      <c r="DB17" s="295">
        <f t="shared" si="35"/>
        <v>0</v>
      </c>
      <c r="DD17" s="378">
        <f t="shared" si="16"/>
        <v>0</v>
      </c>
      <c r="DE17" s="379">
        <f t="shared" si="17"/>
        <v>0</v>
      </c>
      <c r="DF17" s="379">
        <f t="shared" si="18"/>
        <v>0</v>
      </c>
      <c r="DG17" s="379">
        <f t="shared" si="19"/>
        <v>0</v>
      </c>
      <c r="DH17" s="379">
        <f t="shared" si="20"/>
        <v>0</v>
      </c>
      <c r="DI17" s="379">
        <f t="shared" ref="DI17:DI27" si="40">+(BP17*$H17)/12+(BQ17*$H17)/12+(BR17*$H17)/12+(BS17*$H17)/12+(BT17*$H17)/12+(BU17*$H17)/12+(BV17*$H17)/12+(BW17*$H17)/12+(BX17*$H17)/12+(BY17*$H17)/12+(BZ17*$H17)/12+(CA17*$H17)/12</f>
        <v>0</v>
      </c>
      <c r="DJ17" s="380">
        <f t="shared" ref="DJ17:DJ27" si="41">+(CC17*$H17)/12+(CD17*$H17)/12+(CE17*$H17)/12+(CF17*$H17)/12+(CG17*$H17)/12+(CH17*$H17)/12+(CI17*$H17)/12+(CJ17*$H17)/12+(CK17*$H17)/12+(CL17*$H17)/12+(CM17*$H17)/12+(CN17*$H17)/12</f>
        <v>0</v>
      </c>
    </row>
    <row r="18" spans="2:114">
      <c r="B18" s="307" t="s">
        <v>182</v>
      </c>
      <c r="C18" s="308" t="s">
        <v>182</v>
      </c>
      <c r="D18" s="389" t="s">
        <v>181</v>
      </c>
      <c r="E18" s="390">
        <v>0.02</v>
      </c>
      <c r="F18" s="307"/>
      <c r="G18" s="308"/>
      <c r="H18" s="309"/>
      <c r="I18" s="294">
        <f t="shared" si="21"/>
        <v>0</v>
      </c>
      <c r="J18" s="310"/>
      <c r="K18" s="310">
        <v>0</v>
      </c>
      <c r="L18" s="32" t="str">
        <f t="shared" si="0"/>
        <v xml:space="preserve"> </v>
      </c>
      <c r="M18" s="312" t="str">
        <f t="shared" si="38"/>
        <v xml:space="preserve"> </v>
      </c>
      <c r="N18" s="18" t="str">
        <f t="shared" si="39"/>
        <v xml:space="preserve"> </v>
      </c>
      <c r="O18" s="274"/>
      <c r="P18" s="384">
        <f t="shared" si="22"/>
        <v>0</v>
      </c>
      <c r="Q18" s="382">
        <f t="shared" si="3"/>
        <v>0</v>
      </c>
      <c r="R18" s="382">
        <f t="shared" si="3"/>
        <v>0</v>
      </c>
      <c r="S18" s="382">
        <f t="shared" si="3"/>
        <v>0</v>
      </c>
      <c r="T18" s="382">
        <f t="shared" si="3"/>
        <v>0</v>
      </c>
      <c r="U18" s="382">
        <f t="shared" si="3"/>
        <v>0</v>
      </c>
      <c r="V18" s="382">
        <f t="shared" si="3"/>
        <v>0</v>
      </c>
      <c r="W18" s="382">
        <f t="shared" si="3"/>
        <v>0</v>
      </c>
      <c r="X18" s="382">
        <f t="shared" si="3"/>
        <v>0</v>
      </c>
      <c r="Y18" s="382">
        <f t="shared" si="3"/>
        <v>0</v>
      </c>
      <c r="Z18" s="382">
        <f t="shared" si="3"/>
        <v>0</v>
      </c>
      <c r="AA18" s="382">
        <f t="shared" si="3"/>
        <v>0</v>
      </c>
      <c r="AB18" s="311">
        <f t="shared" si="23"/>
        <v>0</v>
      </c>
      <c r="AC18" s="381">
        <f t="shared" si="4"/>
        <v>0</v>
      </c>
      <c r="AD18" s="382">
        <f t="shared" si="24"/>
        <v>0</v>
      </c>
      <c r="AE18" s="382">
        <f t="shared" si="24"/>
        <v>0</v>
      </c>
      <c r="AF18" s="382">
        <f t="shared" si="24"/>
        <v>0</v>
      </c>
      <c r="AG18" s="382">
        <f t="shared" si="24"/>
        <v>0</v>
      </c>
      <c r="AH18" s="382">
        <f t="shared" si="24"/>
        <v>0</v>
      </c>
      <c r="AI18" s="382">
        <f t="shared" si="24"/>
        <v>0</v>
      </c>
      <c r="AJ18" s="382">
        <f t="shared" si="24"/>
        <v>0</v>
      </c>
      <c r="AK18" s="382">
        <f t="shared" si="24"/>
        <v>0</v>
      </c>
      <c r="AL18" s="382">
        <f t="shared" si="24"/>
        <v>0</v>
      </c>
      <c r="AM18" s="382">
        <f t="shared" si="24"/>
        <v>0</v>
      </c>
      <c r="AN18" s="382">
        <f t="shared" si="24"/>
        <v>0</v>
      </c>
      <c r="AO18" s="295">
        <f t="shared" si="25"/>
        <v>0</v>
      </c>
      <c r="AP18" s="381">
        <f t="shared" si="6"/>
        <v>0</v>
      </c>
      <c r="AQ18" s="382">
        <f t="shared" si="26"/>
        <v>0</v>
      </c>
      <c r="AR18" s="382">
        <f t="shared" si="26"/>
        <v>0</v>
      </c>
      <c r="AS18" s="382">
        <f t="shared" si="26"/>
        <v>0</v>
      </c>
      <c r="AT18" s="382">
        <f t="shared" si="26"/>
        <v>0</v>
      </c>
      <c r="AU18" s="382">
        <f t="shared" si="26"/>
        <v>0</v>
      </c>
      <c r="AV18" s="382">
        <f t="shared" si="26"/>
        <v>0</v>
      </c>
      <c r="AW18" s="382">
        <f t="shared" si="26"/>
        <v>0</v>
      </c>
      <c r="AX18" s="382">
        <f t="shared" si="26"/>
        <v>0</v>
      </c>
      <c r="AY18" s="382">
        <f t="shared" si="26"/>
        <v>0</v>
      </c>
      <c r="AZ18" s="382">
        <f t="shared" si="26"/>
        <v>0</v>
      </c>
      <c r="BA18" s="382">
        <f t="shared" si="26"/>
        <v>0</v>
      </c>
      <c r="BB18" s="311">
        <f t="shared" si="27"/>
        <v>0</v>
      </c>
      <c r="BC18" s="381">
        <f t="shared" si="8"/>
        <v>0</v>
      </c>
      <c r="BD18" s="382">
        <f t="shared" si="28"/>
        <v>0</v>
      </c>
      <c r="BE18" s="382">
        <f t="shared" si="28"/>
        <v>0</v>
      </c>
      <c r="BF18" s="382">
        <f t="shared" si="28"/>
        <v>0</v>
      </c>
      <c r="BG18" s="382">
        <f t="shared" si="28"/>
        <v>0</v>
      </c>
      <c r="BH18" s="382">
        <f t="shared" si="28"/>
        <v>0</v>
      </c>
      <c r="BI18" s="382">
        <f t="shared" si="28"/>
        <v>0</v>
      </c>
      <c r="BJ18" s="382">
        <f t="shared" si="28"/>
        <v>0</v>
      </c>
      <c r="BK18" s="382">
        <f t="shared" si="28"/>
        <v>0</v>
      </c>
      <c r="BL18" s="382">
        <f t="shared" si="28"/>
        <v>0</v>
      </c>
      <c r="BM18" s="382">
        <f t="shared" si="28"/>
        <v>0</v>
      </c>
      <c r="BN18" s="382">
        <f t="shared" si="28"/>
        <v>0</v>
      </c>
      <c r="BO18" s="311">
        <f t="shared" si="29"/>
        <v>0</v>
      </c>
      <c r="BP18" s="381">
        <f t="shared" si="10"/>
        <v>0</v>
      </c>
      <c r="BQ18" s="382">
        <f t="shared" si="30"/>
        <v>0</v>
      </c>
      <c r="BR18" s="382">
        <f t="shared" si="30"/>
        <v>0</v>
      </c>
      <c r="BS18" s="382">
        <f t="shared" si="30"/>
        <v>0</v>
      </c>
      <c r="BT18" s="382">
        <f t="shared" si="30"/>
        <v>0</v>
      </c>
      <c r="BU18" s="382">
        <f t="shared" si="30"/>
        <v>0</v>
      </c>
      <c r="BV18" s="382">
        <f t="shared" si="30"/>
        <v>0</v>
      </c>
      <c r="BW18" s="382">
        <f t="shared" si="30"/>
        <v>0</v>
      </c>
      <c r="BX18" s="382">
        <f t="shared" si="30"/>
        <v>0</v>
      </c>
      <c r="BY18" s="382">
        <f t="shared" si="30"/>
        <v>0</v>
      </c>
      <c r="BZ18" s="382">
        <f t="shared" si="30"/>
        <v>0</v>
      </c>
      <c r="CA18" s="382">
        <f t="shared" si="30"/>
        <v>0</v>
      </c>
      <c r="CB18" s="295">
        <f t="shared" si="31"/>
        <v>0</v>
      </c>
      <c r="CC18" s="381">
        <f t="shared" si="12"/>
        <v>0</v>
      </c>
      <c r="CD18" s="382">
        <f t="shared" si="32"/>
        <v>0</v>
      </c>
      <c r="CE18" s="382">
        <f t="shared" si="32"/>
        <v>0</v>
      </c>
      <c r="CF18" s="382">
        <f t="shared" si="32"/>
        <v>0</v>
      </c>
      <c r="CG18" s="382">
        <f t="shared" si="32"/>
        <v>0</v>
      </c>
      <c r="CH18" s="382">
        <f t="shared" si="32"/>
        <v>0</v>
      </c>
      <c r="CI18" s="382">
        <f t="shared" si="32"/>
        <v>0</v>
      </c>
      <c r="CJ18" s="382">
        <f t="shared" si="32"/>
        <v>0</v>
      </c>
      <c r="CK18" s="382">
        <f t="shared" si="32"/>
        <v>0</v>
      </c>
      <c r="CL18" s="382">
        <f t="shared" si="32"/>
        <v>0</v>
      </c>
      <c r="CM18" s="382">
        <f t="shared" si="32"/>
        <v>0</v>
      </c>
      <c r="CN18" s="382">
        <f t="shared" si="32"/>
        <v>0</v>
      </c>
      <c r="CO18" s="311">
        <f t="shared" si="33"/>
        <v>0</v>
      </c>
      <c r="CP18" s="381">
        <f t="shared" si="14"/>
        <v>0</v>
      </c>
      <c r="CQ18" s="382">
        <f t="shared" si="34"/>
        <v>0</v>
      </c>
      <c r="CR18" s="382">
        <f t="shared" si="34"/>
        <v>0</v>
      </c>
      <c r="CS18" s="382">
        <f t="shared" si="34"/>
        <v>0</v>
      </c>
      <c r="CT18" s="382">
        <f t="shared" si="34"/>
        <v>0</v>
      </c>
      <c r="CU18" s="382">
        <f t="shared" si="34"/>
        <v>0</v>
      </c>
      <c r="CV18" s="382">
        <f t="shared" si="34"/>
        <v>0</v>
      </c>
      <c r="CW18" s="382">
        <f t="shared" si="34"/>
        <v>0</v>
      </c>
      <c r="CX18" s="382">
        <f t="shared" si="34"/>
        <v>0</v>
      </c>
      <c r="CY18" s="382">
        <f t="shared" si="34"/>
        <v>0</v>
      </c>
      <c r="CZ18" s="382">
        <f t="shared" si="34"/>
        <v>0</v>
      </c>
      <c r="DA18" s="382">
        <f t="shared" si="34"/>
        <v>0</v>
      </c>
      <c r="DB18" s="295">
        <f t="shared" si="35"/>
        <v>0</v>
      </c>
      <c r="DD18" s="378">
        <f t="shared" si="16"/>
        <v>0</v>
      </c>
      <c r="DE18" s="379">
        <f t="shared" si="17"/>
        <v>0</v>
      </c>
      <c r="DF18" s="379">
        <f t="shared" si="18"/>
        <v>0</v>
      </c>
      <c r="DG18" s="379">
        <f t="shared" si="19"/>
        <v>0</v>
      </c>
      <c r="DH18" s="379">
        <f t="shared" si="20"/>
        <v>0</v>
      </c>
      <c r="DI18" s="379">
        <f t="shared" si="40"/>
        <v>0</v>
      </c>
      <c r="DJ18" s="380">
        <f t="shared" si="41"/>
        <v>0</v>
      </c>
    </row>
    <row r="19" spans="2:114">
      <c r="B19" s="307" t="s">
        <v>182</v>
      </c>
      <c r="C19" s="308" t="s">
        <v>181</v>
      </c>
      <c r="D19" s="389" t="s">
        <v>182</v>
      </c>
      <c r="E19" s="390">
        <v>0.03</v>
      </c>
      <c r="F19" s="307"/>
      <c r="G19" s="308"/>
      <c r="H19" s="309"/>
      <c r="I19" s="294">
        <f t="shared" si="21"/>
        <v>0</v>
      </c>
      <c r="J19" s="310"/>
      <c r="K19" s="310">
        <v>0</v>
      </c>
      <c r="L19" s="32" t="str">
        <f t="shared" si="0"/>
        <v xml:space="preserve"> </v>
      </c>
      <c r="M19" s="312" t="str">
        <f t="shared" si="38"/>
        <v xml:space="preserve"> </v>
      </c>
      <c r="N19" s="2" t="str">
        <f t="shared" si="39"/>
        <v xml:space="preserve"> </v>
      </c>
      <c r="O19" s="274"/>
      <c r="P19" s="384">
        <f t="shared" si="22"/>
        <v>0</v>
      </c>
      <c r="Q19" s="382">
        <f t="shared" si="3"/>
        <v>0</v>
      </c>
      <c r="R19" s="382">
        <f t="shared" si="3"/>
        <v>0</v>
      </c>
      <c r="S19" s="382">
        <f t="shared" si="3"/>
        <v>0</v>
      </c>
      <c r="T19" s="382">
        <f t="shared" si="3"/>
        <v>0</v>
      </c>
      <c r="U19" s="382">
        <f t="shared" si="3"/>
        <v>0</v>
      </c>
      <c r="V19" s="382">
        <f t="shared" si="3"/>
        <v>0</v>
      </c>
      <c r="W19" s="382">
        <f t="shared" si="3"/>
        <v>0</v>
      </c>
      <c r="X19" s="382">
        <f t="shared" si="3"/>
        <v>0</v>
      </c>
      <c r="Y19" s="382">
        <f t="shared" si="3"/>
        <v>0</v>
      </c>
      <c r="Z19" s="382">
        <f t="shared" si="3"/>
        <v>0</v>
      </c>
      <c r="AA19" s="382">
        <f t="shared" si="3"/>
        <v>0</v>
      </c>
      <c r="AB19" s="311">
        <f t="shared" si="23"/>
        <v>0</v>
      </c>
      <c r="AC19" s="381">
        <f t="shared" si="4"/>
        <v>0</v>
      </c>
      <c r="AD19" s="382">
        <f t="shared" si="24"/>
        <v>0</v>
      </c>
      <c r="AE19" s="382">
        <f t="shared" si="24"/>
        <v>0</v>
      </c>
      <c r="AF19" s="382">
        <f t="shared" si="24"/>
        <v>0</v>
      </c>
      <c r="AG19" s="382">
        <f t="shared" si="24"/>
        <v>0</v>
      </c>
      <c r="AH19" s="382">
        <f t="shared" si="24"/>
        <v>0</v>
      </c>
      <c r="AI19" s="382">
        <f t="shared" si="24"/>
        <v>0</v>
      </c>
      <c r="AJ19" s="382">
        <f t="shared" si="24"/>
        <v>0</v>
      </c>
      <c r="AK19" s="382">
        <f t="shared" si="24"/>
        <v>0</v>
      </c>
      <c r="AL19" s="382">
        <f t="shared" si="24"/>
        <v>0</v>
      </c>
      <c r="AM19" s="382">
        <f t="shared" si="24"/>
        <v>0</v>
      </c>
      <c r="AN19" s="382">
        <f t="shared" si="24"/>
        <v>0</v>
      </c>
      <c r="AO19" s="311">
        <f t="shared" si="25"/>
        <v>0</v>
      </c>
      <c r="AP19" s="381">
        <f t="shared" si="6"/>
        <v>0</v>
      </c>
      <c r="AQ19" s="382">
        <f t="shared" si="26"/>
        <v>0</v>
      </c>
      <c r="AR19" s="382">
        <f t="shared" si="26"/>
        <v>0</v>
      </c>
      <c r="AS19" s="382">
        <f t="shared" si="26"/>
        <v>0</v>
      </c>
      <c r="AT19" s="382">
        <f t="shared" si="26"/>
        <v>0</v>
      </c>
      <c r="AU19" s="382">
        <f t="shared" si="26"/>
        <v>0</v>
      </c>
      <c r="AV19" s="382">
        <f t="shared" si="26"/>
        <v>0</v>
      </c>
      <c r="AW19" s="382">
        <f t="shared" si="26"/>
        <v>0</v>
      </c>
      <c r="AX19" s="382">
        <f t="shared" si="26"/>
        <v>0</v>
      </c>
      <c r="AY19" s="382">
        <f t="shared" si="26"/>
        <v>0</v>
      </c>
      <c r="AZ19" s="382">
        <f t="shared" si="26"/>
        <v>0</v>
      </c>
      <c r="BA19" s="382">
        <f t="shared" si="26"/>
        <v>0</v>
      </c>
      <c r="BB19" s="311">
        <f t="shared" si="27"/>
        <v>0</v>
      </c>
      <c r="BC19" s="381">
        <f t="shared" si="8"/>
        <v>0</v>
      </c>
      <c r="BD19" s="382">
        <f t="shared" si="28"/>
        <v>0</v>
      </c>
      <c r="BE19" s="382">
        <f t="shared" si="28"/>
        <v>0</v>
      </c>
      <c r="BF19" s="382">
        <f t="shared" si="28"/>
        <v>0</v>
      </c>
      <c r="BG19" s="382">
        <f t="shared" si="28"/>
        <v>0</v>
      </c>
      <c r="BH19" s="382">
        <f t="shared" si="28"/>
        <v>0</v>
      </c>
      <c r="BI19" s="382">
        <f t="shared" si="28"/>
        <v>0</v>
      </c>
      <c r="BJ19" s="382">
        <f t="shared" si="28"/>
        <v>0</v>
      </c>
      <c r="BK19" s="382">
        <f t="shared" si="28"/>
        <v>0</v>
      </c>
      <c r="BL19" s="382">
        <f t="shared" si="28"/>
        <v>0</v>
      </c>
      <c r="BM19" s="382">
        <f t="shared" si="28"/>
        <v>0</v>
      </c>
      <c r="BN19" s="382">
        <f t="shared" si="28"/>
        <v>0</v>
      </c>
      <c r="BO19" s="311">
        <f t="shared" si="29"/>
        <v>0</v>
      </c>
      <c r="BP19" s="381">
        <f t="shared" si="10"/>
        <v>0</v>
      </c>
      <c r="BQ19" s="382">
        <f t="shared" si="30"/>
        <v>0</v>
      </c>
      <c r="BR19" s="382">
        <f t="shared" si="30"/>
        <v>0</v>
      </c>
      <c r="BS19" s="382">
        <f t="shared" si="30"/>
        <v>0</v>
      </c>
      <c r="BT19" s="382">
        <f t="shared" si="30"/>
        <v>0</v>
      </c>
      <c r="BU19" s="382">
        <f t="shared" si="30"/>
        <v>0</v>
      </c>
      <c r="BV19" s="382">
        <f t="shared" si="30"/>
        <v>0</v>
      </c>
      <c r="BW19" s="382">
        <f t="shared" si="30"/>
        <v>0</v>
      </c>
      <c r="BX19" s="382">
        <f t="shared" si="30"/>
        <v>0</v>
      </c>
      <c r="BY19" s="382">
        <f t="shared" si="30"/>
        <v>0</v>
      </c>
      <c r="BZ19" s="382">
        <f t="shared" si="30"/>
        <v>0</v>
      </c>
      <c r="CA19" s="382">
        <f t="shared" si="30"/>
        <v>0</v>
      </c>
      <c r="CB19" s="311">
        <f t="shared" si="31"/>
        <v>0</v>
      </c>
      <c r="CC19" s="381">
        <f t="shared" si="12"/>
        <v>0</v>
      </c>
      <c r="CD19" s="382">
        <f t="shared" si="32"/>
        <v>0</v>
      </c>
      <c r="CE19" s="382">
        <f t="shared" si="32"/>
        <v>0</v>
      </c>
      <c r="CF19" s="382">
        <f t="shared" si="32"/>
        <v>0</v>
      </c>
      <c r="CG19" s="382">
        <f t="shared" si="32"/>
        <v>0</v>
      </c>
      <c r="CH19" s="382">
        <f t="shared" si="32"/>
        <v>0</v>
      </c>
      <c r="CI19" s="382">
        <f t="shared" si="32"/>
        <v>0</v>
      </c>
      <c r="CJ19" s="382">
        <f t="shared" si="32"/>
        <v>0</v>
      </c>
      <c r="CK19" s="382">
        <f t="shared" si="32"/>
        <v>0</v>
      </c>
      <c r="CL19" s="382">
        <f t="shared" si="32"/>
        <v>0</v>
      </c>
      <c r="CM19" s="382">
        <f t="shared" si="32"/>
        <v>0</v>
      </c>
      <c r="CN19" s="382">
        <f t="shared" si="32"/>
        <v>0</v>
      </c>
      <c r="CO19" s="311">
        <f t="shared" si="33"/>
        <v>0</v>
      </c>
      <c r="CP19" s="381">
        <f t="shared" si="14"/>
        <v>0</v>
      </c>
      <c r="CQ19" s="382">
        <f t="shared" si="34"/>
        <v>0</v>
      </c>
      <c r="CR19" s="382">
        <f t="shared" si="34"/>
        <v>0</v>
      </c>
      <c r="CS19" s="382">
        <f t="shared" si="34"/>
        <v>0</v>
      </c>
      <c r="CT19" s="382">
        <f t="shared" si="34"/>
        <v>0</v>
      </c>
      <c r="CU19" s="382">
        <f t="shared" si="34"/>
        <v>0</v>
      </c>
      <c r="CV19" s="382">
        <f t="shared" si="34"/>
        <v>0</v>
      </c>
      <c r="CW19" s="382">
        <f t="shared" si="34"/>
        <v>0</v>
      </c>
      <c r="CX19" s="382">
        <f t="shared" si="34"/>
        <v>0</v>
      </c>
      <c r="CY19" s="382">
        <f t="shared" si="34"/>
        <v>0</v>
      </c>
      <c r="CZ19" s="382">
        <f t="shared" si="34"/>
        <v>0</v>
      </c>
      <c r="DA19" s="382">
        <f t="shared" si="34"/>
        <v>0</v>
      </c>
      <c r="DB19" s="295">
        <f t="shared" si="35"/>
        <v>0</v>
      </c>
      <c r="DD19" s="378">
        <f t="shared" si="16"/>
        <v>0</v>
      </c>
      <c r="DE19" s="379">
        <f t="shared" si="17"/>
        <v>0</v>
      </c>
      <c r="DF19" s="379">
        <f t="shared" si="18"/>
        <v>0</v>
      </c>
      <c r="DG19" s="379">
        <f t="shared" si="19"/>
        <v>0</v>
      </c>
      <c r="DH19" s="379">
        <f t="shared" si="20"/>
        <v>0</v>
      </c>
      <c r="DI19" s="379">
        <f t="shared" si="40"/>
        <v>0</v>
      </c>
      <c r="DJ19" s="380">
        <f t="shared" si="41"/>
        <v>0</v>
      </c>
    </row>
    <row r="20" spans="2:114">
      <c r="B20" s="307" t="s">
        <v>182</v>
      </c>
      <c r="C20" s="308" t="s">
        <v>181</v>
      </c>
      <c r="D20" s="389" t="s">
        <v>182</v>
      </c>
      <c r="E20" s="390">
        <v>0.01</v>
      </c>
      <c r="F20" s="307"/>
      <c r="G20" s="308"/>
      <c r="H20" s="309"/>
      <c r="I20" s="294">
        <f t="shared" si="21"/>
        <v>0</v>
      </c>
      <c r="J20" s="310"/>
      <c r="K20" s="310">
        <v>0</v>
      </c>
      <c r="L20" s="32" t="str">
        <f t="shared" si="0"/>
        <v xml:space="preserve"> </v>
      </c>
      <c r="M20" s="312" t="str">
        <f t="shared" si="38"/>
        <v xml:space="preserve"> </v>
      </c>
      <c r="N20" s="2" t="str">
        <f t="shared" si="39"/>
        <v xml:space="preserve"> </v>
      </c>
      <c r="O20" s="274"/>
      <c r="P20" s="384">
        <f t="shared" si="22"/>
        <v>0</v>
      </c>
      <c r="Q20" s="382">
        <f t="shared" si="3"/>
        <v>0</v>
      </c>
      <c r="R20" s="382">
        <f t="shared" si="3"/>
        <v>0</v>
      </c>
      <c r="S20" s="382">
        <f t="shared" si="3"/>
        <v>0</v>
      </c>
      <c r="T20" s="382">
        <f t="shared" si="3"/>
        <v>0</v>
      </c>
      <c r="U20" s="382">
        <f t="shared" si="3"/>
        <v>0</v>
      </c>
      <c r="V20" s="382">
        <f t="shared" si="3"/>
        <v>0</v>
      </c>
      <c r="W20" s="382">
        <f t="shared" si="3"/>
        <v>0</v>
      </c>
      <c r="X20" s="382">
        <f t="shared" si="3"/>
        <v>0</v>
      </c>
      <c r="Y20" s="382">
        <f t="shared" si="3"/>
        <v>0</v>
      </c>
      <c r="Z20" s="382">
        <f t="shared" si="3"/>
        <v>0</v>
      </c>
      <c r="AA20" s="382">
        <f t="shared" si="3"/>
        <v>0</v>
      </c>
      <c r="AB20" s="311">
        <f t="shared" si="23"/>
        <v>0</v>
      </c>
      <c r="AC20" s="381">
        <f t="shared" si="4"/>
        <v>0</v>
      </c>
      <c r="AD20" s="382">
        <f t="shared" si="24"/>
        <v>0</v>
      </c>
      <c r="AE20" s="382">
        <f t="shared" si="24"/>
        <v>0</v>
      </c>
      <c r="AF20" s="382">
        <f t="shared" si="24"/>
        <v>0</v>
      </c>
      <c r="AG20" s="382">
        <f t="shared" si="24"/>
        <v>0</v>
      </c>
      <c r="AH20" s="382">
        <f t="shared" si="24"/>
        <v>0</v>
      </c>
      <c r="AI20" s="382">
        <f t="shared" si="24"/>
        <v>0</v>
      </c>
      <c r="AJ20" s="382">
        <f t="shared" si="24"/>
        <v>0</v>
      </c>
      <c r="AK20" s="382">
        <f t="shared" si="24"/>
        <v>0</v>
      </c>
      <c r="AL20" s="382">
        <f t="shared" si="24"/>
        <v>0</v>
      </c>
      <c r="AM20" s="382">
        <f t="shared" si="24"/>
        <v>0</v>
      </c>
      <c r="AN20" s="382">
        <f t="shared" si="24"/>
        <v>0</v>
      </c>
      <c r="AO20" s="311">
        <f t="shared" si="25"/>
        <v>0</v>
      </c>
      <c r="AP20" s="381">
        <f t="shared" si="6"/>
        <v>0</v>
      </c>
      <c r="AQ20" s="382">
        <f t="shared" si="26"/>
        <v>0</v>
      </c>
      <c r="AR20" s="382">
        <f t="shared" si="26"/>
        <v>0</v>
      </c>
      <c r="AS20" s="382">
        <f t="shared" si="26"/>
        <v>0</v>
      </c>
      <c r="AT20" s="382">
        <f t="shared" si="26"/>
        <v>0</v>
      </c>
      <c r="AU20" s="382">
        <f t="shared" si="26"/>
        <v>0</v>
      </c>
      <c r="AV20" s="382">
        <f t="shared" si="26"/>
        <v>0</v>
      </c>
      <c r="AW20" s="382">
        <f t="shared" si="26"/>
        <v>0</v>
      </c>
      <c r="AX20" s="382">
        <f t="shared" si="26"/>
        <v>0</v>
      </c>
      <c r="AY20" s="382">
        <f t="shared" si="26"/>
        <v>0</v>
      </c>
      <c r="AZ20" s="382">
        <f t="shared" si="26"/>
        <v>0</v>
      </c>
      <c r="BA20" s="382">
        <f t="shared" si="26"/>
        <v>0</v>
      </c>
      <c r="BB20" s="311">
        <f t="shared" si="27"/>
        <v>0</v>
      </c>
      <c r="BC20" s="381">
        <f t="shared" si="8"/>
        <v>0</v>
      </c>
      <c r="BD20" s="382">
        <f t="shared" si="28"/>
        <v>0</v>
      </c>
      <c r="BE20" s="382">
        <f t="shared" si="28"/>
        <v>0</v>
      </c>
      <c r="BF20" s="382">
        <f t="shared" si="28"/>
        <v>0</v>
      </c>
      <c r="BG20" s="382">
        <f t="shared" si="28"/>
        <v>0</v>
      </c>
      <c r="BH20" s="382">
        <f t="shared" si="28"/>
        <v>0</v>
      </c>
      <c r="BI20" s="382">
        <f t="shared" si="28"/>
        <v>0</v>
      </c>
      <c r="BJ20" s="382">
        <f t="shared" si="28"/>
        <v>0</v>
      </c>
      <c r="BK20" s="382">
        <f t="shared" si="28"/>
        <v>0</v>
      </c>
      <c r="BL20" s="382">
        <f t="shared" si="28"/>
        <v>0</v>
      </c>
      <c r="BM20" s="382">
        <f t="shared" si="28"/>
        <v>0</v>
      </c>
      <c r="BN20" s="382">
        <f t="shared" si="28"/>
        <v>0</v>
      </c>
      <c r="BO20" s="311">
        <f t="shared" si="29"/>
        <v>0</v>
      </c>
      <c r="BP20" s="381">
        <f t="shared" si="10"/>
        <v>0</v>
      </c>
      <c r="BQ20" s="382">
        <f t="shared" si="30"/>
        <v>0</v>
      </c>
      <c r="BR20" s="382">
        <f t="shared" si="30"/>
        <v>0</v>
      </c>
      <c r="BS20" s="382">
        <f t="shared" si="30"/>
        <v>0</v>
      </c>
      <c r="BT20" s="382">
        <f t="shared" si="30"/>
        <v>0</v>
      </c>
      <c r="BU20" s="382">
        <f t="shared" si="30"/>
        <v>0</v>
      </c>
      <c r="BV20" s="382">
        <f t="shared" si="30"/>
        <v>0</v>
      </c>
      <c r="BW20" s="382">
        <f t="shared" si="30"/>
        <v>0</v>
      </c>
      <c r="BX20" s="382">
        <f t="shared" si="30"/>
        <v>0</v>
      </c>
      <c r="BY20" s="382">
        <f t="shared" si="30"/>
        <v>0</v>
      </c>
      <c r="BZ20" s="382">
        <f t="shared" si="30"/>
        <v>0</v>
      </c>
      <c r="CA20" s="382">
        <f t="shared" si="30"/>
        <v>0</v>
      </c>
      <c r="CB20" s="311">
        <f t="shared" si="31"/>
        <v>0</v>
      </c>
      <c r="CC20" s="381">
        <f t="shared" si="12"/>
        <v>0</v>
      </c>
      <c r="CD20" s="382">
        <f t="shared" si="32"/>
        <v>0</v>
      </c>
      <c r="CE20" s="382">
        <f t="shared" si="32"/>
        <v>0</v>
      </c>
      <c r="CF20" s="382">
        <f t="shared" si="32"/>
        <v>0</v>
      </c>
      <c r="CG20" s="382">
        <f t="shared" si="32"/>
        <v>0</v>
      </c>
      <c r="CH20" s="382">
        <f t="shared" si="32"/>
        <v>0</v>
      </c>
      <c r="CI20" s="382">
        <f t="shared" si="32"/>
        <v>0</v>
      </c>
      <c r="CJ20" s="382">
        <f t="shared" si="32"/>
        <v>0</v>
      </c>
      <c r="CK20" s="382">
        <f t="shared" si="32"/>
        <v>0</v>
      </c>
      <c r="CL20" s="382">
        <f t="shared" si="32"/>
        <v>0</v>
      </c>
      <c r="CM20" s="382">
        <f t="shared" si="32"/>
        <v>0</v>
      </c>
      <c r="CN20" s="382">
        <f t="shared" si="32"/>
        <v>0</v>
      </c>
      <c r="CO20" s="311">
        <f t="shared" si="33"/>
        <v>0</v>
      </c>
      <c r="CP20" s="381">
        <f t="shared" si="14"/>
        <v>0</v>
      </c>
      <c r="CQ20" s="382">
        <f t="shared" si="34"/>
        <v>0</v>
      </c>
      <c r="CR20" s="382">
        <f t="shared" si="34"/>
        <v>0</v>
      </c>
      <c r="CS20" s="382">
        <f t="shared" si="34"/>
        <v>0</v>
      </c>
      <c r="CT20" s="382">
        <f t="shared" si="34"/>
        <v>0</v>
      </c>
      <c r="CU20" s="382">
        <f t="shared" si="34"/>
        <v>0</v>
      </c>
      <c r="CV20" s="382">
        <f t="shared" si="34"/>
        <v>0</v>
      </c>
      <c r="CW20" s="382">
        <f t="shared" si="34"/>
        <v>0</v>
      </c>
      <c r="CX20" s="382">
        <f t="shared" si="34"/>
        <v>0</v>
      </c>
      <c r="CY20" s="382">
        <f t="shared" si="34"/>
        <v>0</v>
      </c>
      <c r="CZ20" s="382">
        <f t="shared" si="34"/>
        <v>0</v>
      </c>
      <c r="DA20" s="382">
        <f t="shared" si="34"/>
        <v>0</v>
      </c>
      <c r="DB20" s="295">
        <f t="shared" si="35"/>
        <v>0</v>
      </c>
      <c r="DD20" s="378">
        <f t="shared" si="16"/>
        <v>0</v>
      </c>
      <c r="DE20" s="379">
        <f t="shared" si="17"/>
        <v>0</v>
      </c>
      <c r="DF20" s="379">
        <f t="shared" si="18"/>
        <v>0</v>
      </c>
      <c r="DG20" s="379">
        <f t="shared" si="19"/>
        <v>0</v>
      </c>
      <c r="DH20" s="379">
        <f t="shared" si="20"/>
        <v>0</v>
      </c>
      <c r="DI20" s="379">
        <f t="shared" si="40"/>
        <v>0</v>
      </c>
      <c r="DJ20" s="380">
        <f t="shared" si="41"/>
        <v>0</v>
      </c>
    </row>
    <row r="21" spans="2:114">
      <c r="B21" s="307"/>
      <c r="C21" s="308"/>
      <c r="D21" s="389"/>
      <c r="E21" s="390"/>
      <c r="F21" s="307"/>
      <c r="G21" s="308"/>
      <c r="H21" s="309"/>
      <c r="I21" s="294">
        <f t="shared" si="21"/>
        <v>0</v>
      </c>
      <c r="J21" s="310"/>
      <c r="K21" s="310"/>
      <c r="L21" s="32" t="str">
        <f t="shared" si="0"/>
        <v xml:space="preserve"> </v>
      </c>
      <c r="M21" s="312" t="str">
        <f t="shared" si="38"/>
        <v xml:space="preserve"> </v>
      </c>
      <c r="N21" s="2" t="str">
        <f t="shared" si="39"/>
        <v xml:space="preserve"> </v>
      </c>
      <c r="O21" s="274"/>
      <c r="P21" s="384">
        <f t="shared" si="22"/>
        <v>0</v>
      </c>
      <c r="Q21" s="382">
        <f t="shared" si="3"/>
        <v>0</v>
      </c>
      <c r="R21" s="382">
        <f t="shared" si="3"/>
        <v>0</v>
      </c>
      <c r="S21" s="382">
        <f t="shared" si="3"/>
        <v>0</v>
      </c>
      <c r="T21" s="382">
        <f t="shared" si="3"/>
        <v>0</v>
      </c>
      <c r="U21" s="382">
        <f t="shared" si="3"/>
        <v>0</v>
      </c>
      <c r="V21" s="382">
        <f t="shared" si="3"/>
        <v>0</v>
      </c>
      <c r="W21" s="382">
        <f t="shared" si="3"/>
        <v>0</v>
      </c>
      <c r="X21" s="382">
        <f t="shared" si="3"/>
        <v>0</v>
      </c>
      <c r="Y21" s="382">
        <f t="shared" si="3"/>
        <v>0</v>
      </c>
      <c r="Z21" s="382">
        <f t="shared" si="3"/>
        <v>0</v>
      </c>
      <c r="AA21" s="382">
        <f t="shared" si="3"/>
        <v>0</v>
      </c>
      <c r="AB21" s="311">
        <f t="shared" si="23"/>
        <v>0</v>
      </c>
      <c r="AC21" s="381">
        <f t="shared" si="4"/>
        <v>0</v>
      </c>
      <c r="AD21" s="382">
        <f t="shared" si="24"/>
        <v>0</v>
      </c>
      <c r="AE21" s="382">
        <f t="shared" si="24"/>
        <v>0</v>
      </c>
      <c r="AF21" s="382">
        <f t="shared" si="24"/>
        <v>0</v>
      </c>
      <c r="AG21" s="382">
        <f t="shared" si="24"/>
        <v>0</v>
      </c>
      <c r="AH21" s="382">
        <f t="shared" si="24"/>
        <v>0</v>
      </c>
      <c r="AI21" s="382">
        <f t="shared" si="24"/>
        <v>0</v>
      </c>
      <c r="AJ21" s="382">
        <f t="shared" si="24"/>
        <v>0</v>
      </c>
      <c r="AK21" s="382">
        <f t="shared" si="24"/>
        <v>0</v>
      </c>
      <c r="AL21" s="382">
        <f t="shared" si="24"/>
        <v>0</v>
      </c>
      <c r="AM21" s="382">
        <f t="shared" si="24"/>
        <v>0</v>
      </c>
      <c r="AN21" s="382">
        <f t="shared" si="24"/>
        <v>0</v>
      </c>
      <c r="AO21" s="311">
        <f t="shared" si="25"/>
        <v>0</v>
      </c>
      <c r="AP21" s="381">
        <f t="shared" si="6"/>
        <v>0</v>
      </c>
      <c r="AQ21" s="382">
        <f t="shared" si="26"/>
        <v>0</v>
      </c>
      <c r="AR21" s="382">
        <f t="shared" si="26"/>
        <v>0</v>
      </c>
      <c r="AS21" s="382">
        <f t="shared" si="26"/>
        <v>0</v>
      </c>
      <c r="AT21" s="382">
        <f t="shared" si="26"/>
        <v>0</v>
      </c>
      <c r="AU21" s="382">
        <f t="shared" si="26"/>
        <v>0</v>
      </c>
      <c r="AV21" s="382">
        <f t="shared" si="26"/>
        <v>0</v>
      </c>
      <c r="AW21" s="382">
        <f t="shared" si="26"/>
        <v>0</v>
      </c>
      <c r="AX21" s="382">
        <f t="shared" si="26"/>
        <v>0</v>
      </c>
      <c r="AY21" s="382">
        <f t="shared" si="26"/>
        <v>0</v>
      </c>
      <c r="AZ21" s="382">
        <f t="shared" si="26"/>
        <v>0</v>
      </c>
      <c r="BA21" s="382">
        <f t="shared" si="26"/>
        <v>0</v>
      </c>
      <c r="BB21" s="311">
        <f t="shared" si="27"/>
        <v>0</v>
      </c>
      <c r="BC21" s="381">
        <f t="shared" si="8"/>
        <v>0</v>
      </c>
      <c r="BD21" s="382">
        <f t="shared" si="28"/>
        <v>0</v>
      </c>
      <c r="BE21" s="382">
        <f t="shared" si="28"/>
        <v>0</v>
      </c>
      <c r="BF21" s="382">
        <f t="shared" si="28"/>
        <v>0</v>
      </c>
      <c r="BG21" s="382">
        <f t="shared" si="28"/>
        <v>0</v>
      </c>
      <c r="BH21" s="382">
        <f t="shared" si="28"/>
        <v>0</v>
      </c>
      <c r="BI21" s="382">
        <f t="shared" si="28"/>
        <v>0</v>
      </c>
      <c r="BJ21" s="382">
        <f t="shared" si="28"/>
        <v>0</v>
      </c>
      <c r="BK21" s="382">
        <f t="shared" si="28"/>
        <v>0</v>
      </c>
      <c r="BL21" s="382">
        <f t="shared" si="28"/>
        <v>0</v>
      </c>
      <c r="BM21" s="382">
        <f t="shared" si="28"/>
        <v>0</v>
      </c>
      <c r="BN21" s="382">
        <f t="shared" si="28"/>
        <v>0</v>
      </c>
      <c r="BO21" s="311">
        <f t="shared" si="29"/>
        <v>0</v>
      </c>
      <c r="BP21" s="381">
        <f t="shared" si="10"/>
        <v>0</v>
      </c>
      <c r="BQ21" s="382">
        <f t="shared" si="30"/>
        <v>0</v>
      </c>
      <c r="BR21" s="382">
        <f t="shared" si="30"/>
        <v>0</v>
      </c>
      <c r="BS21" s="382">
        <f t="shared" si="30"/>
        <v>0</v>
      </c>
      <c r="BT21" s="382">
        <f t="shared" si="30"/>
        <v>0</v>
      </c>
      <c r="BU21" s="382">
        <f t="shared" si="30"/>
        <v>0</v>
      </c>
      <c r="BV21" s="382">
        <f t="shared" si="30"/>
        <v>0</v>
      </c>
      <c r="BW21" s="382">
        <f t="shared" si="30"/>
        <v>0</v>
      </c>
      <c r="BX21" s="382">
        <f t="shared" si="30"/>
        <v>0</v>
      </c>
      <c r="BY21" s="382">
        <f t="shared" si="30"/>
        <v>0</v>
      </c>
      <c r="BZ21" s="382">
        <f t="shared" si="30"/>
        <v>0</v>
      </c>
      <c r="CA21" s="382">
        <f t="shared" si="30"/>
        <v>0</v>
      </c>
      <c r="CB21" s="311">
        <f t="shared" si="31"/>
        <v>0</v>
      </c>
      <c r="CC21" s="381">
        <f t="shared" si="12"/>
        <v>0</v>
      </c>
      <c r="CD21" s="382">
        <f t="shared" si="32"/>
        <v>0</v>
      </c>
      <c r="CE21" s="382">
        <f t="shared" si="32"/>
        <v>0</v>
      </c>
      <c r="CF21" s="382">
        <f t="shared" si="32"/>
        <v>0</v>
      </c>
      <c r="CG21" s="382">
        <f t="shared" si="32"/>
        <v>0</v>
      </c>
      <c r="CH21" s="382">
        <f t="shared" si="32"/>
        <v>0</v>
      </c>
      <c r="CI21" s="382">
        <f t="shared" si="32"/>
        <v>0</v>
      </c>
      <c r="CJ21" s="382">
        <f t="shared" si="32"/>
        <v>0</v>
      </c>
      <c r="CK21" s="382">
        <f t="shared" si="32"/>
        <v>0</v>
      </c>
      <c r="CL21" s="382">
        <f t="shared" si="32"/>
        <v>0</v>
      </c>
      <c r="CM21" s="382">
        <f t="shared" si="32"/>
        <v>0</v>
      </c>
      <c r="CN21" s="382">
        <f t="shared" si="32"/>
        <v>0</v>
      </c>
      <c r="CO21" s="311">
        <f t="shared" si="33"/>
        <v>0</v>
      </c>
      <c r="CP21" s="381">
        <f t="shared" si="14"/>
        <v>0</v>
      </c>
      <c r="CQ21" s="382">
        <f t="shared" si="34"/>
        <v>0</v>
      </c>
      <c r="CR21" s="382">
        <f t="shared" si="34"/>
        <v>0</v>
      </c>
      <c r="CS21" s="382">
        <f t="shared" si="34"/>
        <v>0</v>
      </c>
      <c r="CT21" s="382">
        <f t="shared" si="34"/>
        <v>0</v>
      </c>
      <c r="CU21" s="382">
        <f t="shared" si="34"/>
        <v>0</v>
      </c>
      <c r="CV21" s="382">
        <f t="shared" si="34"/>
        <v>0</v>
      </c>
      <c r="CW21" s="382">
        <f t="shared" si="34"/>
        <v>0</v>
      </c>
      <c r="CX21" s="382">
        <f t="shared" si="34"/>
        <v>0</v>
      </c>
      <c r="CY21" s="382">
        <f t="shared" si="34"/>
        <v>0</v>
      </c>
      <c r="CZ21" s="382">
        <f t="shared" si="34"/>
        <v>0</v>
      </c>
      <c r="DA21" s="382">
        <f t="shared" si="34"/>
        <v>0</v>
      </c>
      <c r="DB21" s="295">
        <f t="shared" si="35"/>
        <v>0</v>
      </c>
      <c r="DD21" s="378">
        <f t="shared" si="16"/>
        <v>0</v>
      </c>
      <c r="DE21" s="379">
        <f t="shared" si="17"/>
        <v>0</v>
      </c>
      <c r="DF21" s="379">
        <f t="shared" si="18"/>
        <v>0</v>
      </c>
      <c r="DG21" s="379">
        <f t="shared" si="19"/>
        <v>0</v>
      </c>
      <c r="DH21" s="379">
        <f t="shared" si="20"/>
        <v>0</v>
      </c>
      <c r="DI21" s="379">
        <f t="shared" si="40"/>
        <v>0</v>
      </c>
      <c r="DJ21" s="380">
        <f t="shared" si="41"/>
        <v>0</v>
      </c>
    </row>
    <row r="22" spans="2:114">
      <c r="B22" s="307"/>
      <c r="C22" s="308"/>
      <c r="D22" s="389"/>
      <c r="E22" s="390"/>
      <c r="F22" s="307"/>
      <c r="G22" s="308"/>
      <c r="H22" s="309"/>
      <c r="I22" s="294">
        <f t="shared" si="21"/>
        <v>0</v>
      </c>
      <c r="J22" s="310"/>
      <c r="K22" s="310"/>
      <c r="L22" s="32" t="str">
        <f t="shared" si="0"/>
        <v xml:space="preserve"> </v>
      </c>
      <c r="M22" s="312" t="str">
        <f t="shared" si="38"/>
        <v xml:space="preserve"> </v>
      </c>
      <c r="N22" s="2" t="str">
        <f t="shared" si="39"/>
        <v xml:space="preserve"> </v>
      </c>
      <c r="O22" s="274"/>
      <c r="P22" s="384">
        <f t="shared" si="22"/>
        <v>0</v>
      </c>
      <c r="Q22" s="382">
        <f t="shared" si="3"/>
        <v>0</v>
      </c>
      <c r="R22" s="382">
        <f t="shared" si="3"/>
        <v>0</v>
      </c>
      <c r="S22" s="382">
        <f t="shared" si="3"/>
        <v>0</v>
      </c>
      <c r="T22" s="382">
        <f t="shared" si="3"/>
        <v>0</v>
      </c>
      <c r="U22" s="382">
        <f t="shared" si="3"/>
        <v>0</v>
      </c>
      <c r="V22" s="382">
        <f t="shared" si="3"/>
        <v>0</v>
      </c>
      <c r="W22" s="382">
        <f t="shared" si="3"/>
        <v>0</v>
      </c>
      <c r="X22" s="382">
        <f t="shared" si="3"/>
        <v>0</v>
      </c>
      <c r="Y22" s="382">
        <f t="shared" si="3"/>
        <v>0</v>
      </c>
      <c r="Z22" s="382">
        <f t="shared" si="3"/>
        <v>0</v>
      </c>
      <c r="AA22" s="382">
        <f t="shared" si="3"/>
        <v>0</v>
      </c>
      <c r="AB22" s="311">
        <f t="shared" si="23"/>
        <v>0</v>
      </c>
      <c r="AC22" s="381">
        <f t="shared" si="4"/>
        <v>0</v>
      </c>
      <c r="AD22" s="382">
        <f t="shared" si="24"/>
        <v>0</v>
      </c>
      <c r="AE22" s="382">
        <f t="shared" si="24"/>
        <v>0</v>
      </c>
      <c r="AF22" s="382">
        <f t="shared" si="24"/>
        <v>0</v>
      </c>
      <c r="AG22" s="382">
        <f t="shared" si="24"/>
        <v>0</v>
      </c>
      <c r="AH22" s="382">
        <f t="shared" si="24"/>
        <v>0</v>
      </c>
      <c r="AI22" s="382">
        <f t="shared" si="24"/>
        <v>0</v>
      </c>
      <c r="AJ22" s="382">
        <f t="shared" si="24"/>
        <v>0</v>
      </c>
      <c r="AK22" s="382">
        <f t="shared" si="24"/>
        <v>0</v>
      </c>
      <c r="AL22" s="382">
        <f t="shared" si="24"/>
        <v>0</v>
      </c>
      <c r="AM22" s="382">
        <f t="shared" si="24"/>
        <v>0</v>
      </c>
      <c r="AN22" s="382">
        <f t="shared" si="24"/>
        <v>0</v>
      </c>
      <c r="AO22" s="311">
        <f t="shared" si="25"/>
        <v>0</v>
      </c>
      <c r="AP22" s="381">
        <f t="shared" si="6"/>
        <v>0</v>
      </c>
      <c r="AQ22" s="382">
        <f t="shared" si="26"/>
        <v>0</v>
      </c>
      <c r="AR22" s="382">
        <f t="shared" si="26"/>
        <v>0</v>
      </c>
      <c r="AS22" s="382">
        <f t="shared" si="26"/>
        <v>0</v>
      </c>
      <c r="AT22" s="382">
        <f t="shared" si="26"/>
        <v>0</v>
      </c>
      <c r="AU22" s="382">
        <f t="shared" si="26"/>
        <v>0</v>
      </c>
      <c r="AV22" s="382">
        <f t="shared" si="26"/>
        <v>0</v>
      </c>
      <c r="AW22" s="382">
        <f t="shared" si="26"/>
        <v>0</v>
      </c>
      <c r="AX22" s="382">
        <f t="shared" si="26"/>
        <v>0</v>
      </c>
      <c r="AY22" s="382">
        <f t="shared" si="26"/>
        <v>0</v>
      </c>
      <c r="AZ22" s="382">
        <f t="shared" si="26"/>
        <v>0</v>
      </c>
      <c r="BA22" s="382">
        <f t="shared" si="26"/>
        <v>0</v>
      </c>
      <c r="BB22" s="311">
        <f t="shared" si="27"/>
        <v>0</v>
      </c>
      <c r="BC22" s="381">
        <f t="shared" si="8"/>
        <v>0</v>
      </c>
      <c r="BD22" s="382">
        <f t="shared" si="28"/>
        <v>0</v>
      </c>
      <c r="BE22" s="382">
        <f t="shared" si="28"/>
        <v>0</v>
      </c>
      <c r="BF22" s="382">
        <f t="shared" si="28"/>
        <v>0</v>
      </c>
      <c r="BG22" s="382">
        <f t="shared" si="28"/>
        <v>0</v>
      </c>
      <c r="BH22" s="382">
        <f t="shared" si="28"/>
        <v>0</v>
      </c>
      <c r="BI22" s="382">
        <f t="shared" si="28"/>
        <v>0</v>
      </c>
      <c r="BJ22" s="382">
        <f t="shared" si="28"/>
        <v>0</v>
      </c>
      <c r="BK22" s="382">
        <f t="shared" si="28"/>
        <v>0</v>
      </c>
      <c r="BL22" s="382">
        <f t="shared" si="28"/>
        <v>0</v>
      </c>
      <c r="BM22" s="382">
        <f t="shared" si="28"/>
        <v>0</v>
      </c>
      <c r="BN22" s="382">
        <f t="shared" si="28"/>
        <v>0</v>
      </c>
      <c r="BO22" s="311">
        <f t="shared" si="29"/>
        <v>0</v>
      </c>
      <c r="BP22" s="381">
        <f t="shared" si="10"/>
        <v>0</v>
      </c>
      <c r="BQ22" s="382">
        <f t="shared" si="30"/>
        <v>0</v>
      </c>
      <c r="BR22" s="382">
        <f t="shared" si="30"/>
        <v>0</v>
      </c>
      <c r="BS22" s="382">
        <f t="shared" si="30"/>
        <v>0</v>
      </c>
      <c r="BT22" s="382">
        <f t="shared" si="30"/>
        <v>0</v>
      </c>
      <c r="BU22" s="382">
        <f t="shared" si="30"/>
        <v>0</v>
      </c>
      <c r="BV22" s="382">
        <f t="shared" si="30"/>
        <v>0</v>
      </c>
      <c r="BW22" s="382">
        <f t="shared" si="30"/>
        <v>0</v>
      </c>
      <c r="BX22" s="382">
        <f t="shared" si="30"/>
        <v>0</v>
      </c>
      <c r="BY22" s="382">
        <f t="shared" si="30"/>
        <v>0</v>
      </c>
      <c r="BZ22" s="382">
        <f t="shared" si="30"/>
        <v>0</v>
      </c>
      <c r="CA22" s="382">
        <f t="shared" si="30"/>
        <v>0</v>
      </c>
      <c r="CB22" s="311">
        <f t="shared" si="31"/>
        <v>0</v>
      </c>
      <c r="CC22" s="381">
        <f t="shared" si="12"/>
        <v>0</v>
      </c>
      <c r="CD22" s="382">
        <f t="shared" si="32"/>
        <v>0</v>
      </c>
      <c r="CE22" s="382">
        <f t="shared" si="32"/>
        <v>0</v>
      </c>
      <c r="CF22" s="382">
        <f t="shared" si="32"/>
        <v>0</v>
      </c>
      <c r="CG22" s="382">
        <f t="shared" si="32"/>
        <v>0</v>
      </c>
      <c r="CH22" s="382">
        <f t="shared" si="32"/>
        <v>0</v>
      </c>
      <c r="CI22" s="382">
        <f t="shared" si="32"/>
        <v>0</v>
      </c>
      <c r="CJ22" s="382">
        <f t="shared" si="32"/>
        <v>0</v>
      </c>
      <c r="CK22" s="382">
        <f t="shared" si="32"/>
        <v>0</v>
      </c>
      <c r="CL22" s="382">
        <f t="shared" si="32"/>
        <v>0</v>
      </c>
      <c r="CM22" s="382">
        <f t="shared" si="32"/>
        <v>0</v>
      </c>
      <c r="CN22" s="382">
        <f t="shared" si="32"/>
        <v>0</v>
      </c>
      <c r="CO22" s="311">
        <f t="shared" si="33"/>
        <v>0</v>
      </c>
      <c r="CP22" s="381">
        <f t="shared" si="14"/>
        <v>0</v>
      </c>
      <c r="CQ22" s="382">
        <f t="shared" si="34"/>
        <v>0</v>
      </c>
      <c r="CR22" s="382">
        <f t="shared" si="34"/>
        <v>0</v>
      </c>
      <c r="CS22" s="382">
        <f t="shared" si="34"/>
        <v>0</v>
      </c>
      <c r="CT22" s="382">
        <f t="shared" si="34"/>
        <v>0</v>
      </c>
      <c r="CU22" s="382">
        <f t="shared" si="34"/>
        <v>0</v>
      </c>
      <c r="CV22" s="382">
        <f t="shared" si="34"/>
        <v>0</v>
      </c>
      <c r="CW22" s="382">
        <f t="shared" si="34"/>
        <v>0</v>
      </c>
      <c r="CX22" s="382">
        <f t="shared" si="34"/>
        <v>0</v>
      </c>
      <c r="CY22" s="382">
        <f t="shared" si="34"/>
        <v>0</v>
      </c>
      <c r="CZ22" s="382">
        <f t="shared" si="34"/>
        <v>0</v>
      </c>
      <c r="DA22" s="382">
        <f t="shared" si="34"/>
        <v>0</v>
      </c>
      <c r="DB22" s="295">
        <f t="shared" si="35"/>
        <v>0</v>
      </c>
      <c r="DD22" s="378">
        <f t="shared" si="16"/>
        <v>0</v>
      </c>
      <c r="DE22" s="379">
        <f t="shared" si="17"/>
        <v>0</v>
      </c>
      <c r="DF22" s="379">
        <f t="shared" si="18"/>
        <v>0</v>
      </c>
      <c r="DG22" s="379">
        <f t="shared" si="19"/>
        <v>0</v>
      </c>
      <c r="DH22" s="379">
        <f t="shared" si="20"/>
        <v>0</v>
      </c>
      <c r="DI22" s="379">
        <f t="shared" si="40"/>
        <v>0</v>
      </c>
      <c r="DJ22" s="380">
        <f t="shared" si="41"/>
        <v>0</v>
      </c>
    </row>
    <row r="23" spans="2:114">
      <c r="B23" s="307"/>
      <c r="C23" s="308"/>
      <c r="D23" s="389"/>
      <c r="E23" s="390"/>
      <c r="F23" s="307"/>
      <c r="G23" s="308"/>
      <c r="H23" s="309"/>
      <c r="I23" s="294">
        <f t="shared" si="21"/>
        <v>0</v>
      </c>
      <c r="J23" s="310"/>
      <c r="K23" s="310"/>
      <c r="L23" s="32" t="str">
        <f t="shared" si="0"/>
        <v xml:space="preserve"> </v>
      </c>
      <c r="M23" s="312" t="str">
        <f t="shared" si="38"/>
        <v xml:space="preserve"> </v>
      </c>
      <c r="N23" s="2" t="str">
        <f t="shared" si="39"/>
        <v xml:space="preserve"> </v>
      </c>
      <c r="O23" s="274"/>
      <c r="P23" s="384">
        <f t="shared" si="22"/>
        <v>0</v>
      </c>
      <c r="Q23" s="382">
        <f t="shared" si="3"/>
        <v>0</v>
      </c>
      <c r="R23" s="382">
        <f t="shared" si="3"/>
        <v>0</v>
      </c>
      <c r="S23" s="382">
        <f t="shared" si="3"/>
        <v>0</v>
      </c>
      <c r="T23" s="382">
        <f t="shared" si="3"/>
        <v>0</v>
      </c>
      <c r="U23" s="382">
        <f t="shared" si="3"/>
        <v>0</v>
      </c>
      <c r="V23" s="382">
        <f t="shared" si="3"/>
        <v>0</v>
      </c>
      <c r="W23" s="382">
        <f t="shared" si="3"/>
        <v>0</v>
      </c>
      <c r="X23" s="382">
        <f t="shared" si="3"/>
        <v>0</v>
      </c>
      <c r="Y23" s="382">
        <f t="shared" si="3"/>
        <v>0</v>
      </c>
      <c r="Z23" s="382">
        <f t="shared" si="3"/>
        <v>0</v>
      </c>
      <c r="AA23" s="382">
        <f t="shared" si="3"/>
        <v>0</v>
      </c>
      <c r="AB23" s="311">
        <f t="shared" si="23"/>
        <v>0</v>
      </c>
      <c r="AC23" s="381">
        <f t="shared" si="4"/>
        <v>0</v>
      </c>
      <c r="AD23" s="382">
        <f t="shared" si="24"/>
        <v>0</v>
      </c>
      <c r="AE23" s="382">
        <f t="shared" si="24"/>
        <v>0</v>
      </c>
      <c r="AF23" s="382">
        <f t="shared" si="24"/>
        <v>0</v>
      </c>
      <c r="AG23" s="382">
        <f t="shared" si="24"/>
        <v>0</v>
      </c>
      <c r="AH23" s="382">
        <f t="shared" si="24"/>
        <v>0</v>
      </c>
      <c r="AI23" s="382">
        <f t="shared" si="24"/>
        <v>0</v>
      </c>
      <c r="AJ23" s="382">
        <f t="shared" si="24"/>
        <v>0</v>
      </c>
      <c r="AK23" s="382">
        <f t="shared" si="24"/>
        <v>0</v>
      </c>
      <c r="AL23" s="382">
        <f t="shared" si="24"/>
        <v>0</v>
      </c>
      <c r="AM23" s="382">
        <f t="shared" si="24"/>
        <v>0</v>
      </c>
      <c r="AN23" s="382">
        <f t="shared" si="24"/>
        <v>0</v>
      </c>
      <c r="AO23" s="311">
        <f t="shared" si="25"/>
        <v>0</v>
      </c>
      <c r="AP23" s="381">
        <f t="shared" si="6"/>
        <v>0</v>
      </c>
      <c r="AQ23" s="382">
        <f t="shared" si="26"/>
        <v>0</v>
      </c>
      <c r="AR23" s="382">
        <f t="shared" si="26"/>
        <v>0</v>
      </c>
      <c r="AS23" s="382">
        <f t="shared" si="26"/>
        <v>0</v>
      </c>
      <c r="AT23" s="382">
        <f t="shared" si="26"/>
        <v>0</v>
      </c>
      <c r="AU23" s="382">
        <f t="shared" si="26"/>
        <v>0</v>
      </c>
      <c r="AV23" s="382">
        <f t="shared" si="26"/>
        <v>0</v>
      </c>
      <c r="AW23" s="382">
        <f t="shared" si="26"/>
        <v>0</v>
      </c>
      <c r="AX23" s="382">
        <f t="shared" si="26"/>
        <v>0</v>
      </c>
      <c r="AY23" s="382">
        <f t="shared" si="26"/>
        <v>0</v>
      </c>
      <c r="AZ23" s="382">
        <f t="shared" si="26"/>
        <v>0</v>
      </c>
      <c r="BA23" s="382">
        <f t="shared" si="26"/>
        <v>0</v>
      </c>
      <c r="BB23" s="311">
        <f t="shared" si="27"/>
        <v>0</v>
      </c>
      <c r="BC23" s="381">
        <f t="shared" si="8"/>
        <v>0</v>
      </c>
      <c r="BD23" s="382">
        <f t="shared" si="28"/>
        <v>0</v>
      </c>
      <c r="BE23" s="382">
        <f t="shared" si="28"/>
        <v>0</v>
      </c>
      <c r="BF23" s="382">
        <f t="shared" si="28"/>
        <v>0</v>
      </c>
      <c r="BG23" s="382">
        <f t="shared" si="28"/>
        <v>0</v>
      </c>
      <c r="BH23" s="382">
        <f t="shared" si="28"/>
        <v>0</v>
      </c>
      <c r="BI23" s="382">
        <f t="shared" si="28"/>
        <v>0</v>
      </c>
      <c r="BJ23" s="382">
        <f t="shared" si="28"/>
        <v>0</v>
      </c>
      <c r="BK23" s="382">
        <f t="shared" si="28"/>
        <v>0</v>
      </c>
      <c r="BL23" s="382">
        <f t="shared" si="28"/>
        <v>0</v>
      </c>
      <c r="BM23" s="382">
        <f t="shared" si="28"/>
        <v>0</v>
      </c>
      <c r="BN23" s="382">
        <f t="shared" si="28"/>
        <v>0</v>
      </c>
      <c r="BO23" s="311">
        <f t="shared" si="29"/>
        <v>0</v>
      </c>
      <c r="BP23" s="381">
        <f t="shared" si="10"/>
        <v>0</v>
      </c>
      <c r="BQ23" s="382">
        <f t="shared" si="30"/>
        <v>0</v>
      </c>
      <c r="BR23" s="382">
        <f t="shared" si="30"/>
        <v>0</v>
      </c>
      <c r="BS23" s="382">
        <f t="shared" si="30"/>
        <v>0</v>
      </c>
      <c r="BT23" s="382">
        <f t="shared" si="30"/>
        <v>0</v>
      </c>
      <c r="BU23" s="382">
        <f t="shared" si="30"/>
        <v>0</v>
      </c>
      <c r="BV23" s="382">
        <f t="shared" si="30"/>
        <v>0</v>
      </c>
      <c r="BW23" s="382">
        <f t="shared" si="30"/>
        <v>0</v>
      </c>
      <c r="BX23" s="382">
        <f t="shared" si="30"/>
        <v>0</v>
      </c>
      <c r="BY23" s="382">
        <f t="shared" si="30"/>
        <v>0</v>
      </c>
      <c r="BZ23" s="382">
        <f t="shared" si="30"/>
        <v>0</v>
      </c>
      <c r="CA23" s="382">
        <f t="shared" si="30"/>
        <v>0</v>
      </c>
      <c r="CB23" s="311">
        <f t="shared" si="31"/>
        <v>0</v>
      </c>
      <c r="CC23" s="381">
        <f t="shared" si="12"/>
        <v>0</v>
      </c>
      <c r="CD23" s="382">
        <f t="shared" si="32"/>
        <v>0</v>
      </c>
      <c r="CE23" s="382">
        <f t="shared" si="32"/>
        <v>0</v>
      </c>
      <c r="CF23" s="382">
        <f t="shared" si="32"/>
        <v>0</v>
      </c>
      <c r="CG23" s="382">
        <f t="shared" si="32"/>
        <v>0</v>
      </c>
      <c r="CH23" s="382">
        <f t="shared" si="32"/>
        <v>0</v>
      </c>
      <c r="CI23" s="382">
        <f t="shared" si="32"/>
        <v>0</v>
      </c>
      <c r="CJ23" s="382">
        <f t="shared" si="32"/>
        <v>0</v>
      </c>
      <c r="CK23" s="382">
        <f t="shared" si="32"/>
        <v>0</v>
      </c>
      <c r="CL23" s="382">
        <f t="shared" si="32"/>
        <v>0</v>
      </c>
      <c r="CM23" s="382">
        <f t="shared" si="32"/>
        <v>0</v>
      </c>
      <c r="CN23" s="382">
        <f t="shared" si="32"/>
        <v>0</v>
      </c>
      <c r="CO23" s="311">
        <f t="shared" si="33"/>
        <v>0</v>
      </c>
      <c r="CP23" s="381">
        <f t="shared" si="14"/>
        <v>0</v>
      </c>
      <c r="CQ23" s="382">
        <f t="shared" si="34"/>
        <v>0</v>
      </c>
      <c r="CR23" s="382">
        <f t="shared" si="34"/>
        <v>0</v>
      </c>
      <c r="CS23" s="382">
        <f t="shared" si="34"/>
        <v>0</v>
      </c>
      <c r="CT23" s="382">
        <f t="shared" si="34"/>
        <v>0</v>
      </c>
      <c r="CU23" s="382">
        <f t="shared" si="34"/>
        <v>0</v>
      </c>
      <c r="CV23" s="382">
        <f t="shared" si="34"/>
        <v>0</v>
      </c>
      <c r="CW23" s="382">
        <f t="shared" si="34"/>
        <v>0</v>
      </c>
      <c r="CX23" s="382">
        <f t="shared" si="34"/>
        <v>0</v>
      </c>
      <c r="CY23" s="382">
        <f t="shared" si="34"/>
        <v>0</v>
      </c>
      <c r="CZ23" s="382">
        <f t="shared" si="34"/>
        <v>0</v>
      </c>
      <c r="DA23" s="382">
        <f t="shared" si="34"/>
        <v>0</v>
      </c>
      <c r="DB23" s="295">
        <f t="shared" si="35"/>
        <v>0</v>
      </c>
      <c r="DD23" s="378">
        <f t="shared" si="16"/>
        <v>0</v>
      </c>
      <c r="DE23" s="379">
        <f t="shared" si="17"/>
        <v>0</v>
      </c>
      <c r="DF23" s="379">
        <f t="shared" si="18"/>
        <v>0</v>
      </c>
      <c r="DG23" s="379">
        <f t="shared" si="19"/>
        <v>0</v>
      </c>
      <c r="DH23" s="379">
        <f t="shared" si="20"/>
        <v>0</v>
      </c>
      <c r="DI23" s="379">
        <f t="shared" si="40"/>
        <v>0</v>
      </c>
      <c r="DJ23" s="380">
        <f t="shared" si="41"/>
        <v>0</v>
      </c>
    </row>
    <row r="24" spans="2:114">
      <c r="B24" s="307"/>
      <c r="C24" s="308"/>
      <c r="D24" s="389"/>
      <c r="E24" s="390"/>
      <c r="F24" s="307"/>
      <c r="G24" s="308"/>
      <c r="H24" s="309"/>
      <c r="I24" s="294">
        <f t="shared" si="21"/>
        <v>0</v>
      </c>
      <c r="J24" s="310"/>
      <c r="K24" s="310"/>
      <c r="L24" s="32" t="str">
        <f t="shared" si="0"/>
        <v xml:space="preserve"> </v>
      </c>
      <c r="M24" s="312" t="str">
        <f t="shared" si="38"/>
        <v xml:space="preserve"> </v>
      </c>
      <c r="N24" s="2" t="str">
        <f t="shared" si="39"/>
        <v xml:space="preserve"> </v>
      </c>
      <c r="O24" s="274"/>
      <c r="P24" s="384">
        <f t="shared" si="22"/>
        <v>0</v>
      </c>
      <c r="Q24" s="382">
        <f t="shared" si="3"/>
        <v>0</v>
      </c>
      <c r="R24" s="382">
        <f t="shared" si="3"/>
        <v>0</v>
      </c>
      <c r="S24" s="382">
        <f t="shared" si="3"/>
        <v>0</v>
      </c>
      <c r="T24" s="382">
        <f t="shared" si="3"/>
        <v>0</v>
      </c>
      <c r="U24" s="382">
        <f t="shared" si="3"/>
        <v>0</v>
      </c>
      <c r="V24" s="382">
        <f t="shared" si="3"/>
        <v>0</v>
      </c>
      <c r="W24" s="382">
        <f t="shared" si="3"/>
        <v>0</v>
      </c>
      <c r="X24" s="382">
        <f t="shared" si="3"/>
        <v>0</v>
      </c>
      <c r="Y24" s="382">
        <f t="shared" si="3"/>
        <v>0</v>
      </c>
      <c r="Z24" s="382">
        <f t="shared" si="3"/>
        <v>0</v>
      </c>
      <c r="AA24" s="382">
        <f t="shared" si="3"/>
        <v>0</v>
      </c>
      <c r="AB24" s="311">
        <f t="shared" si="23"/>
        <v>0</v>
      </c>
      <c r="AC24" s="381">
        <f t="shared" si="4"/>
        <v>0</v>
      </c>
      <c r="AD24" s="382">
        <f t="shared" si="24"/>
        <v>0</v>
      </c>
      <c r="AE24" s="382">
        <f t="shared" si="24"/>
        <v>0</v>
      </c>
      <c r="AF24" s="382">
        <f t="shared" si="24"/>
        <v>0</v>
      </c>
      <c r="AG24" s="382">
        <f t="shared" si="24"/>
        <v>0</v>
      </c>
      <c r="AH24" s="382">
        <f t="shared" si="24"/>
        <v>0</v>
      </c>
      <c r="AI24" s="382">
        <f t="shared" si="24"/>
        <v>0</v>
      </c>
      <c r="AJ24" s="382">
        <f t="shared" si="24"/>
        <v>0</v>
      </c>
      <c r="AK24" s="382">
        <f t="shared" si="24"/>
        <v>0</v>
      </c>
      <c r="AL24" s="382">
        <f t="shared" si="24"/>
        <v>0</v>
      </c>
      <c r="AM24" s="382">
        <f t="shared" si="24"/>
        <v>0</v>
      </c>
      <c r="AN24" s="382">
        <f t="shared" si="24"/>
        <v>0</v>
      </c>
      <c r="AO24" s="311">
        <f t="shared" si="25"/>
        <v>0</v>
      </c>
      <c r="AP24" s="381">
        <f t="shared" si="6"/>
        <v>0</v>
      </c>
      <c r="AQ24" s="382">
        <f t="shared" si="26"/>
        <v>0</v>
      </c>
      <c r="AR24" s="382">
        <f t="shared" si="26"/>
        <v>0</v>
      </c>
      <c r="AS24" s="382">
        <f t="shared" si="26"/>
        <v>0</v>
      </c>
      <c r="AT24" s="382">
        <f t="shared" si="26"/>
        <v>0</v>
      </c>
      <c r="AU24" s="382">
        <f t="shared" si="26"/>
        <v>0</v>
      </c>
      <c r="AV24" s="382">
        <f t="shared" si="26"/>
        <v>0</v>
      </c>
      <c r="AW24" s="382">
        <f t="shared" si="26"/>
        <v>0</v>
      </c>
      <c r="AX24" s="382">
        <f t="shared" si="26"/>
        <v>0</v>
      </c>
      <c r="AY24" s="382">
        <f t="shared" si="26"/>
        <v>0</v>
      </c>
      <c r="AZ24" s="382">
        <f t="shared" si="26"/>
        <v>0</v>
      </c>
      <c r="BA24" s="382">
        <f t="shared" si="26"/>
        <v>0</v>
      </c>
      <c r="BB24" s="311">
        <f t="shared" si="27"/>
        <v>0</v>
      </c>
      <c r="BC24" s="381">
        <f t="shared" si="8"/>
        <v>0</v>
      </c>
      <c r="BD24" s="382">
        <f t="shared" si="28"/>
        <v>0</v>
      </c>
      <c r="BE24" s="382">
        <f t="shared" si="28"/>
        <v>0</v>
      </c>
      <c r="BF24" s="382">
        <f t="shared" si="28"/>
        <v>0</v>
      </c>
      <c r="BG24" s="382">
        <f t="shared" si="28"/>
        <v>0</v>
      </c>
      <c r="BH24" s="382">
        <f t="shared" si="28"/>
        <v>0</v>
      </c>
      <c r="BI24" s="382">
        <f t="shared" si="28"/>
        <v>0</v>
      </c>
      <c r="BJ24" s="382">
        <f t="shared" si="28"/>
        <v>0</v>
      </c>
      <c r="BK24" s="382">
        <f t="shared" si="28"/>
        <v>0</v>
      </c>
      <c r="BL24" s="382">
        <f t="shared" si="28"/>
        <v>0</v>
      </c>
      <c r="BM24" s="382">
        <f t="shared" si="28"/>
        <v>0</v>
      </c>
      <c r="BN24" s="382">
        <f t="shared" si="28"/>
        <v>0</v>
      </c>
      <c r="BO24" s="311">
        <f t="shared" si="29"/>
        <v>0</v>
      </c>
      <c r="BP24" s="381">
        <f t="shared" si="10"/>
        <v>0</v>
      </c>
      <c r="BQ24" s="382">
        <f t="shared" si="30"/>
        <v>0</v>
      </c>
      <c r="BR24" s="382">
        <f t="shared" si="30"/>
        <v>0</v>
      </c>
      <c r="BS24" s="382">
        <f t="shared" si="30"/>
        <v>0</v>
      </c>
      <c r="BT24" s="382">
        <f t="shared" si="30"/>
        <v>0</v>
      </c>
      <c r="BU24" s="382">
        <f t="shared" si="30"/>
        <v>0</v>
      </c>
      <c r="BV24" s="382">
        <f t="shared" si="30"/>
        <v>0</v>
      </c>
      <c r="BW24" s="382">
        <f t="shared" si="30"/>
        <v>0</v>
      </c>
      <c r="BX24" s="382">
        <f t="shared" si="30"/>
        <v>0</v>
      </c>
      <c r="BY24" s="382">
        <f t="shared" si="30"/>
        <v>0</v>
      </c>
      <c r="BZ24" s="382">
        <f t="shared" si="30"/>
        <v>0</v>
      </c>
      <c r="CA24" s="382">
        <f t="shared" si="30"/>
        <v>0</v>
      </c>
      <c r="CB24" s="311">
        <f t="shared" si="31"/>
        <v>0</v>
      </c>
      <c r="CC24" s="381">
        <f t="shared" si="12"/>
        <v>0</v>
      </c>
      <c r="CD24" s="382">
        <f t="shared" si="32"/>
        <v>0</v>
      </c>
      <c r="CE24" s="382">
        <f t="shared" si="32"/>
        <v>0</v>
      </c>
      <c r="CF24" s="382">
        <f t="shared" si="32"/>
        <v>0</v>
      </c>
      <c r="CG24" s="382">
        <f t="shared" si="32"/>
        <v>0</v>
      </c>
      <c r="CH24" s="382">
        <f t="shared" si="32"/>
        <v>0</v>
      </c>
      <c r="CI24" s="382">
        <f t="shared" si="32"/>
        <v>0</v>
      </c>
      <c r="CJ24" s="382">
        <f t="shared" si="32"/>
        <v>0</v>
      </c>
      <c r="CK24" s="382">
        <f t="shared" si="32"/>
        <v>0</v>
      </c>
      <c r="CL24" s="382">
        <f t="shared" si="32"/>
        <v>0</v>
      </c>
      <c r="CM24" s="382">
        <f t="shared" si="32"/>
        <v>0</v>
      </c>
      <c r="CN24" s="382">
        <f t="shared" si="32"/>
        <v>0</v>
      </c>
      <c r="CO24" s="311">
        <f t="shared" si="33"/>
        <v>0</v>
      </c>
      <c r="CP24" s="381">
        <f t="shared" si="14"/>
        <v>0</v>
      </c>
      <c r="CQ24" s="382">
        <f t="shared" si="34"/>
        <v>0</v>
      </c>
      <c r="CR24" s="382">
        <f t="shared" si="34"/>
        <v>0</v>
      </c>
      <c r="CS24" s="382">
        <f t="shared" si="34"/>
        <v>0</v>
      </c>
      <c r="CT24" s="382">
        <f t="shared" si="34"/>
        <v>0</v>
      </c>
      <c r="CU24" s="382">
        <f t="shared" si="34"/>
        <v>0</v>
      </c>
      <c r="CV24" s="382">
        <f t="shared" si="34"/>
        <v>0</v>
      </c>
      <c r="CW24" s="382">
        <f t="shared" si="34"/>
        <v>0</v>
      </c>
      <c r="CX24" s="382">
        <f t="shared" si="34"/>
        <v>0</v>
      </c>
      <c r="CY24" s="382">
        <f t="shared" si="34"/>
        <v>0</v>
      </c>
      <c r="CZ24" s="382">
        <f t="shared" si="34"/>
        <v>0</v>
      </c>
      <c r="DA24" s="382">
        <f t="shared" si="34"/>
        <v>0</v>
      </c>
      <c r="DB24" s="295">
        <f t="shared" si="35"/>
        <v>0</v>
      </c>
      <c r="DD24" s="378">
        <f t="shared" si="16"/>
        <v>0</v>
      </c>
      <c r="DE24" s="379">
        <f t="shared" si="17"/>
        <v>0</v>
      </c>
      <c r="DF24" s="379">
        <f t="shared" si="18"/>
        <v>0</v>
      </c>
      <c r="DG24" s="379">
        <f t="shared" si="19"/>
        <v>0</v>
      </c>
      <c r="DH24" s="379">
        <f t="shared" si="20"/>
        <v>0</v>
      </c>
      <c r="DI24" s="379">
        <f t="shared" si="40"/>
        <v>0</v>
      </c>
      <c r="DJ24" s="380">
        <f t="shared" si="41"/>
        <v>0</v>
      </c>
    </row>
    <row r="25" spans="2:114">
      <c r="B25" s="307"/>
      <c r="C25" s="308"/>
      <c r="D25" s="389"/>
      <c r="E25" s="390"/>
      <c r="F25" s="307"/>
      <c r="G25" s="308"/>
      <c r="H25" s="309"/>
      <c r="I25" s="294">
        <f t="shared" si="21"/>
        <v>0</v>
      </c>
      <c r="J25" s="310"/>
      <c r="K25" s="310"/>
      <c r="L25" s="32" t="str">
        <f t="shared" si="0"/>
        <v xml:space="preserve"> </v>
      </c>
      <c r="M25" s="312" t="str">
        <f t="shared" si="38"/>
        <v xml:space="preserve"> </v>
      </c>
      <c r="N25" s="2" t="str">
        <f t="shared" si="39"/>
        <v xml:space="preserve"> </v>
      </c>
      <c r="O25" s="274"/>
      <c r="P25" s="384">
        <f t="shared" si="22"/>
        <v>0</v>
      </c>
      <c r="Q25" s="382">
        <f t="shared" si="3"/>
        <v>0</v>
      </c>
      <c r="R25" s="382">
        <f t="shared" si="3"/>
        <v>0</v>
      </c>
      <c r="S25" s="382">
        <f t="shared" si="3"/>
        <v>0</v>
      </c>
      <c r="T25" s="382">
        <f t="shared" si="3"/>
        <v>0</v>
      </c>
      <c r="U25" s="382">
        <f t="shared" si="3"/>
        <v>0</v>
      </c>
      <c r="V25" s="382">
        <f t="shared" si="3"/>
        <v>0</v>
      </c>
      <c r="W25" s="382">
        <f t="shared" si="3"/>
        <v>0</v>
      </c>
      <c r="X25" s="382">
        <f t="shared" si="3"/>
        <v>0</v>
      </c>
      <c r="Y25" s="382">
        <f t="shared" si="3"/>
        <v>0</v>
      </c>
      <c r="Z25" s="382">
        <f t="shared" si="3"/>
        <v>0</v>
      </c>
      <c r="AA25" s="382">
        <f t="shared" si="3"/>
        <v>0</v>
      </c>
      <c r="AB25" s="311">
        <f t="shared" si="23"/>
        <v>0</v>
      </c>
      <c r="AC25" s="381">
        <f t="shared" si="4"/>
        <v>0</v>
      </c>
      <c r="AD25" s="382">
        <f t="shared" si="24"/>
        <v>0</v>
      </c>
      <c r="AE25" s="382">
        <f t="shared" si="24"/>
        <v>0</v>
      </c>
      <c r="AF25" s="382">
        <f t="shared" si="24"/>
        <v>0</v>
      </c>
      <c r="AG25" s="382">
        <f t="shared" si="24"/>
        <v>0</v>
      </c>
      <c r="AH25" s="382">
        <f t="shared" si="24"/>
        <v>0</v>
      </c>
      <c r="AI25" s="382">
        <f t="shared" si="24"/>
        <v>0</v>
      </c>
      <c r="AJ25" s="382">
        <f t="shared" si="24"/>
        <v>0</v>
      </c>
      <c r="AK25" s="382">
        <f t="shared" si="24"/>
        <v>0</v>
      </c>
      <c r="AL25" s="382">
        <f t="shared" si="24"/>
        <v>0</v>
      </c>
      <c r="AM25" s="382">
        <f t="shared" si="24"/>
        <v>0</v>
      </c>
      <c r="AN25" s="382">
        <f t="shared" si="24"/>
        <v>0</v>
      </c>
      <c r="AO25" s="311">
        <f t="shared" si="25"/>
        <v>0</v>
      </c>
      <c r="AP25" s="381">
        <f t="shared" si="6"/>
        <v>0</v>
      </c>
      <c r="AQ25" s="382">
        <f t="shared" si="26"/>
        <v>0</v>
      </c>
      <c r="AR25" s="382">
        <f t="shared" si="26"/>
        <v>0</v>
      </c>
      <c r="AS25" s="382">
        <f t="shared" si="26"/>
        <v>0</v>
      </c>
      <c r="AT25" s="382">
        <f t="shared" si="26"/>
        <v>0</v>
      </c>
      <c r="AU25" s="382">
        <f t="shared" si="26"/>
        <v>0</v>
      </c>
      <c r="AV25" s="382">
        <f t="shared" si="26"/>
        <v>0</v>
      </c>
      <c r="AW25" s="382">
        <f t="shared" si="26"/>
        <v>0</v>
      </c>
      <c r="AX25" s="382">
        <f t="shared" si="26"/>
        <v>0</v>
      </c>
      <c r="AY25" s="382">
        <f t="shared" si="26"/>
        <v>0</v>
      </c>
      <c r="AZ25" s="382">
        <f t="shared" si="26"/>
        <v>0</v>
      </c>
      <c r="BA25" s="382">
        <f t="shared" si="26"/>
        <v>0</v>
      </c>
      <c r="BB25" s="311">
        <f t="shared" si="27"/>
        <v>0</v>
      </c>
      <c r="BC25" s="381">
        <f t="shared" si="8"/>
        <v>0</v>
      </c>
      <c r="BD25" s="382">
        <f t="shared" si="28"/>
        <v>0</v>
      </c>
      <c r="BE25" s="382">
        <f t="shared" si="28"/>
        <v>0</v>
      </c>
      <c r="BF25" s="382">
        <f t="shared" si="28"/>
        <v>0</v>
      </c>
      <c r="BG25" s="382">
        <f t="shared" si="28"/>
        <v>0</v>
      </c>
      <c r="BH25" s="382">
        <f t="shared" si="28"/>
        <v>0</v>
      </c>
      <c r="BI25" s="382">
        <f t="shared" si="28"/>
        <v>0</v>
      </c>
      <c r="BJ25" s="382">
        <f t="shared" si="28"/>
        <v>0</v>
      </c>
      <c r="BK25" s="382">
        <f t="shared" si="28"/>
        <v>0</v>
      </c>
      <c r="BL25" s="382">
        <f t="shared" si="28"/>
        <v>0</v>
      </c>
      <c r="BM25" s="382">
        <f t="shared" si="28"/>
        <v>0</v>
      </c>
      <c r="BN25" s="382">
        <f t="shared" si="28"/>
        <v>0</v>
      </c>
      <c r="BO25" s="311">
        <f t="shared" si="29"/>
        <v>0</v>
      </c>
      <c r="BP25" s="381">
        <f t="shared" si="10"/>
        <v>0</v>
      </c>
      <c r="BQ25" s="382">
        <f t="shared" si="30"/>
        <v>0</v>
      </c>
      <c r="BR25" s="382">
        <f t="shared" si="30"/>
        <v>0</v>
      </c>
      <c r="BS25" s="382">
        <f t="shared" si="30"/>
        <v>0</v>
      </c>
      <c r="BT25" s="382">
        <f t="shared" si="30"/>
        <v>0</v>
      </c>
      <c r="BU25" s="382">
        <f t="shared" si="30"/>
        <v>0</v>
      </c>
      <c r="BV25" s="382">
        <f t="shared" si="30"/>
        <v>0</v>
      </c>
      <c r="BW25" s="382">
        <f t="shared" si="30"/>
        <v>0</v>
      </c>
      <c r="BX25" s="382">
        <f t="shared" si="30"/>
        <v>0</v>
      </c>
      <c r="BY25" s="382">
        <f t="shared" si="30"/>
        <v>0</v>
      </c>
      <c r="BZ25" s="382">
        <f t="shared" si="30"/>
        <v>0</v>
      </c>
      <c r="CA25" s="382">
        <f t="shared" si="30"/>
        <v>0</v>
      </c>
      <c r="CB25" s="311">
        <f t="shared" si="31"/>
        <v>0</v>
      </c>
      <c r="CC25" s="381">
        <f t="shared" si="12"/>
        <v>0</v>
      </c>
      <c r="CD25" s="382">
        <f t="shared" si="32"/>
        <v>0</v>
      </c>
      <c r="CE25" s="382">
        <f t="shared" si="32"/>
        <v>0</v>
      </c>
      <c r="CF25" s="382">
        <f t="shared" si="32"/>
        <v>0</v>
      </c>
      <c r="CG25" s="382">
        <f t="shared" si="32"/>
        <v>0</v>
      </c>
      <c r="CH25" s="382">
        <f t="shared" si="32"/>
        <v>0</v>
      </c>
      <c r="CI25" s="382">
        <f t="shared" si="32"/>
        <v>0</v>
      </c>
      <c r="CJ25" s="382">
        <f t="shared" si="32"/>
        <v>0</v>
      </c>
      <c r="CK25" s="382">
        <f t="shared" si="32"/>
        <v>0</v>
      </c>
      <c r="CL25" s="382">
        <f t="shared" si="32"/>
        <v>0</v>
      </c>
      <c r="CM25" s="382">
        <f t="shared" si="32"/>
        <v>0</v>
      </c>
      <c r="CN25" s="382">
        <f t="shared" si="32"/>
        <v>0</v>
      </c>
      <c r="CO25" s="311">
        <f t="shared" si="33"/>
        <v>0</v>
      </c>
      <c r="CP25" s="381">
        <f t="shared" si="14"/>
        <v>0</v>
      </c>
      <c r="CQ25" s="382">
        <f t="shared" si="34"/>
        <v>0</v>
      </c>
      <c r="CR25" s="382">
        <f t="shared" si="34"/>
        <v>0</v>
      </c>
      <c r="CS25" s="382">
        <f t="shared" si="34"/>
        <v>0</v>
      </c>
      <c r="CT25" s="382">
        <f t="shared" si="34"/>
        <v>0</v>
      </c>
      <c r="CU25" s="382">
        <f t="shared" si="34"/>
        <v>0</v>
      </c>
      <c r="CV25" s="382">
        <f t="shared" si="34"/>
        <v>0</v>
      </c>
      <c r="CW25" s="382">
        <f t="shared" si="34"/>
        <v>0</v>
      </c>
      <c r="CX25" s="382">
        <f t="shared" si="34"/>
        <v>0</v>
      </c>
      <c r="CY25" s="382">
        <f t="shared" si="34"/>
        <v>0</v>
      </c>
      <c r="CZ25" s="382">
        <f t="shared" si="34"/>
        <v>0</v>
      </c>
      <c r="DA25" s="382">
        <f t="shared" si="34"/>
        <v>0</v>
      </c>
      <c r="DB25" s="295">
        <f t="shared" si="35"/>
        <v>0</v>
      </c>
      <c r="DD25" s="378">
        <f t="shared" si="16"/>
        <v>0</v>
      </c>
      <c r="DE25" s="379">
        <f t="shared" si="17"/>
        <v>0</v>
      </c>
      <c r="DF25" s="379">
        <f t="shared" si="18"/>
        <v>0</v>
      </c>
      <c r="DG25" s="379">
        <f t="shared" si="19"/>
        <v>0</v>
      </c>
      <c r="DH25" s="379">
        <f t="shared" si="20"/>
        <v>0</v>
      </c>
      <c r="DI25" s="379">
        <f t="shared" si="40"/>
        <v>0</v>
      </c>
      <c r="DJ25" s="380">
        <f t="shared" si="41"/>
        <v>0</v>
      </c>
    </row>
    <row r="26" spans="2:114">
      <c r="B26" s="307"/>
      <c r="C26" s="308"/>
      <c r="D26" s="389"/>
      <c r="E26" s="390"/>
      <c r="F26" s="307"/>
      <c r="G26" s="308"/>
      <c r="H26" s="309"/>
      <c r="I26" s="294">
        <f t="shared" si="21"/>
        <v>0</v>
      </c>
      <c r="J26" s="310"/>
      <c r="K26" s="310"/>
      <c r="L26" s="32" t="str">
        <f t="shared" si="0"/>
        <v xml:space="preserve"> </v>
      </c>
      <c r="M26" s="312" t="str">
        <f t="shared" si="38"/>
        <v xml:space="preserve"> </v>
      </c>
      <c r="N26" s="2" t="str">
        <f t="shared" si="39"/>
        <v xml:space="preserve"> </v>
      </c>
      <c r="O26" s="274"/>
      <c r="P26" s="384">
        <f t="shared" si="22"/>
        <v>0</v>
      </c>
      <c r="Q26" s="382">
        <f t="shared" si="3"/>
        <v>0</v>
      </c>
      <c r="R26" s="382">
        <f t="shared" si="3"/>
        <v>0</v>
      </c>
      <c r="S26" s="382">
        <f t="shared" si="3"/>
        <v>0</v>
      </c>
      <c r="T26" s="382">
        <f t="shared" si="3"/>
        <v>0</v>
      </c>
      <c r="U26" s="382">
        <f t="shared" si="3"/>
        <v>0</v>
      </c>
      <c r="V26" s="382">
        <f t="shared" si="3"/>
        <v>0</v>
      </c>
      <c r="W26" s="382">
        <f t="shared" si="3"/>
        <v>0</v>
      </c>
      <c r="X26" s="382">
        <f t="shared" si="3"/>
        <v>0</v>
      </c>
      <c r="Y26" s="382">
        <f t="shared" si="3"/>
        <v>0</v>
      </c>
      <c r="Z26" s="382">
        <f t="shared" si="3"/>
        <v>0</v>
      </c>
      <c r="AA26" s="382">
        <f t="shared" si="3"/>
        <v>0</v>
      </c>
      <c r="AB26" s="311">
        <f t="shared" si="23"/>
        <v>0</v>
      </c>
      <c r="AC26" s="381">
        <f t="shared" si="4"/>
        <v>0</v>
      </c>
      <c r="AD26" s="382">
        <f t="shared" si="24"/>
        <v>0</v>
      </c>
      <c r="AE26" s="382">
        <f t="shared" si="24"/>
        <v>0</v>
      </c>
      <c r="AF26" s="382">
        <f t="shared" si="24"/>
        <v>0</v>
      </c>
      <c r="AG26" s="382">
        <f t="shared" si="24"/>
        <v>0</v>
      </c>
      <c r="AH26" s="382">
        <f t="shared" si="24"/>
        <v>0</v>
      </c>
      <c r="AI26" s="382">
        <f t="shared" si="24"/>
        <v>0</v>
      </c>
      <c r="AJ26" s="382">
        <f t="shared" si="24"/>
        <v>0</v>
      </c>
      <c r="AK26" s="382">
        <f t="shared" si="24"/>
        <v>0</v>
      </c>
      <c r="AL26" s="382">
        <f t="shared" si="24"/>
        <v>0</v>
      </c>
      <c r="AM26" s="382">
        <f t="shared" si="24"/>
        <v>0</v>
      </c>
      <c r="AN26" s="382">
        <f t="shared" si="24"/>
        <v>0</v>
      </c>
      <c r="AO26" s="311">
        <f t="shared" si="25"/>
        <v>0</v>
      </c>
      <c r="AP26" s="381">
        <f t="shared" si="6"/>
        <v>0</v>
      </c>
      <c r="AQ26" s="382">
        <f t="shared" si="26"/>
        <v>0</v>
      </c>
      <c r="AR26" s="382">
        <f t="shared" si="26"/>
        <v>0</v>
      </c>
      <c r="AS26" s="382">
        <f t="shared" si="26"/>
        <v>0</v>
      </c>
      <c r="AT26" s="382">
        <f t="shared" si="26"/>
        <v>0</v>
      </c>
      <c r="AU26" s="382">
        <f t="shared" si="26"/>
        <v>0</v>
      </c>
      <c r="AV26" s="382">
        <f t="shared" si="26"/>
        <v>0</v>
      </c>
      <c r="AW26" s="382">
        <f t="shared" si="26"/>
        <v>0</v>
      </c>
      <c r="AX26" s="382">
        <f t="shared" si="26"/>
        <v>0</v>
      </c>
      <c r="AY26" s="382">
        <f t="shared" si="26"/>
        <v>0</v>
      </c>
      <c r="AZ26" s="382">
        <f t="shared" si="26"/>
        <v>0</v>
      </c>
      <c r="BA26" s="382">
        <f t="shared" si="26"/>
        <v>0</v>
      </c>
      <c r="BB26" s="311">
        <f t="shared" si="27"/>
        <v>0</v>
      </c>
      <c r="BC26" s="381">
        <f t="shared" si="8"/>
        <v>0</v>
      </c>
      <c r="BD26" s="382">
        <f t="shared" si="28"/>
        <v>0</v>
      </c>
      <c r="BE26" s="382">
        <f t="shared" si="28"/>
        <v>0</v>
      </c>
      <c r="BF26" s="382">
        <f t="shared" si="28"/>
        <v>0</v>
      </c>
      <c r="BG26" s="382">
        <f t="shared" si="28"/>
        <v>0</v>
      </c>
      <c r="BH26" s="382">
        <f t="shared" si="28"/>
        <v>0</v>
      </c>
      <c r="BI26" s="382">
        <f t="shared" si="28"/>
        <v>0</v>
      </c>
      <c r="BJ26" s="382">
        <f t="shared" si="28"/>
        <v>0</v>
      </c>
      <c r="BK26" s="382">
        <f t="shared" si="28"/>
        <v>0</v>
      </c>
      <c r="BL26" s="382">
        <f t="shared" si="28"/>
        <v>0</v>
      </c>
      <c r="BM26" s="382">
        <f t="shared" si="28"/>
        <v>0</v>
      </c>
      <c r="BN26" s="382">
        <f t="shared" si="28"/>
        <v>0</v>
      </c>
      <c r="BO26" s="311">
        <f t="shared" si="29"/>
        <v>0</v>
      </c>
      <c r="BP26" s="381">
        <f t="shared" si="10"/>
        <v>0</v>
      </c>
      <c r="BQ26" s="382">
        <f t="shared" si="30"/>
        <v>0</v>
      </c>
      <c r="BR26" s="382">
        <f t="shared" si="30"/>
        <v>0</v>
      </c>
      <c r="BS26" s="382">
        <f t="shared" si="30"/>
        <v>0</v>
      </c>
      <c r="BT26" s="382">
        <f t="shared" si="30"/>
        <v>0</v>
      </c>
      <c r="BU26" s="382">
        <f t="shared" si="30"/>
        <v>0</v>
      </c>
      <c r="BV26" s="382">
        <f t="shared" si="30"/>
        <v>0</v>
      </c>
      <c r="BW26" s="382">
        <f t="shared" si="30"/>
        <v>0</v>
      </c>
      <c r="BX26" s="382">
        <f t="shared" si="30"/>
        <v>0</v>
      </c>
      <c r="BY26" s="382">
        <f t="shared" si="30"/>
        <v>0</v>
      </c>
      <c r="BZ26" s="382">
        <f t="shared" si="30"/>
        <v>0</v>
      </c>
      <c r="CA26" s="382">
        <f t="shared" si="30"/>
        <v>0</v>
      </c>
      <c r="CB26" s="311">
        <f t="shared" si="31"/>
        <v>0</v>
      </c>
      <c r="CC26" s="381">
        <f t="shared" si="12"/>
        <v>0</v>
      </c>
      <c r="CD26" s="382">
        <f t="shared" si="32"/>
        <v>0</v>
      </c>
      <c r="CE26" s="382">
        <f t="shared" si="32"/>
        <v>0</v>
      </c>
      <c r="CF26" s="382">
        <f t="shared" si="32"/>
        <v>0</v>
      </c>
      <c r="CG26" s="382">
        <f t="shared" si="32"/>
        <v>0</v>
      </c>
      <c r="CH26" s="382">
        <f t="shared" si="32"/>
        <v>0</v>
      </c>
      <c r="CI26" s="382">
        <f t="shared" si="32"/>
        <v>0</v>
      </c>
      <c r="CJ26" s="382">
        <f t="shared" si="32"/>
        <v>0</v>
      </c>
      <c r="CK26" s="382">
        <f t="shared" si="32"/>
        <v>0</v>
      </c>
      <c r="CL26" s="382">
        <f t="shared" si="32"/>
        <v>0</v>
      </c>
      <c r="CM26" s="382">
        <f t="shared" si="32"/>
        <v>0</v>
      </c>
      <c r="CN26" s="382">
        <f t="shared" si="32"/>
        <v>0</v>
      </c>
      <c r="CO26" s="311">
        <f t="shared" si="33"/>
        <v>0</v>
      </c>
      <c r="CP26" s="381">
        <f t="shared" si="14"/>
        <v>0</v>
      </c>
      <c r="CQ26" s="382">
        <f t="shared" si="34"/>
        <v>0</v>
      </c>
      <c r="CR26" s="382">
        <f t="shared" si="34"/>
        <v>0</v>
      </c>
      <c r="CS26" s="382">
        <f t="shared" si="34"/>
        <v>0</v>
      </c>
      <c r="CT26" s="382">
        <f t="shared" si="34"/>
        <v>0</v>
      </c>
      <c r="CU26" s="382">
        <f t="shared" si="34"/>
        <v>0</v>
      </c>
      <c r="CV26" s="382">
        <f t="shared" si="34"/>
        <v>0</v>
      </c>
      <c r="CW26" s="382">
        <f t="shared" si="34"/>
        <v>0</v>
      </c>
      <c r="CX26" s="382">
        <f t="shared" si="34"/>
        <v>0</v>
      </c>
      <c r="CY26" s="382">
        <f t="shared" si="34"/>
        <v>0</v>
      </c>
      <c r="CZ26" s="382">
        <f t="shared" si="34"/>
        <v>0</v>
      </c>
      <c r="DA26" s="382">
        <f t="shared" si="34"/>
        <v>0</v>
      </c>
      <c r="DB26" s="295">
        <f t="shared" si="35"/>
        <v>0</v>
      </c>
      <c r="DD26" s="378">
        <f t="shared" si="16"/>
        <v>0</v>
      </c>
      <c r="DE26" s="379">
        <f t="shared" si="17"/>
        <v>0</v>
      </c>
      <c r="DF26" s="379">
        <f t="shared" si="18"/>
        <v>0</v>
      </c>
      <c r="DG26" s="379">
        <f t="shared" si="19"/>
        <v>0</v>
      </c>
      <c r="DH26" s="379">
        <f t="shared" si="20"/>
        <v>0</v>
      </c>
      <c r="DI26" s="379">
        <f t="shared" si="40"/>
        <v>0</v>
      </c>
      <c r="DJ26" s="380">
        <f t="shared" si="41"/>
        <v>0</v>
      </c>
    </row>
    <row r="27" spans="2:114" ht="16" thickBot="1">
      <c r="B27" s="391"/>
      <c r="C27" s="392"/>
      <c r="D27" s="393"/>
      <c r="E27" s="394"/>
      <c r="F27" s="307"/>
      <c r="G27" s="308"/>
      <c r="H27" s="309"/>
      <c r="I27" s="294">
        <f t="shared" si="21"/>
        <v>0</v>
      </c>
      <c r="J27" s="310"/>
      <c r="K27" s="310"/>
      <c r="L27" s="32" t="str">
        <f t="shared" si="0"/>
        <v xml:space="preserve"> </v>
      </c>
      <c r="M27" s="312" t="str">
        <f t="shared" si="38"/>
        <v xml:space="preserve"> </v>
      </c>
      <c r="N27" s="2" t="str">
        <f t="shared" si="39"/>
        <v xml:space="preserve"> </v>
      </c>
      <c r="O27" s="274"/>
      <c r="P27" s="385">
        <f t="shared" si="22"/>
        <v>0</v>
      </c>
      <c r="Q27" s="386">
        <f t="shared" si="3"/>
        <v>0</v>
      </c>
      <c r="R27" s="386">
        <f t="shared" si="3"/>
        <v>0</v>
      </c>
      <c r="S27" s="386">
        <f t="shared" si="3"/>
        <v>0</v>
      </c>
      <c r="T27" s="386">
        <f t="shared" si="3"/>
        <v>0</v>
      </c>
      <c r="U27" s="386">
        <f t="shared" si="3"/>
        <v>0</v>
      </c>
      <c r="V27" s="386">
        <f t="shared" si="3"/>
        <v>0</v>
      </c>
      <c r="W27" s="386">
        <f t="shared" si="3"/>
        <v>0</v>
      </c>
      <c r="X27" s="386">
        <f t="shared" si="3"/>
        <v>0</v>
      </c>
      <c r="Y27" s="386">
        <f t="shared" si="3"/>
        <v>0</v>
      </c>
      <c r="Z27" s="386">
        <f t="shared" si="3"/>
        <v>0</v>
      </c>
      <c r="AA27" s="386">
        <f t="shared" si="3"/>
        <v>0</v>
      </c>
      <c r="AB27" s="387">
        <f t="shared" si="23"/>
        <v>0</v>
      </c>
      <c r="AC27" s="388">
        <f t="shared" si="4"/>
        <v>0</v>
      </c>
      <c r="AD27" s="386">
        <f t="shared" si="24"/>
        <v>0</v>
      </c>
      <c r="AE27" s="386">
        <f t="shared" si="24"/>
        <v>0</v>
      </c>
      <c r="AF27" s="386">
        <f t="shared" si="24"/>
        <v>0</v>
      </c>
      <c r="AG27" s="386">
        <f t="shared" si="24"/>
        <v>0</v>
      </c>
      <c r="AH27" s="386">
        <f t="shared" si="24"/>
        <v>0</v>
      </c>
      <c r="AI27" s="386">
        <f t="shared" si="24"/>
        <v>0</v>
      </c>
      <c r="AJ27" s="386">
        <f t="shared" si="24"/>
        <v>0</v>
      </c>
      <c r="AK27" s="386">
        <f t="shared" si="24"/>
        <v>0</v>
      </c>
      <c r="AL27" s="386">
        <f t="shared" si="24"/>
        <v>0</v>
      </c>
      <c r="AM27" s="386">
        <f t="shared" si="24"/>
        <v>0</v>
      </c>
      <c r="AN27" s="386">
        <f t="shared" si="24"/>
        <v>0</v>
      </c>
      <c r="AO27" s="387">
        <f t="shared" si="25"/>
        <v>0</v>
      </c>
      <c r="AP27" s="388">
        <f t="shared" si="6"/>
        <v>0</v>
      </c>
      <c r="AQ27" s="386">
        <f t="shared" si="26"/>
        <v>0</v>
      </c>
      <c r="AR27" s="386">
        <f t="shared" si="26"/>
        <v>0</v>
      </c>
      <c r="AS27" s="386">
        <f t="shared" si="26"/>
        <v>0</v>
      </c>
      <c r="AT27" s="386">
        <f t="shared" si="26"/>
        <v>0</v>
      </c>
      <c r="AU27" s="386">
        <f t="shared" si="26"/>
        <v>0</v>
      </c>
      <c r="AV27" s="386">
        <f t="shared" si="26"/>
        <v>0</v>
      </c>
      <c r="AW27" s="386">
        <f t="shared" si="26"/>
        <v>0</v>
      </c>
      <c r="AX27" s="386">
        <f t="shared" si="26"/>
        <v>0</v>
      </c>
      <c r="AY27" s="386">
        <f t="shared" si="26"/>
        <v>0</v>
      </c>
      <c r="AZ27" s="386">
        <f t="shared" si="26"/>
        <v>0</v>
      </c>
      <c r="BA27" s="386">
        <f t="shared" si="26"/>
        <v>0</v>
      </c>
      <c r="BB27" s="387">
        <f t="shared" si="27"/>
        <v>0</v>
      </c>
      <c r="BC27" s="388">
        <f t="shared" si="8"/>
        <v>0</v>
      </c>
      <c r="BD27" s="386">
        <f t="shared" si="28"/>
        <v>0</v>
      </c>
      <c r="BE27" s="386">
        <f t="shared" si="28"/>
        <v>0</v>
      </c>
      <c r="BF27" s="386">
        <f t="shared" si="28"/>
        <v>0</v>
      </c>
      <c r="BG27" s="386">
        <f t="shared" si="28"/>
        <v>0</v>
      </c>
      <c r="BH27" s="386">
        <f t="shared" si="28"/>
        <v>0</v>
      </c>
      <c r="BI27" s="386">
        <f t="shared" si="28"/>
        <v>0</v>
      </c>
      <c r="BJ27" s="386">
        <f t="shared" si="28"/>
        <v>0</v>
      </c>
      <c r="BK27" s="386">
        <f t="shared" si="28"/>
        <v>0</v>
      </c>
      <c r="BL27" s="386">
        <f t="shared" si="28"/>
        <v>0</v>
      </c>
      <c r="BM27" s="386">
        <f t="shared" si="28"/>
        <v>0</v>
      </c>
      <c r="BN27" s="386">
        <f t="shared" si="28"/>
        <v>0</v>
      </c>
      <c r="BO27" s="387">
        <f t="shared" si="29"/>
        <v>0</v>
      </c>
      <c r="BP27" s="388">
        <f t="shared" si="10"/>
        <v>0</v>
      </c>
      <c r="BQ27" s="386">
        <f t="shared" si="30"/>
        <v>0</v>
      </c>
      <c r="BR27" s="386">
        <f t="shared" si="30"/>
        <v>0</v>
      </c>
      <c r="BS27" s="386">
        <f t="shared" si="30"/>
        <v>0</v>
      </c>
      <c r="BT27" s="386">
        <f t="shared" si="30"/>
        <v>0</v>
      </c>
      <c r="BU27" s="386">
        <f t="shared" si="30"/>
        <v>0</v>
      </c>
      <c r="BV27" s="386">
        <f t="shared" si="30"/>
        <v>0</v>
      </c>
      <c r="BW27" s="386">
        <f t="shared" si="30"/>
        <v>0</v>
      </c>
      <c r="BX27" s="386">
        <f t="shared" si="30"/>
        <v>0</v>
      </c>
      <c r="BY27" s="386">
        <f t="shared" si="30"/>
        <v>0</v>
      </c>
      <c r="BZ27" s="386">
        <f t="shared" si="30"/>
        <v>0</v>
      </c>
      <c r="CA27" s="386">
        <f t="shared" si="30"/>
        <v>0</v>
      </c>
      <c r="CB27" s="387">
        <f t="shared" si="31"/>
        <v>0</v>
      </c>
      <c r="CC27" s="388">
        <f t="shared" si="12"/>
        <v>0</v>
      </c>
      <c r="CD27" s="386">
        <f t="shared" si="32"/>
        <v>0</v>
      </c>
      <c r="CE27" s="386">
        <f t="shared" si="32"/>
        <v>0</v>
      </c>
      <c r="CF27" s="386">
        <f t="shared" si="32"/>
        <v>0</v>
      </c>
      <c r="CG27" s="386">
        <f t="shared" si="32"/>
        <v>0</v>
      </c>
      <c r="CH27" s="386">
        <f t="shared" si="32"/>
        <v>0</v>
      </c>
      <c r="CI27" s="386">
        <f t="shared" si="32"/>
        <v>0</v>
      </c>
      <c r="CJ27" s="386">
        <f t="shared" si="32"/>
        <v>0</v>
      </c>
      <c r="CK27" s="386">
        <f t="shared" si="32"/>
        <v>0</v>
      </c>
      <c r="CL27" s="386">
        <f t="shared" si="32"/>
        <v>0</v>
      </c>
      <c r="CM27" s="386">
        <f t="shared" si="32"/>
        <v>0</v>
      </c>
      <c r="CN27" s="386">
        <f t="shared" si="32"/>
        <v>0</v>
      </c>
      <c r="CO27" s="387">
        <f t="shared" si="33"/>
        <v>0</v>
      </c>
      <c r="CP27" s="388">
        <f t="shared" si="14"/>
        <v>0</v>
      </c>
      <c r="CQ27" s="386">
        <f t="shared" si="34"/>
        <v>0</v>
      </c>
      <c r="CR27" s="386">
        <f t="shared" si="34"/>
        <v>0</v>
      </c>
      <c r="CS27" s="386">
        <f t="shared" si="34"/>
        <v>0</v>
      </c>
      <c r="CT27" s="386">
        <f t="shared" si="34"/>
        <v>0</v>
      </c>
      <c r="CU27" s="386">
        <f t="shared" si="34"/>
        <v>0</v>
      </c>
      <c r="CV27" s="386">
        <f t="shared" si="34"/>
        <v>0</v>
      </c>
      <c r="CW27" s="386">
        <f t="shared" si="34"/>
        <v>0</v>
      </c>
      <c r="CX27" s="386">
        <f t="shared" si="34"/>
        <v>0</v>
      </c>
      <c r="CY27" s="386">
        <f t="shared" si="34"/>
        <v>0</v>
      </c>
      <c r="CZ27" s="386">
        <f t="shared" si="34"/>
        <v>0</v>
      </c>
      <c r="DA27" s="386">
        <f t="shared" si="34"/>
        <v>0</v>
      </c>
      <c r="DB27" s="296">
        <f t="shared" si="35"/>
        <v>0</v>
      </c>
      <c r="DD27" s="378">
        <f t="shared" si="16"/>
        <v>0</v>
      </c>
      <c r="DE27" s="379">
        <f t="shared" si="17"/>
        <v>0</v>
      </c>
      <c r="DF27" s="379">
        <f t="shared" si="18"/>
        <v>0</v>
      </c>
      <c r="DG27" s="379">
        <f t="shared" si="19"/>
        <v>0</v>
      </c>
      <c r="DH27" s="379">
        <f t="shared" si="20"/>
        <v>0</v>
      </c>
      <c r="DI27" s="379">
        <f t="shared" si="40"/>
        <v>0</v>
      </c>
      <c r="DJ27" s="380">
        <f t="shared" si="41"/>
        <v>0</v>
      </c>
    </row>
    <row r="28" spans="2:114" ht="16" thickBot="1">
      <c r="B28" s="47">
        <f>SUMIF(B11:B27,"y",I11:I27)</f>
        <v>1</v>
      </c>
      <c r="C28" s="47">
        <f>SUMIF(C11:C27,"y",I11:I27)</f>
        <v>0.72727272727272729</v>
      </c>
      <c r="D28" s="47">
        <f>SUMIF(D11:D27,"y",I11:I27)</f>
        <v>1</v>
      </c>
      <c r="F28" s="297" t="s">
        <v>157</v>
      </c>
      <c r="G28" s="91"/>
      <c r="H28" s="298">
        <f>SUM(H11:H27)</f>
        <v>5500</v>
      </c>
      <c r="I28" s="313">
        <f>SUM(I11:I17)</f>
        <v>1</v>
      </c>
      <c r="J28" s="242"/>
      <c r="K28" s="242"/>
      <c r="L28" s="243"/>
      <c r="M28" s="243">
        <f>SUM(M11:M20)</f>
        <v>324000</v>
      </c>
      <c r="N28" s="243">
        <f>SUM(N11:N20)</f>
        <v>27000</v>
      </c>
      <c r="O28" s="274"/>
      <c r="P28" s="314">
        <f t="shared" ref="P28:AA28" si="42">AVERAGEIF(P11:P18,"&gt;0")</f>
        <v>61.333333333333336</v>
      </c>
      <c r="Q28" s="314">
        <f t="shared" si="42"/>
        <v>61.333333333333336</v>
      </c>
      <c r="R28" s="314">
        <f t="shared" si="42"/>
        <v>61.333333333333336</v>
      </c>
      <c r="S28" s="314">
        <f t="shared" si="42"/>
        <v>61.333333333333336</v>
      </c>
      <c r="T28" s="314">
        <f t="shared" si="42"/>
        <v>61.333333333333336</v>
      </c>
      <c r="U28" s="314">
        <f t="shared" si="42"/>
        <v>61.333333333333336</v>
      </c>
      <c r="V28" s="314">
        <f t="shared" si="42"/>
        <v>61.333333333333336</v>
      </c>
      <c r="W28" s="314">
        <f t="shared" si="42"/>
        <v>61.333333333333336</v>
      </c>
      <c r="X28" s="314">
        <f t="shared" si="42"/>
        <v>61.333333333333336</v>
      </c>
      <c r="Y28" s="314">
        <f t="shared" si="42"/>
        <v>61.333333333333336</v>
      </c>
      <c r="Z28" s="314">
        <f t="shared" si="42"/>
        <v>61.333333333333336</v>
      </c>
      <c r="AA28" s="314">
        <f t="shared" si="42"/>
        <v>61.333333333333336</v>
      </c>
      <c r="AB28" s="314">
        <f t="shared" ref="AB28:BG28" si="43">AVERAGEIF(AB11:AB18,"&gt;0")</f>
        <v>61.333333333333336</v>
      </c>
      <c r="AC28" s="314">
        <f t="shared" si="43"/>
        <v>61.333333333333336</v>
      </c>
      <c r="AD28" s="314">
        <f t="shared" si="43"/>
        <v>61.333333333333336</v>
      </c>
      <c r="AE28" s="314">
        <f t="shared" si="43"/>
        <v>61.333333333333336</v>
      </c>
      <c r="AF28" s="314">
        <f t="shared" si="43"/>
        <v>61.333333333333336</v>
      </c>
      <c r="AG28" s="314">
        <f t="shared" si="43"/>
        <v>61.333333333333336</v>
      </c>
      <c r="AH28" s="314">
        <f t="shared" si="43"/>
        <v>61.333333333333336</v>
      </c>
      <c r="AI28" s="314">
        <f t="shared" si="43"/>
        <v>61.333333333333336</v>
      </c>
      <c r="AJ28" s="314">
        <f t="shared" si="43"/>
        <v>61.333333333333336</v>
      </c>
      <c r="AK28" s="314">
        <f t="shared" si="43"/>
        <v>61.333333333333336</v>
      </c>
      <c r="AL28" s="314">
        <f t="shared" si="43"/>
        <v>61.333333333333336</v>
      </c>
      <c r="AM28" s="314">
        <f t="shared" si="43"/>
        <v>61.333333333333336</v>
      </c>
      <c r="AN28" s="314">
        <f t="shared" si="43"/>
        <v>61.333333333333336</v>
      </c>
      <c r="AO28" s="314">
        <f t="shared" si="43"/>
        <v>61.333333333333336</v>
      </c>
      <c r="AP28" s="314">
        <f t="shared" si="43"/>
        <v>61.333333333333336</v>
      </c>
      <c r="AQ28" s="314">
        <f t="shared" si="43"/>
        <v>61.333333333333336</v>
      </c>
      <c r="AR28" s="314">
        <f t="shared" si="43"/>
        <v>61.333333333333336</v>
      </c>
      <c r="AS28" s="314">
        <f t="shared" si="43"/>
        <v>61.333333333333336</v>
      </c>
      <c r="AT28" s="314">
        <f t="shared" si="43"/>
        <v>61.333333333333336</v>
      </c>
      <c r="AU28" s="314">
        <f t="shared" si="43"/>
        <v>61.333333333333336</v>
      </c>
      <c r="AV28" s="314">
        <f t="shared" si="43"/>
        <v>61.333333333333336</v>
      </c>
      <c r="AW28" s="314">
        <f t="shared" si="43"/>
        <v>61.333333333333336</v>
      </c>
      <c r="AX28" s="314">
        <f t="shared" si="43"/>
        <v>61.333333333333336</v>
      </c>
      <c r="AY28" s="314">
        <f t="shared" si="43"/>
        <v>61.333333333333336</v>
      </c>
      <c r="AZ28" s="314">
        <f t="shared" si="43"/>
        <v>61.333333333333336</v>
      </c>
      <c r="BA28" s="314">
        <f t="shared" si="43"/>
        <v>61.333333333333336</v>
      </c>
      <c r="BB28" s="314">
        <f t="shared" si="43"/>
        <v>61.333333333333336</v>
      </c>
      <c r="BC28" s="314">
        <f t="shared" si="43"/>
        <v>61.333333333333336</v>
      </c>
      <c r="BD28" s="314">
        <f t="shared" si="43"/>
        <v>61.333333333333336</v>
      </c>
      <c r="BE28" s="314">
        <f t="shared" si="43"/>
        <v>61.333333333333336</v>
      </c>
      <c r="BF28" s="314">
        <f t="shared" si="43"/>
        <v>61.333333333333336</v>
      </c>
      <c r="BG28" s="314">
        <f t="shared" si="43"/>
        <v>61.333333333333336</v>
      </c>
      <c r="BH28" s="314">
        <f t="shared" ref="BH28:CM28" si="44">AVERAGEIF(BH11:BH18,"&gt;0")</f>
        <v>61.333333333333336</v>
      </c>
      <c r="BI28" s="314">
        <f t="shared" si="44"/>
        <v>61.333333333333336</v>
      </c>
      <c r="BJ28" s="314">
        <f t="shared" si="44"/>
        <v>61.333333333333336</v>
      </c>
      <c r="BK28" s="314">
        <f t="shared" si="44"/>
        <v>61.333333333333336</v>
      </c>
      <c r="BL28" s="314">
        <f t="shared" si="44"/>
        <v>61.333333333333336</v>
      </c>
      <c r="BM28" s="314">
        <f t="shared" si="44"/>
        <v>61.333333333333336</v>
      </c>
      <c r="BN28" s="314">
        <f t="shared" si="44"/>
        <v>61.333333333333336</v>
      </c>
      <c r="BO28" s="314">
        <f t="shared" si="44"/>
        <v>61.333333333333336</v>
      </c>
      <c r="BP28" s="314">
        <f t="shared" si="44"/>
        <v>61.333333333333336</v>
      </c>
      <c r="BQ28" s="314">
        <f t="shared" si="44"/>
        <v>61.333333333333336</v>
      </c>
      <c r="BR28" s="314">
        <f t="shared" si="44"/>
        <v>61.333333333333336</v>
      </c>
      <c r="BS28" s="314">
        <f t="shared" si="44"/>
        <v>61.333333333333336</v>
      </c>
      <c r="BT28" s="314">
        <f t="shared" si="44"/>
        <v>61.333333333333336</v>
      </c>
      <c r="BU28" s="314">
        <f t="shared" si="44"/>
        <v>61.333333333333336</v>
      </c>
      <c r="BV28" s="314">
        <f t="shared" si="44"/>
        <v>61.333333333333336</v>
      </c>
      <c r="BW28" s="314">
        <f t="shared" si="44"/>
        <v>61.333333333333336</v>
      </c>
      <c r="BX28" s="314">
        <f t="shared" si="44"/>
        <v>61.333333333333336</v>
      </c>
      <c r="BY28" s="314">
        <f t="shared" si="44"/>
        <v>61.333333333333336</v>
      </c>
      <c r="BZ28" s="314">
        <f t="shared" si="44"/>
        <v>61.333333333333336</v>
      </c>
      <c r="CA28" s="314">
        <f t="shared" si="44"/>
        <v>61.333333333333336</v>
      </c>
      <c r="CB28" s="314">
        <f t="shared" si="44"/>
        <v>61.333333333333336</v>
      </c>
      <c r="CC28" s="314">
        <f t="shared" si="44"/>
        <v>61.333333333333336</v>
      </c>
      <c r="CD28" s="314">
        <f t="shared" si="44"/>
        <v>61.333333333333336</v>
      </c>
      <c r="CE28" s="314">
        <f t="shared" si="44"/>
        <v>61.333333333333336</v>
      </c>
      <c r="CF28" s="314">
        <f t="shared" si="44"/>
        <v>61.333333333333336</v>
      </c>
      <c r="CG28" s="314">
        <f t="shared" si="44"/>
        <v>61.333333333333336</v>
      </c>
      <c r="CH28" s="314">
        <f t="shared" si="44"/>
        <v>61.333333333333336</v>
      </c>
      <c r="CI28" s="314">
        <f t="shared" si="44"/>
        <v>61.333333333333336</v>
      </c>
      <c r="CJ28" s="314">
        <f t="shared" si="44"/>
        <v>61.333333333333336</v>
      </c>
      <c r="CK28" s="314">
        <f t="shared" si="44"/>
        <v>61.333333333333336</v>
      </c>
      <c r="CL28" s="314">
        <f t="shared" si="44"/>
        <v>61.333333333333336</v>
      </c>
      <c r="CM28" s="314">
        <f t="shared" si="44"/>
        <v>61.333333333333336</v>
      </c>
      <c r="CN28" s="314">
        <f t="shared" ref="CN28:DB28" si="45">AVERAGEIF(CN11:CN18,"&gt;0")</f>
        <v>61.333333333333336</v>
      </c>
      <c r="CO28" s="314">
        <f t="shared" si="45"/>
        <v>61.333333333333336</v>
      </c>
      <c r="CP28" s="314">
        <f t="shared" si="45"/>
        <v>61.333333333333336</v>
      </c>
      <c r="CQ28" s="314">
        <f t="shared" si="45"/>
        <v>61.333333333333336</v>
      </c>
      <c r="CR28" s="314">
        <f t="shared" si="45"/>
        <v>61.333333333333336</v>
      </c>
      <c r="CS28" s="314">
        <f t="shared" si="45"/>
        <v>61.333333333333336</v>
      </c>
      <c r="CT28" s="314">
        <f t="shared" si="45"/>
        <v>61.333333333333336</v>
      </c>
      <c r="CU28" s="314">
        <f t="shared" si="45"/>
        <v>61.333333333333336</v>
      </c>
      <c r="CV28" s="314">
        <f t="shared" si="45"/>
        <v>61.333333333333336</v>
      </c>
      <c r="CW28" s="314">
        <f t="shared" si="45"/>
        <v>61.333333333333336</v>
      </c>
      <c r="CX28" s="314">
        <f t="shared" si="45"/>
        <v>61.333333333333336</v>
      </c>
      <c r="CY28" s="314">
        <f t="shared" si="45"/>
        <v>61.333333333333336</v>
      </c>
      <c r="CZ28" s="314">
        <f t="shared" si="45"/>
        <v>61.333333333333336</v>
      </c>
      <c r="DA28" s="314">
        <f t="shared" si="45"/>
        <v>61.333333333333336</v>
      </c>
      <c r="DB28" s="374">
        <f t="shared" si="45"/>
        <v>61.333333333333336</v>
      </c>
      <c r="DD28" s="299">
        <f>SUM(DD11:DD27)</f>
        <v>324000</v>
      </c>
      <c r="DE28" s="117">
        <f t="shared" ref="DE28:DJ28" si="46">SUM(DE11:DE27)</f>
        <v>324000</v>
      </c>
      <c r="DF28" s="117">
        <f t="shared" si="46"/>
        <v>324000</v>
      </c>
      <c r="DG28" s="117">
        <f t="shared" si="46"/>
        <v>324000</v>
      </c>
      <c r="DH28" s="117">
        <f t="shared" si="46"/>
        <v>324000</v>
      </c>
      <c r="DI28" s="117">
        <f t="shared" si="46"/>
        <v>324000</v>
      </c>
      <c r="DJ28" s="30">
        <f t="shared" si="46"/>
        <v>324000</v>
      </c>
    </row>
    <row r="29" spans="2:114" ht="15" customHeight="1" thickBot="1">
      <c r="H29" s="315"/>
      <c r="I29" s="316"/>
      <c r="J29" s="317"/>
      <c r="K29" s="317"/>
      <c r="L29" s="318"/>
      <c r="M29" s="318"/>
      <c r="N29" s="318"/>
      <c r="DB29" s="312"/>
      <c r="DD29" s="97"/>
      <c r="DE29" s="97"/>
      <c r="DF29" s="97"/>
      <c r="DG29" s="97"/>
      <c r="DH29" s="97"/>
      <c r="DI29" s="97"/>
      <c r="DJ29" s="97"/>
    </row>
    <row r="30" spans="2:114" ht="16" thickBot="1">
      <c r="F30" s="416" t="s">
        <v>230</v>
      </c>
      <c r="G30" s="417"/>
      <c r="H30" s="417"/>
      <c r="I30" s="417"/>
      <c r="J30" s="417"/>
      <c r="K30" s="417"/>
      <c r="L30" s="418"/>
      <c r="N30" s="20"/>
      <c r="DC30" s="97"/>
      <c r="DD30" s="97"/>
      <c r="DE30" s="97"/>
      <c r="DF30" s="97"/>
      <c r="DG30" s="97"/>
      <c r="DH30" s="97"/>
      <c r="DI30" s="97"/>
    </row>
    <row r="31" spans="2:114">
      <c r="F31" s="358" t="s">
        <v>231</v>
      </c>
      <c r="G31" s="359">
        <v>2027</v>
      </c>
      <c r="H31" s="359">
        <v>2028</v>
      </c>
      <c r="I31" s="359">
        <v>2029</v>
      </c>
      <c r="J31" s="359">
        <v>2030</v>
      </c>
      <c r="K31" s="359">
        <v>2031</v>
      </c>
      <c r="L31" s="360">
        <v>2032</v>
      </c>
    </row>
    <row r="32" spans="2:114">
      <c r="F32" s="337" t="s">
        <v>229</v>
      </c>
      <c r="G32" s="362"/>
      <c r="H32" s="395"/>
      <c r="I32" s="395"/>
      <c r="J32" s="395"/>
      <c r="K32" s="395"/>
      <c r="L32" s="396"/>
    </row>
    <row r="33" spans="6:12" ht="16" thickBot="1">
      <c r="F33" s="361" t="s">
        <v>130</v>
      </c>
      <c r="G33" s="397"/>
      <c r="H33" s="397"/>
      <c r="I33" s="397"/>
      <c r="J33" s="397"/>
      <c r="K33" s="397"/>
      <c r="L33" s="398"/>
    </row>
    <row r="34" spans="6:12" ht="16" thickBot="1">
      <c r="F34" s="235" t="s">
        <v>40</v>
      </c>
      <c r="G34" s="363">
        <f>SUM(G32:G33)</f>
        <v>0</v>
      </c>
      <c r="H34" s="124">
        <f t="shared" ref="H34:L34" si="47">SUM(H32:H33)</f>
        <v>0</v>
      </c>
      <c r="I34" s="124">
        <f t="shared" si="47"/>
        <v>0</v>
      </c>
      <c r="J34" s="124">
        <f t="shared" si="47"/>
        <v>0</v>
      </c>
      <c r="K34" s="124">
        <f t="shared" si="47"/>
        <v>0</v>
      </c>
      <c r="L34" s="125">
        <f t="shared" si="47"/>
        <v>0</v>
      </c>
    </row>
  </sheetData>
  <sheetProtection sheet="1" objects="1" scenarios="1" formatCells="0" sort="0" autoFilter="0" pivotTables="0"/>
  <mergeCells count="3">
    <mergeCell ref="F8:N8"/>
    <mergeCell ref="B9:D9"/>
    <mergeCell ref="F30:L30"/>
  </mergeCells>
  <phoneticPr fontId="21" type="noConversion"/>
  <pageMargins left="0.7" right="0.7" top="0.75" bottom="0.75" header="0.3" footer="0.3"/>
  <ignoredErrors>
    <ignoredError sqref="L34" formulaRange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42C72-788F-4FF9-9760-F52C81F15E53}">
  <sheetPr codeName="Sheet5">
    <tabColor rgb="FFB4C4C1"/>
  </sheetPr>
  <dimension ref="C1:L55"/>
  <sheetViews>
    <sheetView showGridLines="0" topLeftCell="A33" zoomScaleNormal="100" workbookViewId="0">
      <selection activeCell="J26" sqref="J26"/>
    </sheetView>
  </sheetViews>
  <sheetFormatPr baseColWidth="10" defaultColWidth="8.83203125" defaultRowHeight="15"/>
  <cols>
    <col min="3" max="3" width="24.6640625" bestFit="1" customWidth="1"/>
    <col min="4" max="4" width="14.83203125" bestFit="1" customWidth="1"/>
    <col min="5" max="5" width="14.83203125" customWidth="1"/>
    <col min="6" max="8" width="13.6640625" bestFit="1" customWidth="1"/>
    <col min="9" max="9" width="14.6640625" bestFit="1" customWidth="1"/>
    <col min="10" max="10" width="14.33203125" bestFit="1" customWidth="1"/>
    <col min="11" max="11" width="15.33203125" bestFit="1" customWidth="1"/>
  </cols>
  <sheetData>
    <row r="1" spans="3:8">
      <c r="C1" s="55"/>
      <c r="D1" s="55"/>
      <c r="E1" s="55"/>
    </row>
    <row r="2" spans="3:8" ht="16" thickBot="1"/>
    <row r="3" spans="3:8">
      <c r="C3" s="419" t="s">
        <v>99</v>
      </c>
      <c r="D3" s="457"/>
      <c r="E3" s="457"/>
      <c r="F3" s="420"/>
    </row>
    <row r="4" spans="3:8" ht="16" thickBot="1">
      <c r="C4" s="165"/>
      <c r="D4" s="174" t="s">
        <v>102</v>
      </c>
      <c r="E4" s="174" t="s">
        <v>97</v>
      </c>
      <c r="F4" s="166" t="s">
        <v>98</v>
      </c>
    </row>
    <row r="5" spans="3:8">
      <c r="C5" s="175"/>
      <c r="D5" s="176">
        <f>+'Deal Summary'!$T$10</f>
        <v>46023</v>
      </c>
      <c r="E5" s="176">
        <v>46387</v>
      </c>
      <c r="F5" s="177">
        <f>+F14</f>
        <v>47118</v>
      </c>
      <c r="G5" s="193" t="s">
        <v>70</v>
      </c>
    </row>
    <row r="6" spans="3:8">
      <c r="C6" s="36" t="s">
        <v>71</v>
      </c>
      <c r="D6" s="14">
        <f>-'Deal Summary'!G36</f>
        <v>-730815.31327999989</v>
      </c>
      <c r="E6" s="14"/>
      <c r="F6" s="8"/>
      <c r="G6" s="10"/>
    </row>
    <row r="7" spans="3:8">
      <c r="C7" s="36" t="s">
        <v>72</v>
      </c>
      <c r="D7" s="14"/>
      <c r="E7" s="14"/>
      <c r="F7" s="8">
        <f>-D6</f>
        <v>730815.31327999989</v>
      </c>
      <c r="G7" s="10"/>
    </row>
    <row r="8" spans="3:8">
      <c r="C8" s="36" t="s">
        <v>73</v>
      </c>
      <c r="D8" s="14"/>
      <c r="E8" s="14">
        <f>+E17</f>
        <v>78533.68798022499</v>
      </c>
      <c r="F8" s="8">
        <f t="shared" ref="F8" si="0">+F17</f>
        <v>78533.68798022499</v>
      </c>
      <c r="G8" s="10"/>
    </row>
    <row r="9" spans="3:8">
      <c r="C9" s="45" t="s">
        <v>74</v>
      </c>
      <c r="D9" s="122"/>
      <c r="E9" s="122"/>
      <c r="F9" s="19">
        <f>Proforma!G50</f>
        <v>991034.76079319837</v>
      </c>
      <c r="G9" s="161"/>
    </row>
    <row r="10" spans="3:8" ht="16" thickBot="1">
      <c r="C10" s="123" t="s">
        <v>75</v>
      </c>
      <c r="D10" s="124">
        <f t="shared" ref="D10:E10" si="1">SUM(D6:D9)</f>
        <v>-730815.31327999989</v>
      </c>
      <c r="E10" s="124">
        <f t="shared" si="1"/>
        <v>78533.68798022499</v>
      </c>
      <c r="F10" s="162">
        <f>SUM(F7:F9)</f>
        <v>1800383.7620534231</v>
      </c>
      <c r="G10" s="194">
        <f>XIRR(D10:F10,D5:F5,0)</f>
        <v>0.38739721191406262</v>
      </c>
    </row>
    <row r="11" spans="3:8" ht="16" thickBot="1"/>
    <row r="12" spans="3:8">
      <c r="C12" s="419" t="s">
        <v>100</v>
      </c>
      <c r="D12" s="457"/>
      <c r="E12" s="457"/>
      <c r="F12" s="457"/>
      <c r="G12" s="420"/>
    </row>
    <row r="13" spans="3:8" ht="16" thickBot="1">
      <c r="C13" s="165"/>
      <c r="D13" s="174" t="s">
        <v>102</v>
      </c>
      <c r="E13" s="174" t="s">
        <v>97</v>
      </c>
      <c r="F13" s="174" t="s">
        <v>98</v>
      </c>
      <c r="G13" s="166" t="s">
        <v>101</v>
      </c>
    </row>
    <row r="14" spans="3:8">
      <c r="C14" s="175"/>
      <c r="D14" s="176">
        <f>+'Deal Summary'!$T$10</f>
        <v>46023</v>
      </c>
      <c r="E14" s="176">
        <v>46387</v>
      </c>
      <c r="F14" s="176">
        <f t="shared" ref="F14:G14" si="2">+F23</f>
        <v>47118</v>
      </c>
      <c r="G14" s="177">
        <f t="shared" si="2"/>
        <v>47483</v>
      </c>
      <c r="H14" s="193" t="s">
        <v>70</v>
      </c>
    </row>
    <row r="15" spans="3:8">
      <c r="C15" s="35" t="s">
        <v>71</v>
      </c>
      <c r="D15" s="14">
        <f>D6</f>
        <v>-730815.31327999989</v>
      </c>
      <c r="E15" s="14"/>
      <c r="F15" s="14"/>
      <c r="G15" s="8"/>
      <c r="H15" s="10"/>
    </row>
    <row r="16" spans="3:8">
      <c r="C16" s="36" t="s">
        <v>72</v>
      </c>
      <c r="D16" s="14"/>
      <c r="E16" s="14"/>
      <c r="F16" s="14"/>
      <c r="G16" s="8">
        <f>-D15</f>
        <v>730815.31327999989</v>
      </c>
      <c r="H16" s="10"/>
    </row>
    <row r="17" spans="3:10">
      <c r="C17" s="36" t="s">
        <v>73</v>
      </c>
      <c r="D17" s="14"/>
      <c r="E17" s="14">
        <f>+E26</f>
        <v>78533.68798022499</v>
      </c>
      <c r="F17" s="14">
        <f t="shared" ref="F17:G17" si="3">+F26</f>
        <v>78533.68798022499</v>
      </c>
      <c r="G17" s="8">
        <f t="shared" si="3"/>
        <v>78533.68798022499</v>
      </c>
      <c r="H17" s="10"/>
    </row>
    <row r="18" spans="3:10">
      <c r="C18" s="45" t="s">
        <v>74</v>
      </c>
      <c r="D18" s="122"/>
      <c r="E18" s="122"/>
      <c r="F18" s="122"/>
      <c r="G18" s="19">
        <f>Proforma!H50</f>
        <v>1045500.9092094447</v>
      </c>
      <c r="H18" s="161"/>
    </row>
    <row r="19" spans="3:10" ht="16" thickBot="1">
      <c r="C19" s="123" t="s">
        <v>75</v>
      </c>
      <c r="D19" s="124">
        <f t="shared" ref="D19:F19" si="4">SUM(D15:D18)</f>
        <v>-730815.31327999989</v>
      </c>
      <c r="E19" s="124">
        <f t="shared" si="4"/>
        <v>78533.68798022499</v>
      </c>
      <c r="F19" s="124">
        <f t="shared" si="4"/>
        <v>78533.68798022499</v>
      </c>
      <c r="G19" s="125">
        <f>SUM(G15:G18)</f>
        <v>1854849.9104696694</v>
      </c>
      <c r="H19" s="194">
        <f>XIRR(D19:G19,D14:G14,0)</f>
        <v>0.30705953613281256</v>
      </c>
    </row>
    <row r="20" spans="3:10" ht="16" thickBot="1"/>
    <row r="21" spans="3:10">
      <c r="C21" s="419" t="s">
        <v>108</v>
      </c>
      <c r="D21" s="457"/>
      <c r="E21" s="457"/>
      <c r="F21" s="457"/>
      <c r="G21" s="457"/>
      <c r="H21" s="420"/>
    </row>
    <row r="22" spans="3:10" ht="16" thickBot="1">
      <c r="C22" s="165"/>
      <c r="D22" s="174" t="s">
        <v>102</v>
      </c>
      <c r="E22" s="174" t="s">
        <v>97</v>
      </c>
      <c r="F22" s="174" t="s">
        <v>98</v>
      </c>
      <c r="G22" s="174" t="s">
        <v>101</v>
      </c>
      <c r="H22" s="178" t="s">
        <v>109</v>
      </c>
    </row>
    <row r="23" spans="3:10">
      <c r="C23" s="175"/>
      <c r="D23" s="176">
        <f>+'Deal Summary'!$T$10</f>
        <v>46023</v>
      </c>
      <c r="E23" s="176">
        <v>46387</v>
      </c>
      <c r="F23" s="176">
        <v>47118</v>
      </c>
      <c r="G23" s="176">
        <v>47483</v>
      </c>
      <c r="H23" s="177">
        <v>47848</v>
      </c>
      <c r="I23" s="193" t="s">
        <v>70</v>
      </c>
    </row>
    <row r="24" spans="3:10">
      <c r="C24" s="35" t="s">
        <v>71</v>
      </c>
      <c r="D24" s="14">
        <f>D15</f>
        <v>-730815.31327999989</v>
      </c>
      <c r="E24" s="14"/>
      <c r="F24" s="14"/>
      <c r="G24" s="14"/>
      <c r="H24" s="8"/>
      <c r="I24" s="10"/>
    </row>
    <row r="25" spans="3:10">
      <c r="C25" s="36" t="s">
        <v>72</v>
      </c>
      <c r="D25" s="14"/>
      <c r="E25" s="14"/>
      <c r="F25" s="14"/>
      <c r="G25" s="14"/>
      <c r="H25" s="8">
        <f>-D24</f>
        <v>730815.31327999989</v>
      </c>
      <c r="I25" s="10"/>
    </row>
    <row r="26" spans="3:10">
      <c r="C26" s="36" t="s">
        <v>73</v>
      </c>
      <c r="D26" s="33"/>
      <c r="E26" s="33">
        <f>E35</f>
        <v>78533.68798022499</v>
      </c>
      <c r="F26" s="33">
        <f t="shared" ref="F26:H26" si="5">F35</f>
        <v>78533.68798022499</v>
      </c>
      <c r="G26" s="33">
        <f t="shared" si="5"/>
        <v>78533.68798022499</v>
      </c>
      <c r="H26" s="15">
        <f t="shared" si="5"/>
        <v>78533.68798022499</v>
      </c>
      <c r="I26" s="10"/>
    </row>
    <row r="27" spans="3:10">
      <c r="C27" s="45" t="s">
        <v>74</v>
      </c>
      <c r="D27" s="122"/>
      <c r="E27" s="122"/>
      <c r="F27" s="122"/>
      <c r="G27" s="122"/>
      <c r="H27" s="19">
        <f>Proforma!I50</f>
        <v>1103470.4191264422</v>
      </c>
      <c r="I27" s="161"/>
    </row>
    <row r="28" spans="3:10" ht="16" thickBot="1">
      <c r="C28" s="123" t="s">
        <v>75</v>
      </c>
      <c r="D28" s="124">
        <f t="shared" ref="D28:H28" si="6">SUM(D24:D27)</f>
        <v>-730815.31327999989</v>
      </c>
      <c r="E28" s="124">
        <f t="shared" si="6"/>
        <v>78533.68798022499</v>
      </c>
      <c r="F28" s="124">
        <f t="shared" si="6"/>
        <v>78533.68798022499</v>
      </c>
      <c r="G28" s="124">
        <f t="shared" si="6"/>
        <v>78533.68798022499</v>
      </c>
      <c r="H28" s="125">
        <f t="shared" si="6"/>
        <v>1912819.4203866669</v>
      </c>
      <c r="I28" s="194">
        <f>XIRR(D28:H28,D23:H23,0)</f>
        <v>0.26163307128906244</v>
      </c>
    </row>
    <row r="29" spans="3:10" ht="16" thickBot="1"/>
    <row r="30" spans="3:10">
      <c r="C30" s="419" t="s">
        <v>199</v>
      </c>
      <c r="D30" s="457"/>
      <c r="E30" s="457"/>
      <c r="F30" s="457"/>
      <c r="G30" s="457"/>
      <c r="H30" s="457"/>
      <c r="I30" s="420"/>
    </row>
    <row r="31" spans="3:10" ht="16" thickBot="1">
      <c r="C31" s="165"/>
      <c r="D31" s="174" t="s">
        <v>102</v>
      </c>
      <c r="E31" s="174" t="s">
        <v>97</v>
      </c>
      <c r="F31" s="174" t="s">
        <v>98</v>
      </c>
      <c r="G31" s="174" t="s">
        <v>101</v>
      </c>
      <c r="H31" s="174" t="s">
        <v>109</v>
      </c>
      <c r="I31" s="174" t="s">
        <v>197</v>
      </c>
    </row>
    <row r="32" spans="3:10">
      <c r="C32" s="175"/>
      <c r="D32" s="176">
        <f>+'Deal Summary'!$T$10</f>
        <v>46023</v>
      </c>
      <c r="E32" s="176">
        <v>46387</v>
      </c>
      <c r="F32" s="176">
        <v>47118</v>
      </c>
      <c r="G32" s="176">
        <v>47483</v>
      </c>
      <c r="H32" s="176">
        <v>47848</v>
      </c>
      <c r="I32" s="176">
        <v>48213</v>
      </c>
      <c r="J32" s="193" t="s">
        <v>70</v>
      </c>
    </row>
    <row r="33" spans="3:11">
      <c r="C33" s="35" t="s">
        <v>71</v>
      </c>
      <c r="D33" s="14">
        <f>D24</f>
        <v>-730815.31327999989</v>
      </c>
      <c r="E33" s="14"/>
      <c r="F33" s="14"/>
      <c r="G33" s="14"/>
      <c r="H33" s="14"/>
      <c r="I33" s="8"/>
      <c r="J33" s="10"/>
    </row>
    <row r="34" spans="3:11">
      <c r="C34" s="36" t="s">
        <v>72</v>
      </c>
      <c r="D34" s="14"/>
      <c r="E34" s="14"/>
      <c r="F34" s="14"/>
      <c r="G34" s="14"/>
      <c r="H34" s="14"/>
      <c r="I34" s="8">
        <f>-D33</f>
        <v>730815.31327999989</v>
      </c>
      <c r="J34" s="10"/>
    </row>
    <row r="35" spans="3:11">
      <c r="C35" s="36" t="s">
        <v>73</v>
      </c>
      <c r="D35" s="33"/>
      <c r="E35" s="33">
        <f>Proforma!F24</f>
        <v>78533.68798022499</v>
      </c>
      <c r="F35" s="33">
        <f>Proforma!G24</f>
        <v>78533.68798022499</v>
      </c>
      <c r="G35" s="33">
        <f>Proforma!H24</f>
        <v>78533.68798022499</v>
      </c>
      <c r="H35" s="33">
        <f>Proforma!I24</f>
        <v>78533.68798022499</v>
      </c>
      <c r="I35" s="15">
        <f>Proforma!J24</f>
        <v>78533.68798022499</v>
      </c>
      <c r="J35" s="10"/>
    </row>
    <row r="36" spans="3:11">
      <c r="C36" s="45" t="s">
        <v>74</v>
      </c>
      <c r="D36" s="122"/>
      <c r="E36" s="122"/>
      <c r="F36" s="122"/>
      <c r="G36" s="122"/>
      <c r="H36" s="122"/>
      <c r="I36" s="19">
        <f>Proforma!J50</f>
        <v>1165168.6331131421</v>
      </c>
      <c r="J36" s="161"/>
    </row>
    <row r="37" spans="3:11" ht="16" thickBot="1">
      <c r="C37" s="123" t="s">
        <v>75</v>
      </c>
      <c r="D37" s="124">
        <f t="shared" ref="D37:I37" si="7">SUM(D33:D36)</f>
        <v>-730815.31327999989</v>
      </c>
      <c r="E37" s="124">
        <f t="shared" si="7"/>
        <v>78533.68798022499</v>
      </c>
      <c r="F37" s="124">
        <f t="shared" si="7"/>
        <v>78533.68798022499</v>
      </c>
      <c r="G37" s="124">
        <f t="shared" si="7"/>
        <v>78533.68798022499</v>
      </c>
      <c r="H37" s="124">
        <f t="shared" si="7"/>
        <v>78533.68798022499</v>
      </c>
      <c r="I37" s="125">
        <f t="shared" si="7"/>
        <v>1974517.6343733668</v>
      </c>
      <c r="J37" s="194">
        <f>XIRR(D37:I37,D32:I32,0)</f>
        <v>0.23244657714843758</v>
      </c>
    </row>
    <row r="38" spans="3:11" ht="16" thickBot="1"/>
    <row r="39" spans="3:11">
      <c r="C39" s="419" t="s">
        <v>200</v>
      </c>
      <c r="D39" s="457"/>
      <c r="E39" s="457"/>
      <c r="F39" s="457"/>
      <c r="G39" s="457"/>
      <c r="H39" s="457"/>
      <c r="I39" s="457"/>
      <c r="J39" s="420"/>
    </row>
    <row r="40" spans="3:11" ht="16" thickBot="1">
      <c r="C40" s="165"/>
      <c r="D40" s="174" t="s">
        <v>102</v>
      </c>
      <c r="E40" s="174" t="s">
        <v>97</v>
      </c>
      <c r="F40" s="174" t="s">
        <v>98</v>
      </c>
      <c r="G40" s="174" t="s">
        <v>101</v>
      </c>
      <c r="H40" s="174" t="s">
        <v>109</v>
      </c>
      <c r="I40" s="174" t="s">
        <v>197</v>
      </c>
      <c r="J40" s="178" t="s">
        <v>198</v>
      </c>
    </row>
    <row r="41" spans="3:11">
      <c r="C41" s="175"/>
      <c r="D41" s="176">
        <f>+'Deal Summary'!$T$10</f>
        <v>46023</v>
      </c>
      <c r="E41" s="176">
        <v>46387</v>
      </c>
      <c r="F41" s="176">
        <v>47118</v>
      </c>
      <c r="G41" s="176">
        <v>47483</v>
      </c>
      <c r="H41" s="176">
        <v>47848</v>
      </c>
      <c r="I41" s="176">
        <v>48213</v>
      </c>
      <c r="J41" s="177">
        <v>48579</v>
      </c>
      <c r="K41" s="193" t="s">
        <v>70</v>
      </c>
    </row>
    <row r="42" spans="3:11">
      <c r="C42" s="35" t="s">
        <v>71</v>
      </c>
      <c r="D42" s="14">
        <f>D33</f>
        <v>-730815.31327999989</v>
      </c>
      <c r="E42" s="14"/>
      <c r="F42" s="14"/>
      <c r="G42" s="14"/>
      <c r="H42" s="14"/>
      <c r="I42" s="14"/>
      <c r="J42" s="8"/>
      <c r="K42" s="10"/>
    </row>
    <row r="43" spans="3:11">
      <c r="C43" s="36" t="s">
        <v>72</v>
      </c>
      <c r="D43" s="14"/>
      <c r="E43" s="14"/>
      <c r="F43" s="14"/>
      <c r="G43" s="14"/>
      <c r="H43" s="14"/>
      <c r="I43" s="14"/>
      <c r="J43" s="8">
        <f>-D42</f>
        <v>730815.31327999989</v>
      </c>
      <c r="K43" s="10"/>
    </row>
    <row r="44" spans="3:11">
      <c r="C44" s="36" t="s">
        <v>73</v>
      </c>
      <c r="D44" s="33"/>
      <c r="E44" s="33">
        <f>Proforma!F24</f>
        <v>78533.68798022499</v>
      </c>
      <c r="F44" s="33">
        <f>Proforma!G24</f>
        <v>78533.68798022499</v>
      </c>
      <c r="G44" s="33">
        <f>Proforma!H24</f>
        <v>78533.68798022499</v>
      </c>
      <c r="H44" s="33">
        <f>Proforma!I24</f>
        <v>78533.68798022499</v>
      </c>
      <c r="I44" s="33">
        <f>Proforma!J24</f>
        <v>78533.68798022499</v>
      </c>
      <c r="J44" s="15">
        <f>Proforma!K24</f>
        <v>78533.68798022499</v>
      </c>
      <c r="K44" s="10"/>
    </row>
    <row r="45" spans="3:11">
      <c r="C45" s="45" t="s">
        <v>74</v>
      </c>
      <c r="D45" s="122"/>
      <c r="E45" s="122"/>
      <c r="F45" s="122"/>
      <c r="G45" s="122"/>
      <c r="H45" s="122"/>
      <c r="I45" s="122"/>
      <c r="J45" s="19">
        <f>Proforma!K50</f>
        <v>1230835.3881814363</v>
      </c>
      <c r="K45" s="161"/>
    </row>
    <row r="46" spans="3:11" ht="16" thickBot="1">
      <c r="C46" s="123" t="s">
        <v>75</v>
      </c>
      <c r="D46" s="124">
        <f t="shared" ref="D46:I46" si="8">SUM(D42:D45)</f>
        <v>-730815.31327999989</v>
      </c>
      <c r="E46" s="124">
        <f t="shared" si="8"/>
        <v>78533.68798022499</v>
      </c>
      <c r="F46" s="124">
        <f t="shared" si="8"/>
        <v>78533.68798022499</v>
      </c>
      <c r="G46" s="124">
        <f t="shared" si="8"/>
        <v>78533.68798022499</v>
      </c>
      <c r="H46" s="124">
        <f t="shared" si="8"/>
        <v>78533.68798022499</v>
      </c>
      <c r="I46" s="124">
        <f t="shared" si="8"/>
        <v>78533.68798022499</v>
      </c>
      <c r="J46" s="125">
        <f t="shared" ref="J46" si="9">SUM(J42:J45)</f>
        <v>2040184.3894416611</v>
      </c>
      <c r="K46" s="194">
        <f>XIRR(D46:J46,D41:J41,0)</f>
        <v>0.21203259277343756</v>
      </c>
    </row>
    <row r="47" spans="3:11" ht="16" thickBot="1"/>
    <row r="48" spans="3:11">
      <c r="C48" s="419" t="s">
        <v>200</v>
      </c>
      <c r="D48" s="457"/>
      <c r="E48" s="457"/>
      <c r="F48" s="457"/>
      <c r="G48" s="457"/>
      <c r="H48" s="457"/>
      <c r="I48" s="457"/>
      <c r="J48" s="457"/>
      <c r="K48" s="420"/>
    </row>
    <row r="49" spans="3:12" ht="16" thickBot="1">
      <c r="C49" s="165"/>
      <c r="D49" s="174" t="s">
        <v>102</v>
      </c>
      <c r="E49" s="174" t="s">
        <v>97</v>
      </c>
      <c r="F49" s="174" t="s">
        <v>98</v>
      </c>
      <c r="G49" s="174" t="s">
        <v>101</v>
      </c>
      <c r="H49" s="174" t="s">
        <v>109</v>
      </c>
      <c r="I49" s="174" t="s">
        <v>197</v>
      </c>
      <c r="J49" s="174" t="s">
        <v>198</v>
      </c>
      <c r="K49" s="166" t="s">
        <v>233</v>
      </c>
    </row>
    <row r="50" spans="3:12">
      <c r="C50" s="175"/>
      <c r="D50" s="176">
        <f>+'Deal Summary'!$T$10</f>
        <v>46023</v>
      </c>
      <c r="E50" s="176">
        <v>46387</v>
      </c>
      <c r="F50" s="176">
        <v>47118</v>
      </c>
      <c r="G50" s="176">
        <v>47483</v>
      </c>
      <c r="H50" s="176">
        <v>47848</v>
      </c>
      <c r="I50" s="176">
        <v>48213</v>
      </c>
      <c r="J50" s="176">
        <v>48579</v>
      </c>
      <c r="K50" s="177">
        <v>48944</v>
      </c>
      <c r="L50" s="193" t="s">
        <v>70</v>
      </c>
    </row>
    <row r="51" spans="3:12">
      <c r="C51" s="35" t="s">
        <v>71</v>
      </c>
      <c r="D51" s="14">
        <f>D42</f>
        <v>-730815.31327999989</v>
      </c>
      <c r="E51" s="14"/>
      <c r="F51" s="14"/>
      <c r="G51" s="14"/>
      <c r="H51" s="14"/>
      <c r="I51" s="14"/>
      <c r="J51" s="14"/>
      <c r="K51" s="8"/>
      <c r="L51" s="10"/>
    </row>
    <row r="52" spans="3:12">
      <c r="C52" s="36" t="s">
        <v>72</v>
      </c>
      <c r="D52" s="14"/>
      <c r="E52" s="14"/>
      <c r="F52" s="14"/>
      <c r="G52" s="14"/>
      <c r="H52" s="14"/>
      <c r="I52" s="14"/>
      <c r="J52" s="14"/>
      <c r="K52" s="8">
        <f>-D51</f>
        <v>730815.31327999989</v>
      </c>
      <c r="L52" s="10"/>
    </row>
    <row r="53" spans="3:12">
      <c r="C53" s="36" t="s">
        <v>73</v>
      </c>
      <c r="D53" s="33"/>
      <c r="E53" s="33">
        <f>Proforma!F24</f>
        <v>78533.68798022499</v>
      </c>
      <c r="F53" s="33">
        <f>Proforma!G24</f>
        <v>78533.68798022499</v>
      </c>
      <c r="G53" s="33">
        <f>Proforma!H24</f>
        <v>78533.68798022499</v>
      </c>
      <c r="H53" s="33">
        <f>Proforma!I24</f>
        <v>78533.68798022499</v>
      </c>
      <c r="I53" s="33">
        <f>Proforma!J24</f>
        <v>78533.68798022499</v>
      </c>
      <c r="J53" s="33">
        <f>Proforma!K24</f>
        <v>78533.68798022499</v>
      </c>
      <c r="K53" s="15">
        <f>Proforma!L24</f>
        <v>78533.68798022499</v>
      </c>
      <c r="L53" s="10"/>
    </row>
    <row r="54" spans="3:12">
      <c r="C54" s="45" t="s">
        <v>74</v>
      </c>
      <c r="D54" s="122"/>
      <c r="E54" s="122"/>
      <c r="F54" s="122"/>
      <c r="G54" s="122"/>
      <c r="H54" s="122"/>
      <c r="I54" s="122"/>
      <c r="J54" s="122"/>
      <c r="K54" s="19">
        <f>Proforma!L50</f>
        <v>1300725.9480950353</v>
      </c>
      <c r="L54" s="161"/>
    </row>
    <row r="55" spans="3:12" ht="16" thickBot="1">
      <c r="C55" s="123" t="s">
        <v>75</v>
      </c>
      <c r="D55" s="124">
        <f t="shared" ref="D55:K55" si="10">SUM(D51:D54)</f>
        <v>-730815.31327999989</v>
      </c>
      <c r="E55" s="124">
        <f t="shared" si="10"/>
        <v>78533.68798022499</v>
      </c>
      <c r="F55" s="124">
        <f t="shared" si="10"/>
        <v>78533.68798022499</v>
      </c>
      <c r="G55" s="124">
        <f t="shared" si="10"/>
        <v>78533.68798022499</v>
      </c>
      <c r="H55" s="124">
        <f t="shared" si="10"/>
        <v>78533.68798022499</v>
      </c>
      <c r="I55" s="124">
        <f t="shared" si="10"/>
        <v>78533.68798022499</v>
      </c>
      <c r="J55" s="124">
        <f t="shared" si="10"/>
        <v>78533.68798022499</v>
      </c>
      <c r="K55" s="125">
        <f t="shared" si="10"/>
        <v>2110074.94935526</v>
      </c>
      <c r="L55" s="194">
        <f>XIRR(D55:K55,D50:K50,0)</f>
        <v>0.19705858886718752</v>
      </c>
    </row>
  </sheetData>
  <sheetProtection sheet="1" objects="1" scenarios="1" formatCells="0" sort="0" autoFilter="0" pivotTables="0"/>
  <mergeCells count="6">
    <mergeCell ref="C48:K48"/>
    <mergeCell ref="C39:J39"/>
    <mergeCell ref="C3:F3"/>
    <mergeCell ref="C12:G12"/>
    <mergeCell ref="C21:H21"/>
    <mergeCell ref="C30:I30"/>
  </mergeCells>
  <phoneticPr fontId="2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BD612-14B4-49DB-8A94-EEDF3F94C5FF}">
  <sheetPr codeName="Sheet6">
    <tabColor rgb="FFB4C4C1"/>
  </sheetPr>
  <dimension ref="B1:R376"/>
  <sheetViews>
    <sheetView showGridLines="0" zoomScale="115" zoomScaleNormal="80" workbookViewId="0">
      <selection activeCell="H5" sqref="H5"/>
    </sheetView>
  </sheetViews>
  <sheetFormatPr baseColWidth="10" defaultColWidth="8.83203125" defaultRowHeight="15"/>
  <cols>
    <col min="1" max="1" width="2.6640625" customWidth="1"/>
    <col min="2" max="2" width="30.1640625" bestFit="1" customWidth="1"/>
    <col min="3" max="4" width="19.1640625" bestFit="1" customWidth="1"/>
    <col min="5" max="6" width="17.5" bestFit="1" customWidth="1"/>
    <col min="7" max="7" width="17.1640625" bestFit="1" customWidth="1"/>
    <col min="8" max="8" width="21.6640625" customWidth="1"/>
    <col min="9" max="9" width="14.33203125" bestFit="1" customWidth="1"/>
    <col min="10" max="10" width="23.5" bestFit="1" customWidth="1"/>
    <col min="11" max="11" width="5" customWidth="1"/>
    <col min="12" max="12" width="12.33203125" bestFit="1" customWidth="1"/>
    <col min="13" max="13" width="10.1640625" bestFit="1" customWidth="1"/>
    <col min="14" max="14" width="14.33203125" bestFit="1" customWidth="1"/>
    <col min="16" max="16" width="10.1640625" bestFit="1" customWidth="1"/>
    <col min="18" max="18" width="11.5" bestFit="1" customWidth="1"/>
  </cols>
  <sheetData>
    <row r="1" spans="2:11">
      <c r="B1" s="52"/>
    </row>
    <row r="2" spans="2:11">
      <c r="B2" s="52"/>
    </row>
    <row r="3" spans="2:11" ht="16" thickBot="1"/>
    <row r="4" spans="2:11" ht="16" thickBot="1">
      <c r="B4" s="419" t="s">
        <v>76</v>
      </c>
      <c r="C4" s="420"/>
      <c r="E4" s="419" t="s">
        <v>2</v>
      </c>
      <c r="F4" s="420"/>
      <c r="H4" s="186" t="s">
        <v>26</v>
      </c>
    </row>
    <row r="5" spans="2:11" ht="16" thickBot="1">
      <c r="B5" s="184" t="s">
        <v>77</v>
      </c>
      <c r="C5" s="130">
        <f>+'Deal Summary'!G35</f>
        <v>2923261.2531200005</v>
      </c>
      <c r="E5" s="184" t="s">
        <v>78</v>
      </c>
      <c r="F5" s="130">
        <f>+'Deal Summary'!D32</f>
        <v>3654076.5664000004</v>
      </c>
      <c r="H5" s="269">
        <f>K5*C13</f>
        <v>121802.55221333336</v>
      </c>
      <c r="J5" s="373" t="s">
        <v>235</v>
      </c>
      <c r="K5" s="371">
        <f>'Deal Summary'!T38</f>
        <v>8</v>
      </c>
    </row>
    <row r="6" spans="2:11" ht="16" thickBot="1">
      <c r="B6" s="184" t="s">
        <v>11</v>
      </c>
      <c r="C6" s="179">
        <f>'Deal Summary'!T33</f>
        <v>6.25E-2</v>
      </c>
      <c r="E6" s="184" t="s">
        <v>7</v>
      </c>
      <c r="F6" s="179">
        <f>'Deal Summary'!T36</f>
        <v>0.8</v>
      </c>
      <c r="J6" s="184" t="s">
        <v>236</v>
      </c>
      <c r="K6" s="161">
        <f>MAX(0,'Deal Summary'!T35-Financing!K5)</f>
        <v>0</v>
      </c>
    </row>
    <row r="7" spans="2:11">
      <c r="B7" s="184" t="s">
        <v>79</v>
      </c>
      <c r="C7" s="180">
        <f>'Deal Summary'!T34</f>
        <v>25</v>
      </c>
      <c r="E7" s="184" t="s">
        <v>80</v>
      </c>
      <c r="F7" s="130">
        <f>F5*(100%-F6)</f>
        <v>730815.31327999989</v>
      </c>
      <c r="H7" s="186" t="s">
        <v>115</v>
      </c>
      <c r="I7" s="14"/>
      <c r="J7" s="184" t="s">
        <v>238</v>
      </c>
      <c r="K7" s="10">
        <f>MIN(12,K6)</f>
        <v>0</v>
      </c>
    </row>
    <row r="8" spans="2:11" ht="16" thickBot="1">
      <c r="B8" s="184" t="s">
        <v>81</v>
      </c>
      <c r="C8" s="181">
        <f>'Deal Summary'!T35</f>
        <v>8</v>
      </c>
      <c r="E8" s="185" t="s">
        <v>82</v>
      </c>
      <c r="F8" s="135">
        <f>F5-F7</f>
        <v>2923261.2531200005</v>
      </c>
      <c r="H8" s="269">
        <f>C5*'Deal Summary'!T37</f>
        <v>29232.612531200004</v>
      </c>
      <c r="J8" s="184" t="s">
        <v>237</v>
      </c>
      <c r="K8" s="161">
        <f>MAX(12-K7,0)</f>
        <v>12</v>
      </c>
    </row>
    <row r="9" spans="2:11">
      <c r="B9" s="184" t="s">
        <v>83</v>
      </c>
      <c r="C9" s="136">
        <f>(C7*12)</f>
        <v>300</v>
      </c>
      <c r="J9" s="184" t="s">
        <v>239</v>
      </c>
      <c r="K9" s="10">
        <f>MAX(MIN(K6- 12, 12), 0)</f>
        <v>0</v>
      </c>
    </row>
    <row r="10" spans="2:11">
      <c r="B10" s="184" t="s">
        <v>84</v>
      </c>
      <c r="C10" s="136">
        <f>C8+C9</f>
        <v>308</v>
      </c>
      <c r="J10" s="184" t="s">
        <v>241</v>
      </c>
      <c r="K10" s="161">
        <f>MAX(12-K9,0)</f>
        <v>12</v>
      </c>
    </row>
    <row r="11" spans="2:11">
      <c r="B11" s="184" t="s">
        <v>85</v>
      </c>
      <c r="C11" s="130">
        <f>PMT(C6/12,$C$7*12,$C$5,0,0)*-1</f>
        <v>19283.859334981251</v>
      </c>
      <c r="J11" s="184" t="s">
        <v>240</v>
      </c>
      <c r="K11" s="10">
        <f>MAX(MIN(K6 - 24, 12), 0)</f>
        <v>0</v>
      </c>
    </row>
    <row r="12" spans="2:11" ht="16" thickBot="1">
      <c r="B12" s="185" t="s">
        <v>86</v>
      </c>
      <c r="C12" s="135">
        <f>C11*12</f>
        <v>231406.31201977501</v>
      </c>
      <c r="J12" s="185" t="s">
        <v>242</v>
      </c>
      <c r="K12" s="197">
        <f>MAX(12-K11,0)</f>
        <v>12</v>
      </c>
    </row>
    <row r="13" spans="2:11" ht="16" thickBot="1">
      <c r="B13" s="185" t="s">
        <v>243</v>
      </c>
      <c r="C13" s="372">
        <f>(C6*C5)/12</f>
        <v>15225.31902666667</v>
      </c>
    </row>
    <row r="14" spans="2:11" ht="16" thickBot="1">
      <c r="B14" s="105"/>
      <c r="D14" s="458" t="s">
        <v>87</v>
      </c>
      <c r="E14" s="458"/>
      <c r="F14" s="458"/>
    </row>
    <row r="15" spans="2:11">
      <c r="B15" s="5" t="s">
        <v>88</v>
      </c>
      <c r="C15" s="183" t="s">
        <v>89</v>
      </c>
      <c r="D15" s="183" t="s">
        <v>90</v>
      </c>
      <c r="E15" s="183" t="s">
        <v>91</v>
      </c>
      <c r="F15" s="183" t="s">
        <v>92</v>
      </c>
      <c r="G15" s="183" t="s">
        <v>8</v>
      </c>
      <c r="H15" s="182" t="s">
        <v>93</v>
      </c>
    </row>
    <row r="16" spans="2:11">
      <c r="B16" s="40">
        <v>0</v>
      </c>
      <c r="C16" s="58">
        <v>0</v>
      </c>
      <c r="D16" s="144"/>
      <c r="E16" s="144"/>
      <c r="F16" s="144"/>
      <c r="G16" s="144"/>
      <c r="H16" s="145">
        <f>C5</f>
        <v>2923261.2531200005</v>
      </c>
      <c r="I16" s="2"/>
    </row>
    <row r="17" spans="2:18">
      <c r="B17" s="40"/>
      <c r="C17" s="58">
        <v>1</v>
      </c>
      <c r="D17" s="144">
        <f>H16</f>
        <v>2923261.2531200005</v>
      </c>
      <c r="E17" s="144">
        <f>IF(C17&gt;$C$10,0,IF(C17&lt;=$C$8,F17,-PMT($C$6/12,$C$9,$D$17,0,0)))</f>
        <v>15225.319026666668</v>
      </c>
      <c r="F17" s="144">
        <f>IF(C17&gt;$C$10,0,($C$6/12)*D17)</f>
        <v>15225.319026666668</v>
      </c>
      <c r="G17" s="144">
        <f t="shared" ref="G17:G80" si="0">E17-F17</f>
        <v>0</v>
      </c>
      <c r="H17" s="145">
        <f t="shared" ref="H17:H80" si="1">D17-G17</f>
        <v>2923261.2531200005</v>
      </c>
      <c r="I17" s="21"/>
      <c r="L17" s="21"/>
      <c r="M17" s="146"/>
      <c r="N17" s="2"/>
      <c r="P17" s="146"/>
    </row>
    <row r="18" spans="2:18">
      <c r="B18" s="40"/>
      <c r="C18" s="58">
        <v>2</v>
      </c>
      <c r="D18" s="144">
        <f>H17</f>
        <v>2923261.2531200005</v>
      </c>
      <c r="E18" s="144">
        <f>IF(C18&gt;$C$10,0,IF(C18&lt;=$C$8,F18,-PMT($C$6/12,$C$9,$C$5,0,0)))</f>
        <v>15225.319026666668</v>
      </c>
      <c r="F18" s="144">
        <f t="shared" ref="F18:F81" si="2">IF(C18&gt;$C$10,0,($C$6/12)*H17)</f>
        <v>15225.319026666668</v>
      </c>
      <c r="G18" s="144">
        <f t="shared" si="0"/>
        <v>0</v>
      </c>
      <c r="H18" s="145">
        <f t="shared" si="1"/>
        <v>2923261.2531200005</v>
      </c>
      <c r="I18" s="21"/>
      <c r="L18" s="21"/>
      <c r="M18" s="146"/>
      <c r="N18" s="2"/>
      <c r="P18" s="146"/>
    </row>
    <row r="19" spans="2:18">
      <c r="B19" s="40"/>
      <c r="C19" s="58">
        <v>3</v>
      </c>
      <c r="D19" s="144">
        <f>H18</f>
        <v>2923261.2531200005</v>
      </c>
      <c r="E19" s="144">
        <f>IF(C19&gt;$C$10,0,IF(C19&lt;=$C$8,F19,-PMT($C$6/12,$C$9,$C$5,0,0)))</f>
        <v>15225.319026666668</v>
      </c>
      <c r="F19" s="144">
        <f t="shared" si="2"/>
        <v>15225.319026666668</v>
      </c>
      <c r="G19" s="144">
        <f t="shared" si="0"/>
        <v>0</v>
      </c>
      <c r="H19" s="145">
        <f t="shared" si="1"/>
        <v>2923261.2531200005</v>
      </c>
      <c r="J19" s="2"/>
      <c r="K19" s="146"/>
      <c r="L19" s="21"/>
      <c r="M19" s="146"/>
      <c r="N19" s="2"/>
      <c r="P19" s="146"/>
    </row>
    <row r="20" spans="2:18">
      <c r="B20" s="40"/>
      <c r="C20" s="58">
        <v>4</v>
      </c>
      <c r="D20" s="144">
        <f>H19</f>
        <v>2923261.2531200005</v>
      </c>
      <c r="E20" s="144">
        <f>IF(C20&gt;$C$10,0,IF(C20&lt;=$C$8,F20,-PMT($C$6/12,$C$9,$D$17,0,0)))</f>
        <v>15225.319026666668</v>
      </c>
      <c r="F20" s="144">
        <f t="shared" si="2"/>
        <v>15225.319026666668</v>
      </c>
      <c r="G20" s="144">
        <f t="shared" si="0"/>
        <v>0</v>
      </c>
      <c r="H20" s="145">
        <f t="shared" si="1"/>
        <v>2923261.2531200005</v>
      </c>
      <c r="J20" s="2"/>
      <c r="K20" s="146"/>
      <c r="L20" s="21"/>
      <c r="M20" s="146"/>
      <c r="N20" s="2"/>
      <c r="P20" s="146"/>
      <c r="R20" s="21"/>
    </row>
    <row r="21" spans="2:18">
      <c r="B21" s="40"/>
      <c r="C21" s="58">
        <v>5</v>
      </c>
      <c r="D21" s="144">
        <f>H20</f>
        <v>2923261.2531200005</v>
      </c>
      <c r="E21" s="144">
        <f t="shared" ref="E21:E84" si="3">IF(C21&gt;$C$10,0,IF(C21&lt;=$C$8,F21,-PMT($C$6/12,$C$9,$C$5,0,0)))</f>
        <v>15225.319026666668</v>
      </c>
      <c r="F21" s="144">
        <f t="shared" si="2"/>
        <v>15225.319026666668</v>
      </c>
      <c r="G21" s="144">
        <f t="shared" si="0"/>
        <v>0</v>
      </c>
      <c r="H21" s="145">
        <f t="shared" si="1"/>
        <v>2923261.2531200005</v>
      </c>
      <c r="J21" s="2"/>
      <c r="K21" s="146"/>
      <c r="L21" s="21"/>
      <c r="M21" s="146"/>
      <c r="N21" s="2"/>
      <c r="P21" s="146"/>
    </row>
    <row r="22" spans="2:18">
      <c r="B22" s="40"/>
      <c r="C22" s="58">
        <v>6</v>
      </c>
      <c r="D22" s="144">
        <f t="shared" ref="D22:D85" si="4">IF(C22&gt;$C$10,0,H21)</f>
        <v>2923261.2531200005</v>
      </c>
      <c r="E22" s="144">
        <f t="shared" si="3"/>
        <v>15225.319026666668</v>
      </c>
      <c r="F22" s="144">
        <f t="shared" si="2"/>
        <v>15225.319026666668</v>
      </c>
      <c r="G22" s="144">
        <f t="shared" si="0"/>
        <v>0</v>
      </c>
      <c r="H22" s="145">
        <f t="shared" si="1"/>
        <v>2923261.2531200005</v>
      </c>
      <c r="J22" s="2"/>
      <c r="K22" s="146"/>
      <c r="L22" s="21"/>
      <c r="M22" s="146"/>
      <c r="N22" s="2"/>
      <c r="P22" s="146"/>
    </row>
    <row r="23" spans="2:18">
      <c r="B23" s="40"/>
      <c r="C23" s="58">
        <v>7</v>
      </c>
      <c r="D23" s="144">
        <f t="shared" si="4"/>
        <v>2923261.2531200005</v>
      </c>
      <c r="E23" s="144">
        <f t="shared" si="3"/>
        <v>15225.319026666668</v>
      </c>
      <c r="F23" s="144">
        <f t="shared" si="2"/>
        <v>15225.319026666668</v>
      </c>
      <c r="G23" s="144">
        <f t="shared" si="0"/>
        <v>0</v>
      </c>
      <c r="H23" s="145">
        <f t="shared" si="1"/>
        <v>2923261.2531200005</v>
      </c>
      <c r="J23" s="2"/>
      <c r="K23" s="146"/>
      <c r="L23" s="21"/>
      <c r="M23" s="146"/>
      <c r="N23" s="2"/>
      <c r="P23" s="146"/>
    </row>
    <row r="24" spans="2:18">
      <c r="B24" s="40"/>
      <c r="C24" s="58">
        <v>8</v>
      </c>
      <c r="D24" s="144">
        <f t="shared" si="4"/>
        <v>2923261.2531200005</v>
      </c>
      <c r="E24" s="144">
        <f t="shared" si="3"/>
        <v>15225.319026666668</v>
      </c>
      <c r="F24" s="144">
        <f t="shared" si="2"/>
        <v>15225.319026666668</v>
      </c>
      <c r="G24" s="144">
        <f t="shared" si="0"/>
        <v>0</v>
      </c>
      <c r="H24" s="145">
        <f t="shared" si="1"/>
        <v>2923261.2531200005</v>
      </c>
      <c r="J24" s="2"/>
      <c r="K24" s="146"/>
      <c r="L24" s="21"/>
      <c r="M24" s="146"/>
      <c r="N24" s="2"/>
      <c r="P24" s="146"/>
    </row>
    <row r="25" spans="2:18">
      <c r="B25" s="40"/>
      <c r="C25" s="58">
        <v>9</v>
      </c>
      <c r="D25" s="144">
        <f t="shared" si="4"/>
        <v>2923261.2531200005</v>
      </c>
      <c r="E25" s="144">
        <f t="shared" si="3"/>
        <v>19283.859334981251</v>
      </c>
      <c r="F25" s="144">
        <f t="shared" si="2"/>
        <v>15225.319026666668</v>
      </c>
      <c r="G25" s="144">
        <f t="shared" si="0"/>
        <v>4058.5403083145829</v>
      </c>
      <c r="H25" s="145">
        <f t="shared" si="1"/>
        <v>2919202.7128116861</v>
      </c>
      <c r="J25" s="2"/>
      <c r="K25" s="146"/>
      <c r="L25" s="21"/>
      <c r="M25" s="146"/>
      <c r="N25" s="2"/>
      <c r="P25" s="146"/>
    </row>
    <row r="26" spans="2:18">
      <c r="B26" s="40"/>
      <c r="C26" s="58">
        <v>10</v>
      </c>
      <c r="D26" s="144">
        <f t="shared" si="4"/>
        <v>2919202.7128116861</v>
      </c>
      <c r="E26" s="144">
        <f t="shared" si="3"/>
        <v>19283.859334981251</v>
      </c>
      <c r="F26" s="144">
        <f t="shared" si="2"/>
        <v>15204.180795894197</v>
      </c>
      <c r="G26" s="144">
        <f t="shared" si="0"/>
        <v>4079.6785390870537</v>
      </c>
      <c r="H26" s="145">
        <f t="shared" si="1"/>
        <v>2915123.034272599</v>
      </c>
      <c r="J26" s="2"/>
      <c r="K26" s="146"/>
      <c r="L26" s="21"/>
      <c r="M26" s="146"/>
      <c r="N26" s="2"/>
      <c r="P26" s="146"/>
    </row>
    <row r="27" spans="2:18">
      <c r="B27" s="40"/>
      <c r="C27" s="58">
        <v>11</v>
      </c>
      <c r="D27" s="144">
        <f t="shared" si="4"/>
        <v>2915123.034272599</v>
      </c>
      <c r="E27" s="144">
        <f t="shared" si="3"/>
        <v>19283.859334981251</v>
      </c>
      <c r="F27" s="144">
        <f t="shared" si="2"/>
        <v>15182.932470169786</v>
      </c>
      <c r="G27" s="144">
        <f t="shared" si="0"/>
        <v>4100.9268648114648</v>
      </c>
      <c r="H27" s="145">
        <f t="shared" si="1"/>
        <v>2911022.1074077873</v>
      </c>
      <c r="J27" s="2"/>
      <c r="K27" s="146"/>
      <c r="L27" s="21"/>
      <c r="M27" s="146"/>
      <c r="N27" s="2"/>
      <c r="P27" s="146"/>
    </row>
    <row r="28" spans="2:18">
      <c r="B28" s="46">
        <v>1</v>
      </c>
      <c r="C28" s="147">
        <v>12</v>
      </c>
      <c r="D28" s="157">
        <f t="shared" si="4"/>
        <v>2911022.1074077873</v>
      </c>
      <c r="E28" s="157">
        <f t="shared" si="3"/>
        <v>19283.859334981251</v>
      </c>
      <c r="F28" s="157">
        <f t="shared" si="2"/>
        <v>15161.573476082225</v>
      </c>
      <c r="G28" s="157">
        <f t="shared" si="0"/>
        <v>4122.2858588990257</v>
      </c>
      <c r="H28" s="158">
        <f t="shared" si="1"/>
        <v>2906899.8215488885</v>
      </c>
      <c r="I28" s="148">
        <f>+SUM(G17:G28)+SUM(F17:F28)</f>
        <v>198937.98955325838</v>
      </c>
      <c r="J28" s="2"/>
      <c r="K28" s="146"/>
      <c r="L28" s="21"/>
      <c r="M28" s="146"/>
      <c r="N28" s="2"/>
      <c r="P28" s="146"/>
    </row>
    <row r="29" spans="2:18">
      <c r="B29" s="40"/>
      <c r="C29" s="58">
        <v>13</v>
      </c>
      <c r="D29" s="144">
        <f t="shared" si="4"/>
        <v>2906899.8215488885</v>
      </c>
      <c r="E29" s="144">
        <f t="shared" si="3"/>
        <v>19283.859334981251</v>
      </c>
      <c r="F29" s="144">
        <f t="shared" si="2"/>
        <v>15140.103237233794</v>
      </c>
      <c r="G29" s="144">
        <f t="shared" si="0"/>
        <v>4143.7560977474568</v>
      </c>
      <c r="H29" s="145">
        <f t="shared" si="1"/>
        <v>2902756.065451141</v>
      </c>
      <c r="J29" s="2"/>
      <c r="K29" s="146"/>
      <c r="L29" s="21"/>
      <c r="M29" s="146"/>
      <c r="N29" s="2"/>
      <c r="P29" s="146"/>
    </row>
    <row r="30" spans="2:18">
      <c r="B30" s="40"/>
      <c r="C30" s="58">
        <v>14</v>
      </c>
      <c r="D30" s="144">
        <f t="shared" si="4"/>
        <v>2902756.065451141</v>
      </c>
      <c r="E30" s="144">
        <f t="shared" si="3"/>
        <v>19283.859334981251</v>
      </c>
      <c r="F30" s="144">
        <f t="shared" si="2"/>
        <v>15118.521174224692</v>
      </c>
      <c r="G30" s="144">
        <f t="shared" si="0"/>
        <v>4165.3381607565589</v>
      </c>
      <c r="H30" s="145">
        <f t="shared" si="1"/>
        <v>2898590.7272903845</v>
      </c>
      <c r="J30" s="2"/>
      <c r="K30" s="146"/>
      <c r="L30" s="21"/>
      <c r="M30" s="146"/>
      <c r="N30" s="2"/>
      <c r="P30" s="146"/>
    </row>
    <row r="31" spans="2:18">
      <c r="B31" s="40"/>
      <c r="C31" s="58">
        <v>15</v>
      </c>
      <c r="D31" s="144">
        <f t="shared" si="4"/>
        <v>2898590.7272903845</v>
      </c>
      <c r="E31" s="144">
        <f t="shared" si="3"/>
        <v>19283.859334981251</v>
      </c>
      <c r="F31" s="144">
        <f t="shared" si="2"/>
        <v>15096.826704637419</v>
      </c>
      <c r="G31" s="144">
        <f t="shared" si="0"/>
        <v>4187.0326303438324</v>
      </c>
      <c r="H31" s="145">
        <f t="shared" si="1"/>
        <v>2894403.6946600405</v>
      </c>
      <c r="J31" s="2"/>
      <c r="K31" s="146"/>
      <c r="L31" s="21"/>
      <c r="M31" s="146"/>
      <c r="N31" s="2"/>
      <c r="P31" s="146"/>
    </row>
    <row r="32" spans="2:18">
      <c r="B32" s="40"/>
      <c r="C32" s="58">
        <v>16</v>
      </c>
      <c r="D32" s="144">
        <f t="shared" si="4"/>
        <v>2894403.6946600405</v>
      </c>
      <c r="E32" s="144">
        <f t="shared" si="3"/>
        <v>19283.859334981251</v>
      </c>
      <c r="F32" s="144">
        <f t="shared" si="2"/>
        <v>15075.019243021045</v>
      </c>
      <c r="G32" s="144">
        <f t="shared" si="0"/>
        <v>4208.8400919602063</v>
      </c>
      <c r="H32" s="145">
        <f t="shared" si="1"/>
        <v>2890194.8545680805</v>
      </c>
      <c r="J32" s="2"/>
      <c r="K32" s="146"/>
      <c r="L32" s="21"/>
      <c r="M32" s="146"/>
      <c r="N32" s="2"/>
      <c r="P32" s="146"/>
    </row>
    <row r="33" spans="2:16">
      <c r="B33" s="40"/>
      <c r="C33" s="58">
        <v>17</v>
      </c>
      <c r="D33" s="144">
        <f t="shared" si="4"/>
        <v>2890194.8545680805</v>
      </c>
      <c r="E33" s="144">
        <f t="shared" si="3"/>
        <v>19283.859334981251</v>
      </c>
      <c r="F33" s="144">
        <f t="shared" si="2"/>
        <v>15053.098200875418</v>
      </c>
      <c r="G33" s="144">
        <f t="shared" si="0"/>
        <v>4230.7611341058328</v>
      </c>
      <c r="H33" s="145">
        <f t="shared" si="1"/>
        <v>2885964.0934339748</v>
      </c>
      <c r="J33" s="2"/>
      <c r="K33" s="146"/>
      <c r="L33" s="21"/>
      <c r="M33" s="146"/>
      <c r="N33" s="2"/>
      <c r="P33" s="146"/>
    </row>
    <row r="34" spans="2:16">
      <c r="B34" s="40"/>
      <c r="C34" s="58">
        <v>18</v>
      </c>
      <c r="D34" s="144">
        <f t="shared" si="4"/>
        <v>2885964.0934339748</v>
      </c>
      <c r="E34" s="144">
        <f t="shared" si="3"/>
        <v>19283.859334981251</v>
      </c>
      <c r="F34" s="144">
        <f t="shared" si="2"/>
        <v>15031.062986635285</v>
      </c>
      <c r="G34" s="144">
        <f t="shared" si="0"/>
        <v>4252.7963483459662</v>
      </c>
      <c r="H34" s="145">
        <f t="shared" si="1"/>
        <v>2881711.2970856288</v>
      </c>
      <c r="J34" s="2"/>
      <c r="K34" s="146"/>
      <c r="L34" s="21"/>
      <c r="M34" s="146"/>
      <c r="N34" s="2"/>
      <c r="P34" s="146"/>
    </row>
    <row r="35" spans="2:16">
      <c r="B35" s="40"/>
      <c r="C35" s="58">
        <v>19</v>
      </c>
      <c r="D35" s="144">
        <f t="shared" si="4"/>
        <v>2881711.2970856288</v>
      </c>
      <c r="E35" s="144">
        <f t="shared" si="3"/>
        <v>19283.859334981251</v>
      </c>
      <c r="F35" s="144">
        <f t="shared" si="2"/>
        <v>15008.913005654316</v>
      </c>
      <c r="G35" s="144">
        <f t="shared" si="0"/>
        <v>4274.9463293269346</v>
      </c>
      <c r="H35" s="145">
        <f t="shared" si="1"/>
        <v>2877436.350756302</v>
      </c>
      <c r="J35" s="2"/>
      <c r="K35" s="146"/>
      <c r="L35" s="21"/>
      <c r="M35" s="146"/>
      <c r="N35" s="2"/>
      <c r="P35" s="146"/>
    </row>
    <row r="36" spans="2:16">
      <c r="B36" s="40"/>
      <c r="C36" s="58">
        <v>20</v>
      </c>
      <c r="D36" s="144">
        <f t="shared" si="4"/>
        <v>2877436.350756302</v>
      </c>
      <c r="E36" s="144">
        <f t="shared" si="3"/>
        <v>19283.859334981251</v>
      </c>
      <c r="F36" s="144">
        <f t="shared" si="2"/>
        <v>14986.647660189072</v>
      </c>
      <c r="G36" s="144">
        <f t="shared" si="0"/>
        <v>4297.2116747921791</v>
      </c>
      <c r="H36" s="145">
        <f t="shared" si="1"/>
        <v>2873139.1390815098</v>
      </c>
      <c r="J36" s="2"/>
      <c r="K36" s="146"/>
      <c r="L36" s="21"/>
      <c r="M36" s="146"/>
      <c r="N36" s="2"/>
      <c r="P36" s="146"/>
    </row>
    <row r="37" spans="2:16">
      <c r="B37" s="40"/>
      <c r="C37" s="58">
        <v>21</v>
      </c>
      <c r="D37" s="144">
        <f t="shared" si="4"/>
        <v>2873139.1390815098</v>
      </c>
      <c r="E37" s="144">
        <f t="shared" si="3"/>
        <v>19283.859334981251</v>
      </c>
      <c r="F37" s="144">
        <f t="shared" si="2"/>
        <v>14964.266349382862</v>
      </c>
      <c r="G37" s="144">
        <f t="shared" si="0"/>
        <v>4319.5929855983886</v>
      </c>
      <c r="H37" s="145">
        <f t="shared" si="1"/>
        <v>2868819.5460959114</v>
      </c>
      <c r="J37" s="2"/>
      <c r="K37" s="146"/>
      <c r="L37" s="21"/>
      <c r="M37" s="146"/>
      <c r="N37" s="2"/>
      <c r="P37" s="146"/>
    </row>
    <row r="38" spans="2:16">
      <c r="B38" s="40"/>
      <c r="C38" s="58">
        <v>22</v>
      </c>
      <c r="D38" s="144">
        <f t="shared" si="4"/>
        <v>2868819.5460959114</v>
      </c>
      <c r="E38" s="144">
        <f t="shared" si="3"/>
        <v>19283.859334981251</v>
      </c>
      <c r="F38" s="144">
        <f t="shared" si="2"/>
        <v>14941.768469249539</v>
      </c>
      <c r="G38" s="144">
        <f t="shared" si="0"/>
        <v>4342.0908657317123</v>
      </c>
      <c r="H38" s="145">
        <f t="shared" si="1"/>
        <v>2864477.4552301797</v>
      </c>
      <c r="J38" s="2"/>
      <c r="K38" s="146"/>
      <c r="L38" s="21"/>
      <c r="M38" s="146"/>
      <c r="N38" s="2"/>
      <c r="P38" s="146"/>
    </row>
    <row r="39" spans="2:16">
      <c r="B39" s="40"/>
      <c r="C39" s="58">
        <v>23</v>
      </c>
      <c r="D39" s="144">
        <f t="shared" si="4"/>
        <v>2864477.4552301797</v>
      </c>
      <c r="E39" s="144">
        <f t="shared" si="3"/>
        <v>19283.859334981251</v>
      </c>
      <c r="F39" s="144">
        <f t="shared" si="2"/>
        <v>14919.153412657186</v>
      </c>
      <c r="G39" s="144">
        <f t="shared" si="0"/>
        <v>4364.7059223240649</v>
      </c>
      <c r="H39" s="145">
        <f t="shared" si="1"/>
        <v>2860112.7493078555</v>
      </c>
      <c r="J39" s="2"/>
      <c r="K39" s="146"/>
      <c r="L39" s="21"/>
      <c r="M39" s="146"/>
      <c r="N39" s="2"/>
      <c r="P39" s="146"/>
    </row>
    <row r="40" spans="2:16">
      <c r="B40" s="46">
        <v>2</v>
      </c>
      <c r="C40" s="147">
        <v>24</v>
      </c>
      <c r="D40" s="157">
        <f t="shared" si="4"/>
        <v>2860112.7493078555</v>
      </c>
      <c r="E40" s="157">
        <f t="shared" si="3"/>
        <v>19283.859334981251</v>
      </c>
      <c r="F40" s="157">
        <f t="shared" si="2"/>
        <v>14896.420569311747</v>
      </c>
      <c r="G40" s="157">
        <f t="shared" si="0"/>
        <v>4387.4387656695035</v>
      </c>
      <c r="H40" s="158">
        <f t="shared" si="1"/>
        <v>2855725.3105421858</v>
      </c>
      <c r="I40" s="148">
        <f>+SUM(G29:G40)+SUM(F29:F40)</f>
        <v>231406.31201977501</v>
      </c>
      <c r="J40" s="2"/>
      <c r="K40" s="146"/>
      <c r="L40" s="21"/>
      <c r="M40" s="146"/>
      <c r="N40" s="2"/>
      <c r="P40" s="146"/>
    </row>
    <row r="41" spans="2:16">
      <c r="B41" s="40"/>
      <c r="C41" s="58">
        <v>25</v>
      </c>
      <c r="D41" s="144">
        <f t="shared" si="4"/>
        <v>2855725.3105421858</v>
      </c>
      <c r="E41" s="144">
        <f t="shared" si="3"/>
        <v>19283.859334981251</v>
      </c>
      <c r="F41" s="144">
        <f t="shared" si="2"/>
        <v>14873.569325740551</v>
      </c>
      <c r="G41" s="144">
        <f t="shared" si="0"/>
        <v>4410.2900092406999</v>
      </c>
      <c r="H41" s="145">
        <f t="shared" si="1"/>
        <v>2851315.0205329452</v>
      </c>
      <c r="J41" s="2"/>
      <c r="K41" s="146"/>
      <c r="L41" s="21"/>
      <c r="M41" s="146"/>
      <c r="N41" s="2"/>
      <c r="P41" s="146"/>
    </row>
    <row r="42" spans="2:16">
      <c r="B42" s="40"/>
      <c r="C42" s="58">
        <v>26</v>
      </c>
      <c r="D42" s="144">
        <f t="shared" si="4"/>
        <v>2851315.0205329452</v>
      </c>
      <c r="E42" s="144">
        <f t="shared" si="3"/>
        <v>19283.859334981251</v>
      </c>
      <c r="F42" s="144">
        <f t="shared" si="2"/>
        <v>14850.599065275755</v>
      </c>
      <c r="G42" s="144">
        <f t="shared" si="0"/>
        <v>4433.2602697054954</v>
      </c>
      <c r="H42" s="145">
        <f t="shared" si="1"/>
        <v>2846881.7602632395</v>
      </c>
      <c r="J42" s="2"/>
      <c r="K42" s="146"/>
    </row>
    <row r="43" spans="2:16">
      <c r="B43" s="40"/>
      <c r="C43" s="58">
        <v>27</v>
      </c>
      <c r="D43" s="144">
        <f t="shared" si="4"/>
        <v>2846881.7602632395</v>
      </c>
      <c r="E43" s="144">
        <f t="shared" si="3"/>
        <v>19283.859334981251</v>
      </c>
      <c r="F43" s="144">
        <f t="shared" si="2"/>
        <v>14827.509168037705</v>
      </c>
      <c r="G43" s="144">
        <f t="shared" si="0"/>
        <v>4456.3501669435464</v>
      </c>
      <c r="H43" s="145">
        <f t="shared" si="1"/>
        <v>2842425.4100962961</v>
      </c>
      <c r="J43" s="2"/>
      <c r="K43" s="146"/>
    </row>
    <row r="44" spans="2:16">
      <c r="B44" s="40"/>
      <c r="C44" s="58">
        <v>28</v>
      </c>
      <c r="D44" s="144">
        <f t="shared" si="4"/>
        <v>2842425.4100962961</v>
      </c>
      <c r="E44" s="144">
        <f t="shared" si="3"/>
        <v>19283.859334981251</v>
      </c>
      <c r="F44" s="144">
        <f t="shared" si="2"/>
        <v>14804.299010918208</v>
      </c>
      <c r="G44" s="144">
        <f t="shared" si="0"/>
        <v>4479.5603240630426</v>
      </c>
      <c r="H44" s="145">
        <f t="shared" si="1"/>
        <v>2837945.8497722331</v>
      </c>
    </row>
    <row r="45" spans="2:16">
      <c r="B45" s="40"/>
      <c r="C45" s="58">
        <v>29</v>
      </c>
      <c r="D45" s="144">
        <f t="shared" si="4"/>
        <v>2837945.8497722331</v>
      </c>
      <c r="E45" s="144">
        <f t="shared" si="3"/>
        <v>19283.859334981251</v>
      </c>
      <c r="F45" s="144">
        <f t="shared" si="2"/>
        <v>14780.967967563713</v>
      </c>
      <c r="G45" s="144">
        <f t="shared" si="0"/>
        <v>4502.8913674175383</v>
      </c>
      <c r="H45" s="145">
        <f t="shared" si="1"/>
        <v>2833442.9584048153</v>
      </c>
    </row>
    <row r="46" spans="2:16">
      <c r="B46" s="40"/>
      <c r="C46" s="58">
        <v>30</v>
      </c>
      <c r="D46" s="144">
        <f t="shared" si="4"/>
        <v>2833442.9584048153</v>
      </c>
      <c r="E46" s="144">
        <f t="shared" si="3"/>
        <v>19283.859334981251</v>
      </c>
      <c r="F46" s="144">
        <f t="shared" si="2"/>
        <v>14757.515408358413</v>
      </c>
      <c r="G46" s="144">
        <f t="shared" si="0"/>
        <v>4526.3439266228379</v>
      </c>
      <c r="H46" s="145">
        <f t="shared" si="1"/>
        <v>2828916.6144781923</v>
      </c>
    </row>
    <row r="47" spans="2:16">
      <c r="B47" s="40"/>
      <c r="C47" s="58">
        <v>31</v>
      </c>
      <c r="D47" s="144">
        <f t="shared" si="4"/>
        <v>2828916.6144781923</v>
      </c>
      <c r="E47" s="144">
        <f t="shared" si="3"/>
        <v>19283.859334981251</v>
      </c>
      <c r="F47" s="144">
        <f t="shared" si="2"/>
        <v>14733.940700407251</v>
      </c>
      <c r="G47" s="144">
        <f t="shared" si="0"/>
        <v>4549.918634574</v>
      </c>
      <c r="H47" s="145">
        <f t="shared" si="1"/>
        <v>2824366.6958436184</v>
      </c>
    </row>
    <row r="48" spans="2:16">
      <c r="B48" s="40"/>
      <c r="C48" s="58">
        <v>32</v>
      </c>
      <c r="D48" s="144">
        <f t="shared" si="4"/>
        <v>2824366.6958436184</v>
      </c>
      <c r="E48" s="144">
        <f t="shared" si="3"/>
        <v>19283.859334981251</v>
      </c>
      <c r="F48" s="144">
        <f t="shared" si="2"/>
        <v>14710.243207518844</v>
      </c>
      <c r="G48" s="144">
        <f t="shared" si="0"/>
        <v>4573.6161274624064</v>
      </c>
      <c r="H48" s="145">
        <f t="shared" si="1"/>
        <v>2819793.0797161558</v>
      </c>
    </row>
    <row r="49" spans="2:9">
      <c r="B49" s="40"/>
      <c r="C49" s="58">
        <v>33</v>
      </c>
      <c r="D49" s="144">
        <f t="shared" si="4"/>
        <v>2819793.0797161558</v>
      </c>
      <c r="E49" s="144">
        <f t="shared" si="3"/>
        <v>19283.859334981251</v>
      </c>
      <c r="F49" s="144">
        <f t="shared" si="2"/>
        <v>14686.422290188311</v>
      </c>
      <c r="G49" s="144">
        <f t="shared" si="0"/>
        <v>4597.4370447929396</v>
      </c>
      <c r="H49" s="145">
        <f t="shared" si="1"/>
        <v>2815195.642671363</v>
      </c>
    </row>
    <row r="50" spans="2:9">
      <c r="B50" s="40"/>
      <c r="C50" s="58">
        <v>34</v>
      </c>
      <c r="D50" s="144">
        <f t="shared" si="4"/>
        <v>2815195.642671363</v>
      </c>
      <c r="E50" s="144">
        <f t="shared" si="3"/>
        <v>19283.859334981251</v>
      </c>
      <c r="F50" s="144">
        <f t="shared" si="2"/>
        <v>14662.477305580014</v>
      </c>
      <c r="G50" s="144">
        <f t="shared" si="0"/>
        <v>4621.3820294012367</v>
      </c>
      <c r="H50" s="145">
        <f t="shared" si="1"/>
        <v>2810574.2606419618</v>
      </c>
    </row>
    <row r="51" spans="2:9">
      <c r="B51" s="40"/>
      <c r="C51" s="58">
        <v>35</v>
      </c>
      <c r="D51" s="144">
        <f t="shared" si="4"/>
        <v>2810574.2606419618</v>
      </c>
      <c r="E51" s="144">
        <f t="shared" si="3"/>
        <v>19283.859334981251</v>
      </c>
      <c r="F51" s="144">
        <f t="shared" si="2"/>
        <v>14638.407607510217</v>
      </c>
      <c r="G51" s="144">
        <f t="shared" si="0"/>
        <v>4645.4517274710342</v>
      </c>
      <c r="H51" s="145">
        <f t="shared" si="1"/>
        <v>2805928.808914491</v>
      </c>
    </row>
    <row r="52" spans="2:9">
      <c r="B52" s="46">
        <v>3</v>
      </c>
      <c r="C52" s="147">
        <v>36</v>
      </c>
      <c r="D52" s="157">
        <f t="shared" si="4"/>
        <v>2805928.808914491</v>
      </c>
      <c r="E52" s="157">
        <f t="shared" si="3"/>
        <v>19283.859334981251</v>
      </c>
      <c r="F52" s="157">
        <f t="shared" si="2"/>
        <v>14614.21254642964</v>
      </c>
      <c r="G52" s="157">
        <f t="shared" si="0"/>
        <v>4669.6467885516104</v>
      </c>
      <c r="H52" s="158">
        <f t="shared" si="1"/>
        <v>2801259.1621259395</v>
      </c>
      <c r="I52" s="148">
        <f>+SUM(G41:G52)+SUM(F41:F52)</f>
        <v>231406.31201977504</v>
      </c>
    </row>
    <row r="53" spans="2:9">
      <c r="B53" s="40"/>
      <c r="C53" s="58">
        <v>37</v>
      </c>
      <c r="D53" s="144">
        <f t="shared" si="4"/>
        <v>2801259.1621259395</v>
      </c>
      <c r="E53" s="144">
        <f t="shared" si="3"/>
        <v>19283.859334981251</v>
      </c>
      <c r="F53" s="144">
        <f t="shared" si="2"/>
        <v>14589.891469405935</v>
      </c>
      <c r="G53" s="144">
        <f t="shared" si="0"/>
        <v>4693.967865575316</v>
      </c>
      <c r="H53" s="145">
        <f t="shared" si="1"/>
        <v>2796565.1942603644</v>
      </c>
    </row>
    <row r="54" spans="2:9">
      <c r="B54" s="40"/>
      <c r="C54" s="58">
        <v>38</v>
      </c>
      <c r="D54" s="144">
        <f t="shared" si="4"/>
        <v>2796565.1942603644</v>
      </c>
      <c r="E54" s="144">
        <f t="shared" si="3"/>
        <v>19283.859334981251</v>
      </c>
      <c r="F54" s="144">
        <f t="shared" si="2"/>
        <v>14565.443720106065</v>
      </c>
      <c r="G54" s="144">
        <f t="shared" si="0"/>
        <v>4718.4156148751863</v>
      </c>
      <c r="H54" s="145">
        <f t="shared" si="1"/>
        <v>2791846.7786454894</v>
      </c>
    </row>
    <row r="55" spans="2:9">
      <c r="B55" s="40"/>
      <c r="C55" s="58">
        <v>39</v>
      </c>
      <c r="D55" s="144">
        <f t="shared" si="4"/>
        <v>2791846.7786454894</v>
      </c>
      <c r="E55" s="144">
        <f t="shared" si="3"/>
        <v>19283.859334981251</v>
      </c>
      <c r="F55" s="144">
        <f t="shared" si="2"/>
        <v>14540.868638778589</v>
      </c>
      <c r="G55" s="144">
        <f t="shared" si="0"/>
        <v>4742.9906962026616</v>
      </c>
      <c r="H55" s="145">
        <f t="shared" si="1"/>
        <v>2787103.7879492869</v>
      </c>
    </row>
    <row r="56" spans="2:9">
      <c r="B56" s="40"/>
      <c r="C56" s="58">
        <v>40</v>
      </c>
      <c r="D56" s="144">
        <f t="shared" si="4"/>
        <v>2787103.7879492869</v>
      </c>
      <c r="E56" s="144">
        <f t="shared" si="3"/>
        <v>19283.859334981251</v>
      </c>
      <c r="F56" s="144">
        <f t="shared" si="2"/>
        <v>14516.165562235868</v>
      </c>
      <c r="G56" s="144">
        <f t="shared" si="0"/>
        <v>4767.6937727453824</v>
      </c>
      <c r="H56" s="145">
        <f t="shared" si="1"/>
        <v>2782336.0941765415</v>
      </c>
    </row>
    <row r="57" spans="2:9">
      <c r="B57" s="40"/>
      <c r="C57" s="58">
        <v>41</v>
      </c>
      <c r="D57" s="144">
        <f t="shared" si="4"/>
        <v>2782336.0941765415</v>
      </c>
      <c r="E57" s="144">
        <f t="shared" si="3"/>
        <v>19283.859334981251</v>
      </c>
      <c r="F57" s="144">
        <f t="shared" si="2"/>
        <v>14491.333823836154</v>
      </c>
      <c r="G57" s="144">
        <f t="shared" si="0"/>
        <v>4792.525511145097</v>
      </c>
      <c r="H57" s="145">
        <f t="shared" si="1"/>
        <v>2777543.5686653964</v>
      </c>
    </row>
    <row r="58" spans="2:9">
      <c r="B58" s="40"/>
      <c r="C58" s="58">
        <v>42</v>
      </c>
      <c r="D58" s="144">
        <f t="shared" si="4"/>
        <v>2777543.5686653964</v>
      </c>
      <c r="E58" s="144">
        <f t="shared" si="3"/>
        <v>19283.859334981251</v>
      </c>
      <c r="F58" s="144">
        <f t="shared" si="2"/>
        <v>14466.372753465606</v>
      </c>
      <c r="G58" s="144">
        <f t="shared" si="0"/>
        <v>4817.4865815156445</v>
      </c>
      <c r="H58" s="145">
        <f t="shared" si="1"/>
        <v>2772726.0820838809</v>
      </c>
    </row>
    <row r="59" spans="2:9">
      <c r="B59" s="40"/>
      <c r="C59" s="58">
        <v>43</v>
      </c>
      <c r="D59" s="144">
        <f t="shared" si="4"/>
        <v>2772726.0820838809</v>
      </c>
      <c r="E59" s="144">
        <f t="shared" si="3"/>
        <v>19283.859334981251</v>
      </c>
      <c r="F59" s="144">
        <f t="shared" si="2"/>
        <v>14441.281677520212</v>
      </c>
      <c r="G59" s="144">
        <f t="shared" si="0"/>
        <v>4842.5776574610391</v>
      </c>
      <c r="H59" s="145">
        <f t="shared" si="1"/>
        <v>2767883.5044264197</v>
      </c>
      <c r="I59" s="148"/>
    </row>
    <row r="60" spans="2:9">
      <c r="B60" s="40"/>
      <c r="C60" s="58">
        <v>44</v>
      </c>
      <c r="D60" s="144">
        <f t="shared" si="4"/>
        <v>2767883.5044264197</v>
      </c>
      <c r="E60" s="144">
        <f t="shared" si="3"/>
        <v>19283.859334981251</v>
      </c>
      <c r="F60" s="144">
        <f t="shared" si="2"/>
        <v>14416.059918887602</v>
      </c>
      <c r="G60" s="144">
        <f t="shared" si="0"/>
        <v>4867.7994160936487</v>
      </c>
      <c r="H60" s="145">
        <f t="shared" si="1"/>
        <v>2763015.7050103261</v>
      </c>
    </row>
    <row r="61" spans="2:9">
      <c r="B61" s="40"/>
      <c r="C61" s="58">
        <v>45</v>
      </c>
      <c r="D61" s="144">
        <f t="shared" si="4"/>
        <v>2763015.7050103261</v>
      </c>
      <c r="E61" s="144">
        <f t="shared" si="3"/>
        <v>19283.859334981251</v>
      </c>
      <c r="F61" s="144">
        <f t="shared" si="2"/>
        <v>14390.706796928782</v>
      </c>
      <c r="G61" s="144">
        <f t="shared" si="0"/>
        <v>4893.152538052469</v>
      </c>
      <c r="H61" s="145">
        <f t="shared" si="1"/>
        <v>2758122.5524722738</v>
      </c>
    </row>
    <row r="62" spans="2:9">
      <c r="B62" s="40"/>
      <c r="C62" s="58">
        <v>46</v>
      </c>
      <c r="D62" s="144">
        <f t="shared" si="4"/>
        <v>2758122.5524722738</v>
      </c>
      <c r="E62" s="144">
        <f t="shared" si="3"/>
        <v>19283.859334981251</v>
      </c>
      <c r="F62" s="144">
        <f t="shared" si="2"/>
        <v>14365.221627459759</v>
      </c>
      <c r="G62" s="144">
        <f t="shared" si="0"/>
        <v>4918.6377075214914</v>
      </c>
      <c r="H62" s="145">
        <f t="shared" si="1"/>
        <v>2753203.9147647521</v>
      </c>
    </row>
    <row r="63" spans="2:9">
      <c r="B63" s="40"/>
      <c r="C63" s="58">
        <v>47</v>
      </c>
      <c r="D63" s="144">
        <f t="shared" si="4"/>
        <v>2753203.9147647521</v>
      </c>
      <c r="E63" s="144">
        <f t="shared" si="3"/>
        <v>19283.859334981251</v>
      </c>
      <c r="F63" s="144">
        <f t="shared" si="2"/>
        <v>14339.603722733083</v>
      </c>
      <c r="G63" s="144">
        <f t="shared" si="0"/>
        <v>4944.2556122481674</v>
      </c>
      <c r="H63" s="145">
        <f t="shared" si="1"/>
        <v>2748259.6591525041</v>
      </c>
    </row>
    <row r="64" spans="2:9">
      <c r="B64" s="46">
        <v>4</v>
      </c>
      <c r="C64" s="147">
        <v>48</v>
      </c>
      <c r="D64" s="157">
        <f t="shared" si="4"/>
        <v>2748259.6591525041</v>
      </c>
      <c r="E64" s="157">
        <f t="shared" si="3"/>
        <v>19283.859334981251</v>
      </c>
      <c r="F64" s="157">
        <f t="shared" si="2"/>
        <v>14313.852391419292</v>
      </c>
      <c r="G64" s="157">
        <f t="shared" si="0"/>
        <v>4970.0069435619589</v>
      </c>
      <c r="H64" s="158">
        <f t="shared" si="1"/>
        <v>2743289.652208942</v>
      </c>
      <c r="I64" s="148">
        <f>+SUM(G53:G64)+SUM(F53:F64)</f>
        <v>231406.31201977501</v>
      </c>
    </row>
    <row r="65" spans="2:16">
      <c r="B65" s="40"/>
      <c r="C65" s="58">
        <v>49</v>
      </c>
      <c r="D65" s="144">
        <f t="shared" si="4"/>
        <v>2743289.652208942</v>
      </c>
      <c r="E65" s="144">
        <f t="shared" si="3"/>
        <v>19283.859334981251</v>
      </c>
      <c r="F65" s="144">
        <f t="shared" si="2"/>
        <v>14287.966938588239</v>
      </c>
      <c r="G65" s="144">
        <f t="shared" si="0"/>
        <v>4995.8923963930119</v>
      </c>
      <c r="H65" s="145">
        <f t="shared" si="1"/>
        <v>2738293.7598125488</v>
      </c>
      <c r="I65" s="21"/>
      <c r="L65" s="21"/>
      <c r="M65" s="146"/>
      <c r="N65" s="2"/>
      <c r="P65" s="146"/>
    </row>
    <row r="66" spans="2:16">
      <c r="B66" s="40"/>
      <c r="C66" s="58">
        <v>50</v>
      </c>
      <c r="D66" s="144">
        <f t="shared" si="4"/>
        <v>2738293.7598125488</v>
      </c>
      <c r="E66" s="144">
        <f t="shared" si="3"/>
        <v>19283.859334981251</v>
      </c>
      <c r="F66" s="144">
        <f t="shared" si="2"/>
        <v>14261.946665690357</v>
      </c>
      <c r="G66" s="144">
        <f t="shared" si="0"/>
        <v>5021.912669290894</v>
      </c>
      <c r="H66" s="145">
        <f t="shared" si="1"/>
        <v>2733271.847143258</v>
      </c>
    </row>
    <row r="67" spans="2:16">
      <c r="B67" s="40"/>
      <c r="C67" s="58">
        <v>51</v>
      </c>
      <c r="D67" s="144">
        <f t="shared" si="4"/>
        <v>2733271.847143258</v>
      </c>
      <c r="E67" s="144">
        <f t="shared" si="3"/>
        <v>19283.859334981251</v>
      </c>
      <c r="F67" s="144">
        <f t="shared" si="2"/>
        <v>14235.790870537801</v>
      </c>
      <c r="G67" s="144">
        <f t="shared" si="0"/>
        <v>5048.0684644434496</v>
      </c>
      <c r="H67" s="145">
        <f t="shared" si="1"/>
        <v>2728223.7786788144</v>
      </c>
      <c r="J67" s="2"/>
      <c r="K67" s="146"/>
    </row>
    <row r="68" spans="2:16">
      <c r="B68" s="40"/>
      <c r="C68" s="58">
        <v>52</v>
      </c>
      <c r="D68" s="144">
        <f t="shared" si="4"/>
        <v>2728223.7786788144</v>
      </c>
      <c r="E68" s="144">
        <f t="shared" si="3"/>
        <v>19283.859334981251</v>
      </c>
      <c r="F68" s="144">
        <f t="shared" si="2"/>
        <v>14209.498847285491</v>
      </c>
      <c r="G68" s="144">
        <f t="shared" si="0"/>
        <v>5074.3604876957597</v>
      </c>
      <c r="H68" s="145">
        <f t="shared" si="1"/>
        <v>2723149.4181911186</v>
      </c>
    </row>
    <row r="69" spans="2:16">
      <c r="B69" s="40"/>
      <c r="C69" s="58">
        <v>53</v>
      </c>
      <c r="D69" s="144">
        <f t="shared" si="4"/>
        <v>2723149.4181911186</v>
      </c>
      <c r="E69" s="144">
        <f t="shared" si="3"/>
        <v>19283.859334981251</v>
      </c>
      <c r="F69" s="144">
        <f t="shared" si="2"/>
        <v>14183.069886412075</v>
      </c>
      <c r="G69" s="144">
        <f t="shared" si="0"/>
        <v>5100.7894485691759</v>
      </c>
      <c r="H69" s="145">
        <f t="shared" si="1"/>
        <v>2718048.6287425496</v>
      </c>
    </row>
    <row r="70" spans="2:16">
      <c r="B70" s="40"/>
      <c r="C70" s="58">
        <v>54</v>
      </c>
      <c r="D70" s="144">
        <f t="shared" si="4"/>
        <v>2718048.6287425496</v>
      </c>
      <c r="E70" s="144">
        <f t="shared" si="3"/>
        <v>19283.859334981251</v>
      </c>
      <c r="F70" s="144">
        <f t="shared" si="2"/>
        <v>14156.503274700779</v>
      </c>
      <c r="G70" s="144">
        <f t="shared" si="0"/>
        <v>5127.3560602804719</v>
      </c>
      <c r="H70" s="145">
        <f t="shared" si="1"/>
        <v>2712921.2726822691</v>
      </c>
      <c r="I70" s="148"/>
    </row>
    <row r="71" spans="2:16">
      <c r="B71" s="40"/>
      <c r="C71" s="58">
        <v>55</v>
      </c>
      <c r="D71" s="144">
        <f t="shared" si="4"/>
        <v>2712921.2726822691</v>
      </c>
      <c r="E71" s="144">
        <f t="shared" si="3"/>
        <v>19283.859334981251</v>
      </c>
      <c r="F71" s="144">
        <f t="shared" si="2"/>
        <v>14129.798295220151</v>
      </c>
      <c r="G71" s="144">
        <f t="shared" si="0"/>
        <v>5154.0610397610999</v>
      </c>
      <c r="H71" s="145">
        <f t="shared" si="1"/>
        <v>2707767.2116425079</v>
      </c>
      <c r="I71" s="148"/>
    </row>
    <row r="72" spans="2:16">
      <c r="B72" s="40"/>
      <c r="C72" s="58">
        <v>56</v>
      </c>
      <c r="D72" s="144">
        <f t="shared" si="4"/>
        <v>2707767.2116425079</v>
      </c>
      <c r="E72" s="144">
        <f t="shared" si="3"/>
        <v>19283.859334981251</v>
      </c>
      <c r="F72" s="144">
        <f t="shared" si="2"/>
        <v>14102.954227304728</v>
      </c>
      <c r="G72" s="144">
        <f t="shared" si="0"/>
        <v>5180.9051076765227</v>
      </c>
      <c r="H72" s="145">
        <f t="shared" si="1"/>
        <v>2702586.3065348314</v>
      </c>
    </row>
    <row r="73" spans="2:16">
      <c r="B73" s="40"/>
      <c r="C73" s="58">
        <v>57</v>
      </c>
      <c r="D73" s="144">
        <f t="shared" si="4"/>
        <v>2702586.3065348314</v>
      </c>
      <c r="E73" s="144">
        <f t="shared" si="3"/>
        <v>19283.859334981251</v>
      </c>
      <c r="F73" s="144">
        <f t="shared" si="2"/>
        <v>14075.97034653558</v>
      </c>
      <c r="G73" s="144">
        <f t="shared" si="0"/>
        <v>5207.8889884456712</v>
      </c>
      <c r="H73" s="145">
        <f t="shared" si="1"/>
        <v>2697378.4175463859</v>
      </c>
    </row>
    <row r="74" spans="2:16">
      <c r="B74" s="40"/>
      <c r="C74" s="58">
        <v>58</v>
      </c>
      <c r="D74" s="144">
        <f t="shared" si="4"/>
        <v>2697378.4175463859</v>
      </c>
      <c r="E74" s="144">
        <f t="shared" si="3"/>
        <v>19283.859334981251</v>
      </c>
      <c r="F74" s="144">
        <f t="shared" si="2"/>
        <v>14048.845924720759</v>
      </c>
      <c r="G74" s="144">
        <f t="shared" si="0"/>
        <v>5235.0134102604916</v>
      </c>
      <c r="H74" s="145">
        <f t="shared" si="1"/>
        <v>2692143.4041361255</v>
      </c>
    </row>
    <row r="75" spans="2:16">
      <c r="B75" s="40"/>
      <c r="C75" s="58">
        <v>59</v>
      </c>
      <c r="D75" s="144">
        <f t="shared" si="4"/>
        <v>2692143.4041361255</v>
      </c>
      <c r="E75" s="144">
        <f t="shared" si="3"/>
        <v>19283.859334981251</v>
      </c>
      <c r="F75" s="144">
        <f t="shared" si="2"/>
        <v>14021.580229875653</v>
      </c>
      <c r="G75" s="144">
        <f t="shared" si="0"/>
        <v>5262.2791051055974</v>
      </c>
      <c r="H75" s="145">
        <f t="shared" si="1"/>
        <v>2686881.12503102</v>
      </c>
    </row>
    <row r="76" spans="2:16">
      <c r="B76" s="46">
        <v>5</v>
      </c>
      <c r="C76" s="147">
        <v>60</v>
      </c>
      <c r="D76" s="157">
        <f t="shared" si="4"/>
        <v>2686881.12503102</v>
      </c>
      <c r="E76" s="157">
        <f t="shared" si="3"/>
        <v>19283.859334981251</v>
      </c>
      <c r="F76" s="157">
        <f t="shared" si="2"/>
        <v>13994.172526203229</v>
      </c>
      <c r="G76" s="157">
        <f t="shared" si="0"/>
        <v>5289.6868087780222</v>
      </c>
      <c r="H76" s="158">
        <f t="shared" si="1"/>
        <v>2681591.4382222421</v>
      </c>
      <c r="I76" s="148">
        <f>+SUM(G65:G76)+SUM(F65:F76)</f>
        <v>231406.31201977504</v>
      </c>
    </row>
    <row r="77" spans="2:16">
      <c r="B77" s="40"/>
      <c r="C77" s="58">
        <v>61</v>
      </c>
      <c r="D77" s="144">
        <f t="shared" si="4"/>
        <v>2681591.4382222421</v>
      </c>
      <c r="E77" s="144">
        <f t="shared" si="3"/>
        <v>19283.859334981251</v>
      </c>
      <c r="F77" s="144">
        <f t="shared" si="2"/>
        <v>13966.622074074177</v>
      </c>
      <c r="G77" s="144">
        <f t="shared" si="0"/>
        <v>5317.2372609070735</v>
      </c>
      <c r="H77" s="145">
        <f t="shared" si="1"/>
        <v>2676274.2009613351</v>
      </c>
    </row>
    <row r="78" spans="2:16">
      <c r="B78" s="40"/>
      <c r="C78" s="58">
        <v>62</v>
      </c>
      <c r="D78" s="144">
        <f t="shared" si="4"/>
        <v>2676274.2009613351</v>
      </c>
      <c r="E78" s="144">
        <f t="shared" si="3"/>
        <v>19283.859334981251</v>
      </c>
      <c r="F78" s="144">
        <f t="shared" si="2"/>
        <v>13938.928130006952</v>
      </c>
      <c r="G78" s="144">
        <f t="shared" si="0"/>
        <v>5344.9312049742985</v>
      </c>
      <c r="H78" s="145">
        <f t="shared" si="1"/>
        <v>2670929.2697563609</v>
      </c>
    </row>
    <row r="79" spans="2:16">
      <c r="B79" s="40"/>
      <c r="C79" s="58">
        <v>63</v>
      </c>
      <c r="D79" s="144">
        <f t="shared" si="4"/>
        <v>2670929.2697563609</v>
      </c>
      <c r="E79" s="144">
        <f t="shared" si="3"/>
        <v>19283.859334981251</v>
      </c>
      <c r="F79" s="144">
        <f t="shared" si="2"/>
        <v>13911.089946647713</v>
      </c>
      <c r="G79" s="144">
        <f t="shared" si="0"/>
        <v>5372.7693883335378</v>
      </c>
      <c r="H79" s="145">
        <f t="shared" si="1"/>
        <v>2665556.5003680275</v>
      </c>
    </row>
    <row r="80" spans="2:16">
      <c r="B80" s="40"/>
      <c r="C80" s="58">
        <v>64</v>
      </c>
      <c r="D80" s="144">
        <f t="shared" si="4"/>
        <v>2665556.5003680275</v>
      </c>
      <c r="E80" s="144">
        <f t="shared" si="3"/>
        <v>19283.859334981251</v>
      </c>
      <c r="F80" s="144">
        <f t="shared" si="2"/>
        <v>13883.106772750143</v>
      </c>
      <c r="G80" s="144">
        <f t="shared" si="0"/>
        <v>5400.7525622311077</v>
      </c>
      <c r="H80" s="145">
        <f t="shared" si="1"/>
        <v>2660155.7478057966</v>
      </c>
    </row>
    <row r="81" spans="2:9">
      <c r="B81" s="40"/>
      <c r="C81" s="58">
        <v>65</v>
      </c>
      <c r="D81" s="144">
        <f t="shared" si="4"/>
        <v>2660155.7478057966</v>
      </c>
      <c r="E81" s="144">
        <f t="shared" si="3"/>
        <v>19283.859334981251</v>
      </c>
      <c r="F81" s="144">
        <f t="shared" si="2"/>
        <v>13854.977853155189</v>
      </c>
      <c r="G81" s="144">
        <f t="shared" ref="G81:G144" si="5">E81-F81</f>
        <v>5428.8814818260616</v>
      </c>
      <c r="H81" s="145">
        <f t="shared" ref="H81:H144" si="6">D81-G81</f>
        <v>2654726.8663239707</v>
      </c>
    </row>
    <row r="82" spans="2:9">
      <c r="B82" s="40"/>
      <c r="C82" s="58">
        <v>66</v>
      </c>
      <c r="D82" s="144">
        <f t="shared" si="4"/>
        <v>2654726.8663239707</v>
      </c>
      <c r="E82" s="144">
        <f t="shared" si="3"/>
        <v>19283.859334981251</v>
      </c>
      <c r="F82" s="144">
        <f t="shared" ref="F82:F145" si="7">IF(C82&gt;$C$10,0,($C$6/12)*H81)</f>
        <v>13826.702428770681</v>
      </c>
      <c r="G82" s="144">
        <f t="shared" si="5"/>
        <v>5457.15690621057</v>
      </c>
      <c r="H82" s="145">
        <f t="shared" si="6"/>
        <v>2649269.7094177604</v>
      </c>
    </row>
    <row r="83" spans="2:9">
      <c r="B83" s="40"/>
      <c r="C83" s="58">
        <v>67</v>
      </c>
      <c r="D83" s="144">
        <f t="shared" si="4"/>
        <v>2649269.7094177604</v>
      </c>
      <c r="E83" s="144">
        <f t="shared" si="3"/>
        <v>19283.859334981251</v>
      </c>
      <c r="F83" s="144">
        <f t="shared" si="7"/>
        <v>13798.279736550834</v>
      </c>
      <c r="G83" s="144">
        <f t="shared" si="5"/>
        <v>5485.5795984304168</v>
      </c>
      <c r="H83" s="145">
        <f t="shared" si="6"/>
        <v>2643784.1298193298</v>
      </c>
      <c r="I83" s="148"/>
    </row>
    <row r="84" spans="2:9">
      <c r="B84" s="40"/>
      <c r="C84" s="58">
        <v>68</v>
      </c>
      <c r="D84" s="144">
        <f t="shared" si="4"/>
        <v>2643784.1298193298</v>
      </c>
      <c r="E84" s="144">
        <f t="shared" si="3"/>
        <v>19283.859334981251</v>
      </c>
      <c r="F84" s="144">
        <f t="shared" si="7"/>
        <v>13769.709009475675</v>
      </c>
      <c r="G84" s="144">
        <f t="shared" si="5"/>
        <v>5514.1503255055759</v>
      </c>
      <c r="H84" s="145">
        <f t="shared" si="6"/>
        <v>2638269.9794938243</v>
      </c>
    </row>
    <row r="85" spans="2:9">
      <c r="B85" s="40"/>
      <c r="C85" s="58">
        <v>69</v>
      </c>
      <c r="D85" s="144">
        <f t="shared" si="4"/>
        <v>2638269.9794938243</v>
      </c>
      <c r="E85" s="144">
        <f t="shared" ref="E85:E148" si="8">IF(C85&gt;$C$10,0,IF(C85&lt;=$C$8,F85,-PMT($C$6/12,$C$9,$C$5,0,0)))</f>
        <v>19283.859334981251</v>
      </c>
      <c r="F85" s="144">
        <f t="shared" si="7"/>
        <v>13740.989476530334</v>
      </c>
      <c r="G85" s="144">
        <f t="shared" si="5"/>
        <v>5542.8698584509166</v>
      </c>
      <c r="H85" s="145">
        <f t="shared" si="6"/>
        <v>2632727.1096353736</v>
      </c>
    </row>
    <row r="86" spans="2:9">
      <c r="B86" s="40"/>
      <c r="C86" s="58">
        <v>70</v>
      </c>
      <c r="D86" s="144">
        <f t="shared" ref="D86:D149" si="9">IF(C86&gt;$C$10,0,H85)</f>
        <v>2632727.1096353736</v>
      </c>
      <c r="E86" s="144">
        <f t="shared" si="8"/>
        <v>19283.859334981251</v>
      </c>
      <c r="F86" s="144">
        <f t="shared" si="7"/>
        <v>13712.120362684236</v>
      </c>
      <c r="G86" s="144">
        <f t="shared" si="5"/>
        <v>5571.7389722970147</v>
      </c>
      <c r="H86" s="145">
        <f t="shared" si="6"/>
        <v>2627155.3706630766</v>
      </c>
    </row>
    <row r="87" spans="2:9">
      <c r="B87" s="40"/>
      <c r="C87" s="58">
        <v>71</v>
      </c>
      <c r="D87" s="144">
        <f t="shared" si="9"/>
        <v>2627155.3706630766</v>
      </c>
      <c r="E87" s="144">
        <f t="shared" si="8"/>
        <v>19283.859334981251</v>
      </c>
      <c r="F87" s="144">
        <f t="shared" si="7"/>
        <v>13683.100888870191</v>
      </c>
      <c r="G87" s="144">
        <f t="shared" si="5"/>
        <v>5600.75844611106</v>
      </c>
      <c r="H87" s="145">
        <f t="shared" si="6"/>
        <v>2621554.6122169658</v>
      </c>
    </row>
    <row r="88" spans="2:9">
      <c r="B88" s="46">
        <v>6</v>
      </c>
      <c r="C88" s="147">
        <v>72</v>
      </c>
      <c r="D88" s="157">
        <f t="shared" si="9"/>
        <v>2621554.6122169658</v>
      </c>
      <c r="E88" s="157">
        <f t="shared" si="8"/>
        <v>19283.859334981251</v>
      </c>
      <c r="F88" s="157">
        <f t="shared" si="7"/>
        <v>13653.930271963363</v>
      </c>
      <c r="G88" s="157">
        <f t="shared" si="5"/>
        <v>5629.9290630178875</v>
      </c>
      <c r="H88" s="158">
        <f t="shared" si="6"/>
        <v>2615924.6831539478</v>
      </c>
      <c r="I88" s="148">
        <f>+SUM(G77:G88)+SUM(F77:F88)</f>
        <v>231406.31201977498</v>
      </c>
    </row>
    <row r="89" spans="2:9">
      <c r="B89" s="40"/>
      <c r="C89" s="58">
        <v>73</v>
      </c>
      <c r="D89" s="144">
        <f t="shared" si="9"/>
        <v>2615924.6831539478</v>
      </c>
      <c r="E89" s="144">
        <f t="shared" si="8"/>
        <v>19283.859334981251</v>
      </c>
      <c r="F89" s="144">
        <f t="shared" si="7"/>
        <v>13624.607724760144</v>
      </c>
      <c r="G89" s="144">
        <f t="shared" si="5"/>
        <v>5659.2516102211066</v>
      </c>
      <c r="H89" s="145">
        <f t="shared" si="6"/>
        <v>2610265.4315437269</v>
      </c>
    </row>
    <row r="90" spans="2:9">
      <c r="B90" s="40"/>
      <c r="C90" s="58">
        <v>74</v>
      </c>
      <c r="D90" s="144">
        <f t="shared" si="9"/>
        <v>2610265.4315437269</v>
      </c>
      <c r="E90" s="144">
        <f t="shared" si="8"/>
        <v>19283.859334981251</v>
      </c>
      <c r="F90" s="144">
        <f t="shared" si="7"/>
        <v>13595.132455956911</v>
      </c>
      <c r="G90" s="144">
        <f t="shared" si="5"/>
        <v>5688.7268790243397</v>
      </c>
      <c r="H90" s="145">
        <f t="shared" si="6"/>
        <v>2604576.7046647025</v>
      </c>
    </row>
    <row r="91" spans="2:9">
      <c r="B91" s="40"/>
      <c r="C91" s="58">
        <v>75</v>
      </c>
      <c r="D91" s="144">
        <f t="shared" si="9"/>
        <v>2604576.7046647025</v>
      </c>
      <c r="E91" s="144">
        <f t="shared" si="8"/>
        <v>19283.859334981251</v>
      </c>
      <c r="F91" s="144">
        <f t="shared" si="7"/>
        <v>13565.503670128659</v>
      </c>
      <c r="G91" s="144">
        <f t="shared" si="5"/>
        <v>5718.3556648525919</v>
      </c>
      <c r="H91" s="145">
        <f t="shared" si="6"/>
        <v>2598858.34899985</v>
      </c>
    </row>
    <row r="92" spans="2:9">
      <c r="B92" s="40"/>
      <c r="C92" s="58">
        <v>76</v>
      </c>
      <c r="D92" s="144">
        <f t="shared" si="9"/>
        <v>2598858.34899985</v>
      </c>
      <c r="E92" s="144">
        <f t="shared" si="8"/>
        <v>19283.859334981251</v>
      </c>
      <c r="F92" s="144">
        <f t="shared" si="7"/>
        <v>13535.720567707551</v>
      </c>
      <c r="G92" s="144">
        <f t="shared" si="5"/>
        <v>5748.1387672737001</v>
      </c>
      <c r="H92" s="145">
        <f t="shared" si="6"/>
        <v>2593110.2102325764</v>
      </c>
    </row>
    <row r="93" spans="2:9">
      <c r="B93" s="40"/>
      <c r="C93" s="58">
        <v>77</v>
      </c>
      <c r="D93" s="144">
        <f t="shared" si="9"/>
        <v>2593110.2102325764</v>
      </c>
      <c r="E93" s="144">
        <f t="shared" si="8"/>
        <v>19283.859334981251</v>
      </c>
      <c r="F93" s="144">
        <f t="shared" si="7"/>
        <v>13505.782344961335</v>
      </c>
      <c r="G93" s="144">
        <f t="shared" si="5"/>
        <v>5778.0769900199157</v>
      </c>
      <c r="H93" s="145">
        <f t="shared" si="6"/>
        <v>2587332.1332425564</v>
      </c>
    </row>
    <row r="94" spans="2:9">
      <c r="B94" s="40"/>
      <c r="C94" s="58">
        <v>78</v>
      </c>
      <c r="D94" s="144">
        <f t="shared" si="9"/>
        <v>2587332.1332425564</v>
      </c>
      <c r="E94" s="144">
        <f t="shared" si="8"/>
        <v>19283.859334981251</v>
      </c>
      <c r="F94" s="144">
        <f t="shared" si="7"/>
        <v>13475.688193971648</v>
      </c>
      <c r="G94" s="144">
        <f t="shared" si="5"/>
        <v>5808.1711410096032</v>
      </c>
      <c r="H94" s="145">
        <f t="shared" si="6"/>
        <v>2581523.9621015466</v>
      </c>
    </row>
    <row r="95" spans="2:9">
      <c r="B95" s="40"/>
      <c r="C95" s="58">
        <v>79</v>
      </c>
      <c r="D95" s="144">
        <f t="shared" si="9"/>
        <v>2581523.9621015466</v>
      </c>
      <c r="E95" s="144">
        <f t="shared" si="8"/>
        <v>19283.859334981251</v>
      </c>
      <c r="F95" s="144">
        <f t="shared" si="7"/>
        <v>13445.437302612221</v>
      </c>
      <c r="G95" s="144">
        <f t="shared" si="5"/>
        <v>5838.4220323690297</v>
      </c>
      <c r="H95" s="145">
        <f t="shared" si="6"/>
        <v>2575685.5400691777</v>
      </c>
      <c r="I95" s="148"/>
    </row>
    <row r="96" spans="2:9">
      <c r="B96" s="40"/>
      <c r="C96" s="58">
        <v>80</v>
      </c>
      <c r="D96" s="144">
        <f t="shared" si="9"/>
        <v>2575685.5400691777</v>
      </c>
      <c r="E96" s="144">
        <f t="shared" si="8"/>
        <v>19283.859334981251</v>
      </c>
      <c r="F96" s="144">
        <f t="shared" si="7"/>
        <v>13415.028854526967</v>
      </c>
      <c r="G96" s="144">
        <f t="shared" si="5"/>
        <v>5868.830480454284</v>
      </c>
      <c r="H96" s="145">
        <f t="shared" si="6"/>
        <v>2569816.7095887233</v>
      </c>
    </row>
    <row r="97" spans="2:9">
      <c r="B97" s="40"/>
      <c r="C97" s="58">
        <v>81</v>
      </c>
      <c r="D97" s="144">
        <f t="shared" si="9"/>
        <v>2569816.7095887233</v>
      </c>
      <c r="E97" s="144">
        <f t="shared" si="8"/>
        <v>19283.859334981251</v>
      </c>
      <c r="F97" s="144">
        <f t="shared" si="7"/>
        <v>13384.462029107934</v>
      </c>
      <c r="G97" s="144">
        <f t="shared" si="5"/>
        <v>5899.3973058733172</v>
      </c>
      <c r="H97" s="145">
        <f t="shared" si="6"/>
        <v>2563917.31228285</v>
      </c>
    </row>
    <row r="98" spans="2:9">
      <c r="B98" s="40"/>
      <c r="C98" s="58">
        <v>82</v>
      </c>
      <c r="D98" s="144">
        <f t="shared" si="9"/>
        <v>2563917.31228285</v>
      </c>
      <c r="E98" s="144">
        <f t="shared" si="8"/>
        <v>19283.859334981251</v>
      </c>
      <c r="F98" s="144">
        <f t="shared" si="7"/>
        <v>13353.736001473177</v>
      </c>
      <c r="G98" s="144">
        <f t="shared" si="5"/>
        <v>5930.1233335080742</v>
      </c>
      <c r="H98" s="145">
        <f t="shared" si="6"/>
        <v>2557987.1889493419</v>
      </c>
    </row>
    <row r="99" spans="2:9">
      <c r="B99" s="40"/>
      <c r="C99" s="58">
        <v>83</v>
      </c>
      <c r="D99" s="144">
        <f t="shared" si="9"/>
        <v>2557987.1889493419</v>
      </c>
      <c r="E99" s="144">
        <f t="shared" si="8"/>
        <v>19283.859334981251</v>
      </c>
      <c r="F99" s="144">
        <f t="shared" si="7"/>
        <v>13322.849942444489</v>
      </c>
      <c r="G99" s="144">
        <f t="shared" si="5"/>
        <v>5961.0093925367619</v>
      </c>
      <c r="H99" s="145">
        <f t="shared" si="6"/>
        <v>2552026.1795568052</v>
      </c>
    </row>
    <row r="100" spans="2:9">
      <c r="B100" s="46">
        <v>7</v>
      </c>
      <c r="C100" s="147">
        <v>84</v>
      </c>
      <c r="D100" s="157">
        <f t="shared" si="9"/>
        <v>2552026.1795568052</v>
      </c>
      <c r="E100" s="157">
        <f t="shared" si="8"/>
        <v>19283.859334981251</v>
      </c>
      <c r="F100" s="157">
        <f t="shared" si="7"/>
        <v>13291.803018525026</v>
      </c>
      <c r="G100" s="157">
        <f t="shared" si="5"/>
        <v>5992.0563164562245</v>
      </c>
      <c r="H100" s="158">
        <f t="shared" si="6"/>
        <v>2546034.1232403489</v>
      </c>
      <c r="I100" s="148">
        <f>+SUM(G89:G100)+SUM(F89:F100)</f>
        <v>231406.31201977504</v>
      </c>
    </row>
    <row r="101" spans="2:9">
      <c r="B101" s="40"/>
      <c r="C101" s="58">
        <v>85</v>
      </c>
      <c r="D101" s="144">
        <f t="shared" si="9"/>
        <v>2546034.1232403489</v>
      </c>
      <c r="E101" s="144">
        <f t="shared" si="8"/>
        <v>19283.859334981251</v>
      </c>
      <c r="F101" s="144">
        <f t="shared" si="7"/>
        <v>13260.594391876817</v>
      </c>
      <c r="G101" s="144">
        <f t="shared" si="5"/>
        <v>6023.2649431044338</v>
      </c>
      <c r="H101" s="145">
        <f t="shared" si="6"/>
        <v>2540010.8582972446</v>
      </c>
    </row>
    <row r="102" spans="2:9">
      <c r="B102" s="40"/>
      <c r="C102" s="58">
        <v>86</v>
      </c>
      <c r="D102" s="144">
        <f t="shared" si="9"/>
        <v>2540010.8582972446</v>
      </c>
      <c r="E102" s="144">
        <f t="shared" si="8"/>
        <v>19283.859334981251</v>
      </c>
      <c r="F102" s="144">
        <f t="shared" si="7"/>
        <v>13229.223220298149</v>
      </c>
      <c r="G102" s="144">
        <f t="shared" si="5"/>
        <v>6054.6361146831023</v>
      </c>
      <c r="H102" s="145">
        <f t="shared" si="6"/>
        <v>2533956.2221825616</v>
      </c>
    </row>
    <row r="103" spans="2:9">
      <c r="B103" s="40"/>
      <c r="C103" s="58">
        <v>87</v>
      </c>
      <c r="D103" s="144">
        <f t="shared" si="9"/>
        <v>2533956.2221825616</v>
      </c>
      <c r="E103" s="144">
        <f t="shared" si="8"/>
        <v>19283.859334981251</v>
      </c>
      <c r="F103" s="144">
        <f t="shared" si="7"/>
        <v>13197.688657200841</v>
      </c>
      <c r="G103" s="144">
        <f t="shared" si="5"/>
        <v>6086.1706777804102</v>
      </c>
      <c r="H103" s="145">
        <f t="shared" si="6"/>
        <v>2527870.051504781</v>
      </c>
    </row>
    <row r="104" spans="2:9">
      <c r="B104" s="40"/>
      <c r="C104" s="58">
        <v>88</v>
      </c>
      <c r="D104" s="144">
        <f t="shared" si="9"/>
        <v>2527870.051504781</v>
      </c>
      <c r="E104" s="144">
        <f t="shared" si="8"/>
        <v>19283.859334981251</v>
      </c>
      <c r="F104" s="144">
        <f t="shared" si="7"/>
        <v>13165.989851587401</v>
      </c>
      <c r="G104" s="144">
        <f t="shared" si="5"/>
        <v>6117.8694833938498</v>
      </c>
      <c r="H104" s="145">
        <f t="shared" si="6"/>
        <v>2521752.1820213869</v>
      </c>
    </row>
    <row r="105" spans="2:9">
      <c r="B105" s="40"/>
      <c r="C105" s="58">
        <v>89</v>
      </c>
      <c r="D105" s="144">
        <f t="shared" si="9"/>
        <v>2521752.1820213869</v>
      </c>
      <c r="E105" s="144">
        <f t="shared" si="8"/>
        <v>19283.859334981251</v>
      </c>
      <c r="F105" s="144">
        <f t="shared" si="7"/>
        <v>13134.125948028057</v>
      </c>
      <c r="G105" s="144">
        <f t="shared" si="5"/>
        <v>6149.733386953194</v>
      </c>
      <c r="H105" s="145">
        <f t="shared" si="6"/>
        <v>2515602.4486344336</v>
      </c>
    </row>
    <row r="106" spans="2:9">
      <c r="B106" s="40"/>
      <c r="C106" s="58">
        <v>90</v>
      </c>
      <c r="D106" s="144">
        <f t="shared" si="9"/>
        <v>2515602.4486344336</v>
      </c>
      <c r="E106" s="144">
        <f t="shared" si="8"/>
        <v>19283.859334981251</v>
      </c>
      <c r="F106" s="144">
        <f t="shared" si="7"/>
        <v>13102.096086637674</v>
      </c>
      <c r="G106" s="144">
        <f t="shared" si="5"/>
        <v>6181.7632483435773</v>
      </c>
      <c r="H106" s="145">
        <f t="shared" si="6"/>
        <v>2509420.6853860901</v>
      </c>
    </row>
    <row r="107" spans="2:9">
      <c r="B107" s="40"/>
      <c r="C107" s="58">
        <v>91</v>
      </c>
      <c r="D107" s="144">
        <f t="shared" si="9"/>
        <v>2509420.6853860901</v>
      </c>
      <c r="E107" s="144">
        <f t="shared" si="8"/>
        <v>19283.859334981251</v>
      </c>
      <c r="F107" s="144">
        <f t="shared" si="7"/>
        <v>13069.899403052552</v>
      </c>
      <c r="G107" s="144">
        <f t="shared" si="5"/>
        <v>6213.959931928699</v>
      </c>
      <c r="H107" s="145">
        <f t="shared" si="6"/>
        <v>2503206.7254541614</v>
      </c>
    </row>
    <row r="108" spans="2:9">
      <c r="B108" s="40"/>
      <c r="C108" s="58">
        <v>92</v>
      </c>
      <c r="D108" s="144">
        <f t="shared" si="9"/>
        <v>2503206.7254541614</v>
      </c>
      <c r="E108" s="144">
        <f t="shared" si="8"/>
        <v>19283.859334981251</v>
      </c>
      <c r="F108" s="144">
        <f t="shared" si="7"/>
        <v>13037.53502840709</v>
      </c>
      <c r="G108" s="144">
        <f t="shared" si="5"/>
        <v>6246.3243065741608</v>
      </c>
      <c r="H108" s="145">
        <f t="shared" si="6"/>
        <v>2496960.4011475872</v>
      </c>
    </row>
    <row r="109" spans="2:9">
      <c r="B109" s="40"/>
      <c r="C109" s="58">
        <v>93</v>
      </c>
      <c r="D109" s="144">
        <f t="shared" si="9"/>
        <v>2496960.4011475872</v>
      </c>
      <c r="E109" s="144">
        <f t="shared" si="8"/>
        <v>19283.859334981251</v>
      </c>
      <c r="F109" s="144">
        <f t="shared" si="7"/>
        <v>13005.00208931035</v>
      </c>
      <c r="G109" s="144">
        <f t="shared" si="5"/>
        <v>6278.8572456709007</v>
      </c>
      <c r="H109" s="145">
        <f t="shared" si="6"/>
        <v>2490681.5439019161</v>
      </c>
    </row>
    <row r="110" spans="2:9">
      <c r="B110" s="40"/>
      <c r="C110" s="58">
        <v>94</v>
      </c>
      <c r="D110" s="144">
        <f t="shared" si="9"/>
        <v>2490681.5439019161</v>
      </c>
      <c r="E110" s="144">
        <f t="shared" si="8"/>
        <v>19283.859334981251</v>
      </c>
      <c r="F110" s="144">
        <f t="shared" si="7"/>
        <v>12972.29970782248</v>
      </c>
      <c r="G110" s="144">
        <f t="shared" si="5"/>
        <v>6311.559627158771</v>
      </c>
      <c r="H110" s="145">
        <f t="shared" si="6"/>
        <v>2484369.9842747576</v>
      </c>
    </row>
    <row r="111" spans="2:9">
      <c r="B111" s="40"/>
      <c r="C111" s="58">
        <v>95</v>
      </c>
      <c r="D111" s="144">
        <f t="shared" si="9"/>
        <v>2484369.9842747576</v>
      </c>
      <c r="E111" s="144">
        <f t="shared" si="8"/>
        <v>19283.859334981251</v>
      </c>
      <c r="F111" s="144">
        <f t="shared" si="7"/>
        <v>12939.427001431028</v>
      </c>
      <c r="G111" s="144">
        <f t="shared" si="5"/>
        <v>6344.4323335502231</v>
      </c>
      <c r="H111" s="145">
        <f t="shared" si="6"/>
        <v>2478025.5519412071</v>
      </c>
    </row>
    <row r="112" spans="2:9">
      <c r="B112" s="46">
        <v>8</v>
      </c>
      <c r="C112" s="147">
        <v>96</v>
      </c>
      <c r="D112" s="157">
        <f t="shared" si="9"/>
        <v>2478025.5519412071</v>
      </c>
      <c r="E112" s="157">
        <f t="shared" si="8"/>
        <v>19283.859334981251</v>
      </c>
      <c r="F112" s="157">
        <f t="shared" si="7"/>
        <v>12906.38308302712</v>
      </c>
      <c r="G112" s="157">
        <f t="shared" si="5"/>
        <v>6377.4762519541309</v>
      </c>
      <c r="H112" s="158">
        <f t="shared" si="6"/>
        <v>2471648.0756892529</v>
      </c>
      <c r="I112" s="148">
        <f>+SUM(G101:G112)+SUM(F101:F112)</f>
        <v>231406.31201977498</v>
      </c>
    </row>
    <row r="113" spans="2:9">
      <c r="B113" s="187"/>
      <c r="C113" s="188">
        <v>97</v>
      </c>
      <c r="D113" s="189">
        <f t="shared" si="9"/>
        <v>2471648.0756892529</v>
      </c>
      <c r="E113" s="189">
        <f t="shared" si="8"/>
        <v>19283.859334981251</v>
      </c>
      <c r="F113" s="189">
        <f t="shared" si="7"/>
        <v>12873.167060881526</v>
      </c>
      <c r="G113" s="189">
        <f t="shared" si="5"/>
        <v>6410.6922740997252</v>
      </c>
      <c r="H113" s="190">
        <f t="shared" si="6"/>
        <v>2465237.3834151533</v>
      </c>
    </row>
    <row r="114" spans="2:9">
      <c r="B114" s="40"/>
      <c r="C114" s="58">
        <v>98</v>
      </c>
      <c r="D114" s="144">
        <f t="shared" si="9"/>
        <v>2465237.3834151533</v>
      </c>
      <c r="E114" s="144">
        <f t="shared" si="8"/>
        <v>19283.859334981251</v>
      </c>
      <c r="F114" s="144">
        <f t="shared" si="7"/>
        <v>12839.778038620589</v>
      </c>
      <c r="G114" s="144">
        <f t="shared" si="5"/>
        <v>6444.0812963606622</v>
      </c>
      <c r="H114" s="145">
        <f t="shared" si="6"/>
        <v>2458793.3021187927</v>
      </c>
    </row>
    <row r="115" spans="2:9">
      <c r="B115" s="40"/>
      <c r="C115" s="58">
        <v>99</v>
      </c>
      <c r="D115" s="144">
        <f t="shared" si="9"/>
        <v>2458793.3021187927</v>
      </c>
      <c r="E115" s="144">
        <f t="shared" si="8"/>
        <v>19283.859334981251</v>
      </c>
      <c r="F115" s="144">
        <f t="shared" si="7"/>
        <v>12806.215115202045</v>
      </c>
      <c r="G115" s="144">
        <f t="shared" si="5"/>
        <v>6477.6442197792057</v>
      </c>
      <c r="H115" s="145">
        <f t="shared" si="6"/>
        <v>2452315.6578990133</v>
      </c>
    </row>
    <row r="116" spans="2:9">
      <c r="B116" s="40"/>
      <c r="C116" s="58">
        <v>100</v>
      </c>
      <c r="D116" s="144">
        <f t="shared" si="9"/>
        <v>2452315.6578990133</v>
      </c>
      <c r="E116" s="144">
        <f t="shared" si="8"/>
        <v>19283.859334981251</v>
      </c>
      <c r="F116" s="144">
        <f t="shared" si="7"/>
        <v>12772.477384890693</v>
      </c>
      <c r="G116" s="144">
        <f t="shared" si="5"/>
        <v>6511.3819500905574</v>
      </c>
      <c r="H116" s="145">
        <f t="shared" si="6"/>
        <v>2445804.2759489226</v>
      </c>
    </row>
    <row r="117" spans="2:9">
      <c r="B117" s="40"/>
      <c r="C117" s="58">
        <v>101</v>
      </c>
      <c r="D117" s="144">
        <f t="shared" si="9"/>
        <v>2445804.2759489226</v>
      </c>
      <c r="E117" s="144">
        <f t="shared" si="8"/>
        <v>19283.859334981251</v>
      </c>
      <c r="F117" s="144">
        <f t="shared" si="7"/>
        <v>12738.563937233972</v>
      </c>
      <c r="G117" s="144">
        <f t="shared" si="5"/>
        <v>6545.2953977472789</v>
      </c>
      <c r="H117" s="145">
        <f t="shared" si="6"/>
        <v>2439258.9805511753</v>
      </c>
    </row>
    <row r="118" spans="2:9">
      <c r="B118" s="40"/>
      <c r="C118" s="58">
        <v>102</v>
      </c>
      <c r="D118" s="144">
        <f t="shared" si="9"/>
        <v>2439258.9805511753</v>
      </c>
      <c r="E118" s="144">
        <f t="shared" si="8"/>
        <v>19283.859334981251</v>
      </c>
      <c r="F118" s="144">
        <f t="shared" si="7"/>
        <v>12704.47385703737</v>
      </c>
      <c r="G118" s="144">
        <f t="shared" si="5"/>
        <v>6579.3854779438807</v>
      </c>
      <c r="H118" s="145">
        <f t="shared" si="6"/>
        <v>2432679.5950732315</v>
      </c>
    </row>
    <row r="119" spans="2:9">
      <c r="B119" s="40"/>
      <c r="C119" s="58">
        <v>103</v>
      </c>
      <c r="D119" s="144">
        <f t="shared" si="9"/>
        <v>2432679.5950732315</v>
      </c>
      <c r="E119" s="144">
        <f t="shared" si="8"/>
        <v>19283.859334981251</v>
      </c>
      <c r="F119" s="144">
        <f t="shared" si="7"/>
        <v>12670.206224339747</v>
      </c>
      <c r="G119" s="144">
        <f t="shared" si="5"/>
        <v>6613.6531106415041</v>
      </c>
      <c r="H119" s="145">
        <f t="shared" si="6"/>
        <v>2426065.94196259</v>
      </c>
    </row>
    <row r="120" spans="2:9">
      <c r="B120" s="40"/>
      <c r="C120" s="58">
        <v>104</v>
      </c>
      <c r="D120" s="144">
        <f t="shared" si="9"/>
        <v>2426065.94196259</v>
      </c>
      <c r="E120" s="144">
        <f t="shared" si="8"/>
        <v>19283.859334981251</v>
      </c>
      <c r="F120" s="144">
        <f t="shared" si="7"/>
        <v>12635.760114388489</v>
      </c>
      <c r="G120" s="144">
        <f t="shared" si="5"/>
        <v>6648.0992205927614</v>
      </c>
      <c r="H120" s="145">
        <f t="shared" si="6"/>
        <v>2419417.842741997</v>
      </c>
    </row>
    <row r="121" spans="2:9">
      <c r="B121" s="40"/>
      <c r="C121" s="58">
        <v>105</v>
      </c>
      <c r="D121" s="144">
        <f t="shared" si="9"/>
        <v>2419417.842741997</v>
      </c>
      <c r="E121" s="144">
        <f t="shared" si="8"/>
        <v>19283.859334981251</v>
      </c>
      <c r="F121" s="144">
        <f t="shared" si="7"/>
        <v>12601.134597614568</v>
      </c>
      <c r="G121" s="144">
        <f t="shared" si="5"/>
        <v>6682.7247373666833</v>
      </c>
      <c r="H121" s="145">
        <f t="shared" si="6"/>
        <v>2412735.1180046303</v>
      </c>
    </row>
    <row r="122" spans="2:9">
      <c r="B122" s="40"/>
      <c r="C122" s="58">
        <v>106</v>
      </c>
      <c r="D122" s="144">
        <f t="shared" si="9"/>
        <v>2412735.1180046303</v>
      </c>
      <c r="E122" s="144">
        <f t="shared" si="8"/>
        <v>19283.859334981251</v>
      </c>
      <c r="F122" s="144">
        <f t="shared" si="7"/>
        <v>12566.328739607448</v>
      </c>
      <c r="G122" s="144">
        <f t="shared" si="5"/>
        <v>6717.5305953738025</v>
      </c>
      <c r="H122" s="145">
        <f t="shared" si="6"/>
        <v>2406017.5874092565</v>
      </c>
    </row>
    <row r="123" spans="2:9">
      <c r="B123" s="40"/>
      <c r="C123" s="58">
        <v>107</v>
      </c>
      <c r="D123" s="144">
        <f t="shared" si="9"/>
        <v>2406017.5874092565</v>
      </c>
      <c r="E123" s="144">
        <f t="shared" si="8"/>
        <v>19283.859334981251</v>
      </c>
      <c r="F123" s="144">
        <f t="shared" si="7"/>
        <v>12531.341601089876</v>
      </c>
      <c r="G123" s="144">
        <f t="shared" si="5"/>
        <v>6752.5177338913745</v>
      </c>
      <c r="H123" s="145">
        <f t="shared" si="6"/>
        <v>2399265.069675365</v>
      </c>
    </row>
    <row r="124" spans="2:9">
      <c r="B124" s="46">
        <v>9</v>
      </c>
      <c r="C124" s="147">
        <v>108</v>
      </c>
      <c r="D124" s="157">
        <f t="shared" si="9"/>
        <v>2399265.069675365</v>
      </c>
      <c r="E124" s="157">
        <f t="shared" si="8"/>
        <v>19283.859334981251</v>
      </c>
      <c r="F124" s="157">
        <f t="shared" si="7"/>
        <v>12496.172237892526</v>
      </c>
      <c r="G124" s="157">
        <f t="shared" si="5"/>
        <v>6787.6870970887248</v>
      </c>
      <c r="H124" s="158">
        <f t="shared" si="6"/>
        <v>2392477.3825782761</v>
      </c>
      <c r="I124" s="148">
        <f>+SUM(G113:G124)+SUM(F113:F124)</f>
        <v>231406.31201977501</v>
      </c>
    </row>
    <row r="125" spans="2:9">
      <c r="B125" s="187"/>
      <c r="C125" s="188">
        <v>109</v>
      </c>
      <c r="D125" s="189">
        <f t="shared" si="9"/>
        <v>2392477.3825782761</v>
      </c>
      <c r="E125" s="189">
        <f t="shared" si="8"/>
        <v>19283.859334981251</v>
      </c>
      <c r="F125" s="189">
        <f t="shared" si="7"/>
        <v>12460.819700928521</v>
      </c>
      <c r="G125" s="189">
        <f t="shared" si="5"/>
        <v>6823.0396340527295</v>
      </c>
      <c r="H125" s="190">
        <f t="shared" si="6"/>
        <v>2385654.3429442234</v>
      </c>
    </row>
    <row r="126" spans="2:9">
      <c r="B126" s="40"/>
      <c r="C126" s="58">
        <v>110</v>
      </c>
      <c r="D126" s="144">
        <f t="shared" si="9"/>
        <v>2385654.3429442234</v>
      </c>
      <c r="E126" s="144">
        <f t="shared" si="8"/>
        <v>19283.859334981251</v>
      </c>
      <c r="F126" s="144">
        <f t="shared" si="7"/>
        <v>12425.28303616783</v>
      </c>
      <c r="G126" s="144">
        <f t="shared" si="5"/>
        <v>6858.5762988134211</v>
      </c>
      <c r="H126" s="145">
        <f t="shared" si="6"/>
        <v>2378795.7666454101</v>
      </c>
    </row>
    <row r="127" spans="2:9">
      <c r="B127" s="40"/>
      <c r="C127" s="58">
        <v>111</v>
      </c>
      <c r="D127" s="144">
        <f t="shared" si="9"/>
        <v>2378795.7666454101</v>
      </c>
      <c r="E127" s="144">
        <f t="shared" si="8"/>
        <v>19283.859334981251</v>
      </c>
      <c r="F127" s="144">
        <f t="shared" si="7"/>
        <v>12389.561284611511</v>
      </c>
      <c r="G127" s="144">
        <f t="shared" si="5"/>
        <v>6894.2980503697399</v>
      </c>
      <c r="H127" s="145">
        <f t="shared" si="6"/>
        <v>2371901.4685950405</v>
      </c>
    </row>
    <row r="128" spans="2:9">
      <c r="B128" s="40"/>
      <c r="C128" s="58">
        <v>112</v>
      </c>
      <c r="D128" s="144">
        <f t="shared" si="9"/>
        <v>2371901.4685950405</v>
      </c>
      <c r="E128" s="144">
        <f t="shared" si="8"/>
        <v>19283.859334981251</v>
      </c>
      <c r="F128" s="144">
        <f t="shared" si="7"/>
        <v>12353.653482265836</v>
      </c>
      <c r="G128" s="144">
        <f t="shared" si="5"/>
        <v>6930.2058527154149</v>
      </c>
      <c r="H128" s="145">
        <f t="shared" si="6"/>
        <v>2364971.2627423252</v>
      </c>
    </row>
    <row r="129" spans="2:9">
      <c r="B129" s="40"/>
      <c r="C129" s="58">
        <v>113</v>
      </c>
      <c r="D129" s="144">
        <f t="shared" si="9"/>
        <v>2364971.2627423252</v>
      </c>
      <c r="E129" s="144">
        <f t="shared" si="8"/>
        <v>19283.859334981251</v>
      </c>
      <c r="F129" s="144">
        <f t="shared" si="7"/>
        <v>12317.558660116276</v>
      </c>
      <c r="G129" s="144">
        <f t="shared" si="5"/>
        <v>6966.300674864975</v>
      </c>
      <c r="H129" s="145">
        <f t="shared" si="6"/>
        <v>2358004.9620674602</v>
      </c>
    </row>
    <row r="130" spans="2:9">
      <c r="B130" s="40"/>
      <c r="C130" s="58">
        <v>114</v>
      </c>
      <c r="D130" s="144">
        <f t="shared" si="9"/>
        <v>2358004.9620674602</v>
      </c>
      <c r="E130" s="144">
        <f t="shared" si="8"/>
        <v>19283.859334981251</v>
      </c>
      <c r="F130" s="144">
        <f t="shared" si="7"/>
        <v>12281.275844101354</v>
      </c>
      <c r="G130" s="144">
        <f t="shared" si="5"/>
        <v>7002.583490879897</v>
      </c>
      <c r="H130" s="145">
        <f t="shared" si="6"/>
        <v>2351002.3785765804</v>
      </c>
    </row>
    <row r="131" spans="2:9">
      <c r="B131" s="40"/>
      <c r="C131" s="58">
        <v>115</v>
      </c>
      <c r="D131" s="144">
        <f t="shared" si="9"/>
        <v>2351002.3785765804</v>
      </c>
      <c r="E131" s="144">
        <f t="shared" si="8"/>
        <v>19283.859334981251</v>
      </c>
      <c r="F131" s="144">
        <f t="shared" si="7"/>
        <v>12244.804055086355</v>
      </c>
      <c r="G131" s="144">
        <f t="shared" si="5"/>
        <v>7039.0552798948956</v>
      </c>
      <c r="H131" s="145">
        <f t="shared" si="6"/>
        <v>2343963.3232966857</v>
      </c>
    </row>
    <row r="132" spans="2:9">
      <c r="B132" s="40"/>
      <c r="C132" s="58">
        <v>116</v>
      </c>
      <c r="D132" s="144">
        <f t="shared" si="9"/>
        <v>2343963.3232966857</v>
      </c>
      <c r="E132" s="144">
        <f t="shared" si="8"/>
        <v>19283.859334981251</v>
      </c>
      <c r="F132" s="144">
        <f t="shared" si="7"/>
        <v>12208.142308836905</v>
      </c>
      <c r="G132" s="144">
        <f t="shared" si="5"/>
        <v>7075.7170261443462</v>
      </c>
      <c r="H132" s="145">
        <f t="shared" si="6"/>
        <v>2336887.6062705414</v>
      </c>
    </row>
    <row r="133" spans="2:9">
      <c r="B133" s="40"/>
      <c r="C133" s="58">
        <v>117</v>
      </c>
      <c r="D133" s="144">
        <f t="shared" si="9"/>
        <v>2336887.6062705414</v>
      </c>
      <c r="E133" s="144">
        <f t="shared" si="8"/>
        <v>19283.859334981251</v>
      </c>
      <c r="F133" s="144">
        <f t="shared" si="7"/>
        <v>12171.289615992402</v>
      </c>
      <c r="G133" s="144">
        <f t="shared" si="5"/>
        <v>7112.5697189888488</v>
      </c>
      <c r="H133" s="145">
        <f t="shared" si="6"/>
        <v>2329775.0365515524</v>
      </c>
    </row>
    <row r="134" spans="2:9">
      <c r="B134" s="40"/>
      <c r="C134" s="58">
        <v>118</v>
      </c>
      <c r="D134" s="144">
        <f t="shared" si="9"/>
        <v>2329775.0365515524</v>
      </c>
      <c r="E134" s="144">
        <f t="shared" si="8"/>
        <v>19283.859334981251</v>
      </c>
      <c r="F134" s="144">
        <f t="shared" si="7"/>
        <v>12134.244982039334</v>
      </c>
      <c r="G134" s="144">
        <f t="shared" si="5"/>
        <v>7149.6143529419169</v>
      </c>
      <c r="H134" s="145">
        <f t="shared" si="6"/>
        <v>2322625.4221986104</v>
      </c>
    </row>
    <row r="135" spans="2:9">
      <c r="B135" s="40"/>
      <c r="C135" s="58">
        <v>119</v>
      </c>
      <c r="D135" s="144">
        <f t="shared" si="9"/>
        <v>2322625.4221986104</v>
      </c>
      <c r="E135" s="144">
        <f t="shared" si="8"/>
        <v>19283.859334981251</v>
      </c>
      <c r="F135" s="144">
        <f t="shared" si="7"/>
        <v>12097.007407284429</v>
      </c>
      <c r="G135" s="144">
        <f t="shared" si="5"/>
        <v>7186.8519276968218</v>
      </c>
      <c r="H135" s="145">
        <f t="shared" si="6"/>
        <v>2315438.5702709137</v>
      </c>
    </row>
    <row r="136" spans="2:9">
      <c r="B136" s="46">
        <v>10</v>
      </c>
      <c r="C136" s="147">
        <v>120</v>
      </c>
      <c r="D136" s="157">
        <f t="shared" si="9"/>
        <v>2315438.5702709137</v>
      </c>
      <c r="E136" s="157">
        <f t="shared" si="8"/>
        <v>19283.859334981251</v>
      </c>
      <c r="F136" s="157">
        <f t="shared" si="7"/>
        <v>12059.575886827675</v>
      </c>
      <c r="G136" s="157">
        <f t="shared" si="5"/>
        <v>7224.2834481535756</v>
      </c>
      <c r="H136" s="158">
        <f t="shared" si="6"/>
        <v>2308214.28682276</v>
      </c>
      <c r="I136" s="148">
        <f>+SUM(G125:G136)+SUM(F125:F136)</f>
        <v>231406.31201977504</v>
      </c>
    </row>
    <row r="137" spans="2:9">
      <c r="B137" s="187"/>
      <c r="C137" s="188">
        <v>121</v>
      </c>
      <c r="D137" s="189">
        <f t="shared" si="9"/>
        <v>2308214.28682276</v>
      </c>
      <c r="E137" s="189">
        <f t="shared" si="8"/>
        <v>19283.859334981251</v>
      </c>
      <c r="F137" s="189">
        <f t="shared" si="7"/>
        <v>12021.949410535208</v>
      </c>
      <c r="G137" s="189">
        <f t="shared" si="5"/>
        <v>7261.9099244460431</v>
      </c>
      <c r="H137" s="190">
        <f t="shared" si="6"/>
        <v>2300952.3768983139</v>
      </c>
    </row>
    <row r="138" spans="2:9">
      <c r="B138" s="40"/>
      <c r="C138" s="58">
        <v>122</v>
      </c>
      <c r="D138" s="144">
        <f t="shared" si="9"/>
        <v>2300952.3768983139</v>
      </c>
      <c r="E138" s="144">
        <f t="shared" si="8"/>
        <v>19283.859334981251</v>
      </c>
      <c r="F138" s="144">
        <f t="shared" si="7"/>
        <v>11984.126963012051</v>
      </c>
      <c r="G138" s="144">
        <f t="shared" si="5"/>
        <v>7299.7323719691994</v>
      </c>
      <c r="H138" s="145">
        <f t="shared" si="6"/>
        <v>2293652.6445263447</v>
      </c>
    </row>
    <row r="139" spans="2:9">
      <c r="B139" s="40"/>
      <c r="C139" s="58">
        <v>123</v>
      </c>
      <c r="D139" s="144">
        <f t="shared" si="9"/>
        <v>2293652.6445263447</v>
      </c>
      <c r="E139" s="144">
        <f t="shared" si="8"/>
        <v>19283.859334981251</v>
      </c>
      <c r="F139" s="144">
        <f t="shared" si="7"/>
        <v>11946.107523574712</v>
      </c>
      <c r="G139" s="144">
        <f t="shared" si="5"/>
        <v>7337.7518114065388</v>
      </c>
      <c r="H139" s="145">
        <f t="shared" si="6"/>
        <v>2286314.8927149381</v>
      </c>
    </row>
    <row r="140" spans="2:9">
      <c r="B140" s="40"/>
      <c r="C140" s="58">
        <v>124</v>
      </c>
      <c r="D140" s="144">
        <f t="shared" si="9"/>
        <v>2286314.8927149381</v>
      </c>
      <c r="E140" s="144">
        <f t="shared" si="8"/>
        <v>19283.859334981251</v>
      </c>
      <c r="F140" s="144">
        <f t="shared" si="7"/>
        <v>11907.890066223636</v>
      </c>
      <c r="G140" s="144">
        <f t="shared" si="5"/>
        <v>7375.9692687576153</v>
      </c>
      <c r="H140" s="145">
        <f t="shared" si="6"/>
        <v>2278938.9234461808</v>
      </c>
    </row>
    <row r="141" spans="2:9">
      <c r="B141" s="40"/>
      <c r="C141" s="58">
        <v>125</v>
      </c>
      <c r="D141" s="144">
        <f t="shared" si="9"/>
        <v>2278938.9234461808</v>
      </c>
      <c r="E141" s="144">
        <f t="shared" si="8"/>
        <v>19283.859334981251</v>
      </c>
      <c r="F141" s="144">
        <f t="shared" si="7"/>
        <v>11869.473559615524</v>
      </c>
      <c r="G141" s="144">
        <f t="shared" si="5"/>
        <v>7414.3857753657267</v>
      </c>
      <c r="H141" s="145">
        <f t="shared" si="6"/>
        <v>2271524.5376708149</v>
      </c>
    </row>
    <row r="142" spans="2:9">
      <c r="B142" s="40"/>
      <c r="C142" s="58">
        <v>126</v>
      </c>
      <c r="D142" s="144">
        <f t="shared" si="9"/>
        <v>2271524.5376708149</v>
      </c>
      <c r="E142" s="144">
        <f t="shared" si="8"/>
        <v>19283.859334981251</v>
      </c>
      <c r="F142" s="144">
        <f t="shared" si="7"/>
        <v>11830.856967035494</v>
      </c>
      <c r="G142" s="144">
        <f t="shared" si="5"/>
        <v>7453.0023679457572</v>
      </c>
      <c r="H142" s="145">
        <f t="shared" si="6"/>
        <v>2264071.535302869</v>
      </c>
    </row>
    <row r="143" spans="2:9">
      <c r="B143" s="40"/>
      <c r="C143" s="58">
        <v>127</v>
      </c>
      <c r="D143" s="144">
        <f t="shared" si="9"/>
        <v>2264071.535302869</v>
      </c>
      <c r="E143" s="144">
        <f t="shared" si="8"/>
        <v>19283.859334981251</v>
      </c>
      <c r="F143" s="144">
        <f t="shared" si="7"/>
        <v>11792.03924636911</v>
      </c>
      <c r="G143" s="144">
        <f t="shared" si="5"/>
        <v>7491.8200886121413</v>
      </c>
      <c r="H143" s="145">
        <f t="shared" si="6"/>
        <v>2256579.7152142571</v>
      </c>
    </row>
    <row r="144" spans="2:9">
      <c r="B144" s="40"/>
      <c r="C144" s="58">
        <v>128</v>
      </c>
      <c r="D144" s="144">
        <f t="shared" si="9"/>
        <v>2256579.7152142571</v>
      </c>
      <c r="E144" s="144">
        <f t="shared" si="8"/>
        <v>19283.859334981251</v>
      </c>
      <c r="F144" s="144">
        <f t="shared" si="7"/>
        <v>11753.019350074255</v>
      </c>
      <c r="G144" s="144">
        <f t="shared" si="5"/>
        <v>7530.8399849069956</v>
      </c>
      <c r="H144" s="145">
        <f t="shared" si="6"/>
        <v>2249048.8752293503</v>
      </c>
    </row>
    <row r="145" spans="2:9">
      <c r="B145" s="40"/>
      <c r="C145" s="58">
        <v>129</v>
      </c>
      <c r="D145" s="144">
        <f t="shared" si="9"/>
        <v>2249048.8752293503</v>
      </c>
      <c r="E145" s="144">
        <f t="shared" si="8"/>
        <v>19283.859334981251</v>
      </c>
      <c r="F145" s="144">
        <f t="shared" si="7"/>
        <v>11713.796225152866</v>
      </c>
      <c r="G145" s="144">
        <f t="shared" ref="G145:G208" si="10">E145-F145</f>
        <v>7570.0631098283848</v>
      </c>
      <c r="H145" s="145">
        <f t="shared" ref="H145:H208" si="11">D145-G145</f>
        <v>2241478.8121195221</v>
      </c>
    </row>
    <row r="146" spans="2:9">
      <c r="B146" s="40"/>
      <c r="C146" s="58">
        <v>130</v>
      </c>
      <c r="D146" s="144">
        <f t="shared" si="9"/>
        <v>2241478.8121195221</v>
      </c>
      <c r="E146" s="144">
        <f t="shared" si="8"/>
        <v>19283.859334981251</v>
      </c>
      <c r="F146" s="144">
        <f t="shared" ref="F146:F209" si="12">IF(C146&gt;$C$10,0,($C$6/12)*H145)</f>
        <v>11674.36881312251</v>
      </c>
      <c r="G146" s="144">
        <f t="shared" si="10"/>
        <v>7609.490521858741</v>
      </c>
      <c r="H146" s="145">
        <f t="shared" si="11"/>
        <v>2233869.3215976632</v>
      </c>
    </row>
    <row r="147" spans="2:9">
      <c r="B147" s="40"/>
      <c r="C147" s="58">
        <v>131</v>
      </c>
      <c r="D147" s="144">
        <f t="shared" si="9"/>
        <v>2233869.3215976632</v>
      </c>
      <c r="E147" s="144">
        <f t="shared" si="8"/>
        <v>19283.859334981251</v>
      </c>
      <c r="F147" s="144">
        <f t="shared" si="12"/>
        <v>11634.736049987829</v>
      </c>
      <c r="G147" s="144">
        <f t="shared" si="10"/>
        <v>7649.1232849934222</v>
      </c>
      <c r="H147" s="145">
        <f t="shared" si="11"/>
        <v>2226220.19831267</v>
      </c>
    </row>
    <row r="148" spans="2:9">
      <c r="B148" s="46">
        <v>11</v>
      </c>
      <c r="C148" s="147">
        <v>132</v>
      </c>
      <c r="D148" s="157">
        <f t="shared" si="9"/>
        <v>2226220.19831267</v>
      </c>
      <c r="E148" s="157">
        <f t="shared" si="8"/>
        <v>19283.859334981251</v>
      </c>
      <c r="F148" s="157">
        <f t="shared" si="12"/>
        <v>11594.896866211822</v>
      </c>
      <c r="G148" s="157">
        <f t="shared" si="10"/>
        <v>7688.9624687694286</v>
      </c>
      <c r="H148" s="158">
        <f t="shared" si="11"/>
        <v>2218531.2358439006</v>
      </c>
      <c r="I148" s="148">
        <f>+SUM(G137:G148)+SUM(F137:F148)</f>
        <v>231406.31201977498</v>
      </c>
    </row>
    <row r="149" spans="2:9">
      <c r="B149" s="187"/>
      <c r="C149" s="188">
        <v>133</v>
      </c>
      <c r="D149" s="189">
        <f t="shared" si="9"/>
        <v>2218531.2358439006</v>
      </c>
      <c r="E149" s="189">
        <f t="shared" ref="E149:E212" si="13">IF(C149&gt;$C$10,0,IF(C149&lt;=$C$8,F149,-PMT($C$6/12,$C$9,$C$5,0,0)))</f>
        <v>19283.859334981251</v>
      </c>
      <c r="F149" s="189">
        <f t="shared" si="12"/>
        <v>11554.850186686981</v>
      </c>
      <c r="G149" s="189">
        <f t="shared" si="10"/>
        <v>7729.0091482942698</v>
      </c>
      <c r="H149" s="190">
        <f t="shared" si="11"/>
        <v>2210802.2266956065</v>
      </c>
    </row>
    <row r="150" spans="2:9">
      <c r="B150" s="40"/>
      <c r="C150" s="58">
        <v>134</v>
      </c>
      <c r="D150" s="144">
        <f t="shared" ref="D150:D213" si="14">IF(C150&gt;$C$10,0,H149)</f>
        <v>2210802.2266956065</v>
      </c>
      <c r="E150" s="144">
        <f t="shared" si="13"/>
        <v>19283.859334981251</v>
      </c>
      <c r="F150" s="144">
        <f t="shared" si="12"/>
        <v>11514.594930706284</v>
      </c>
      <c r="G150" s="144">
        <f t="shared" si="10"/>
        <v>7769.2644042749671</v>
      </c>
      <c r="H150" s="145">
        <f t="shared" si="11"/>
        <v>2203032.9622913315</v>
      </c>
    </row>
    <row r="151" spans="2:9">
      <c r="B151" s="40"/>
      <c r="C151" s="58">
        <v>135</v>
      </c>
      <c r="D151" s="144">
        <f t="shared" si="14"/>
        <v>2203032.9622913315</v>
      </c>
      <c r="E151" s="144">
        <f t="shared" si="13"/>
        <v>19283.859334981251</v>
      </c>
      <c r="F151" s="144">
        <f t="shared" si="12"/>
        <v>11474.130011934018</v>
      </c>
      <c r="G151" s="144">
        <f t="shared" si="10"/>
        <v>7809.7293230472333</v>
      </c>
      <c r="H151" s="145">
        <f t="shared" si="11"/>
        <v>2195223.2329682843</v>
      </c>
    </row>
    <row r="152" spans="2:9">
      <c r="B152" s="40"/>
      <c r="C152" s="58">
        <v>136</v>
      </c>
      <c r="D152" s="144">
        <f t="shared" si="14"/>
        <v>2195223.2329682843</v>
      </c>
      <c r="E152" s="144">
        <f t="shared" si="13"/>
        <v>19283.859334981251</v>
      </c>
      <c r="F152" s="144">
        <f t="shared" si="12"/>
        <v>11433.454338376479</v>
      </c>
      <c r="G152" s="144">
        <f t="shared" si="10"/>
        <v>7850.4049966047714</v>
      </c>
      <c r="H152" s="145">
        <f t="shared" si="11"/>
        <v>2187372.8279716796</v>
      </c>
    </row>
    <row r="153" spans="2:9">
      <c r="B153" s="40"/>
      <c r="C153" s="58">
        <v>137</v>
      </c>
      <c r="D153" s="144">
        <f t="shared" si="14"/>
        <v>2187372.8279716796</v>
      </c>
      <c r="E153" s="144">
        <f t="shared" si="13"/>
        <v>19283.859334981251</v>
      </c>
      <c r="F153" s="144">
        <f t="shared" si="12"/>
        <v>11392.566812352497</v>
      </c>
      <c r="G153" s="144">
        <f t="shared" si="10"/>
        <v>7891.2925226287534</v>
      </c>
      <c r="H153" s="145">
        <f t="shared" si="11"/>
        <v>2179481.5354490508</v>
      </c>
    </row>
    <row r="154" spans="2:9">
      <c r="B154" s="40"/>
      <c r="C154" s="58">
        <v>138</v>
      </c>
      <c r="D154" s="144">
        <f t="shared" si="14"/>
        <v>2179481.5354490508</v>
      </c>
      <c r="E154" s="144">
        <f t="shared" si="13"/>
        <v>19283.859334981251</v>
      </c>
      <c r="F154" s="144">
        <f t="shared" si="12"/>
        <v>11351.466330463805</v>
      </c>
      <c r="G154" s="144">
        <f t="shared" si="10"/>
        <v>7932.3930045174457</v>
      </c>
      <c r="H154" s="145">
        <f t="shared" si="11"/>
        <v>2171549.1424445333</v>
      </c>
    </row>
    <row r="155" spans="2:9">
      <c r="B155" s="40"/>
      <c r="C155" s="58">
        <v>139</v>
      </c>
      <c r="D155" s="144">
        <f t="shared" si="14"/>
        <v>2171549.1424445333</v>
      </c>
      <c r="E155" s="144">
        <f t="shared" si="13"/>
        <v>19283.859334981251</v>
      </c>
      <c r="F155" s="144">
        <f t="shared" si="12"/>
        <v>11310.151783565278</v>
      </c>
      <c r="G155" s="144">
        <f t="shared" si="10"/>
        <v>7973.7075514159733</v>
      </c>
      <c r="H155" s="145">
        <f t="shared" si="11"/>
        <v>2163575.4348931173</v>
      </c>
    </row>
    <row r="156" spans="2:9">
      <c r="B156" s="40"/>
      <c r="C156" s="58">
        <v>140</v>
      </c>
      <c r="D156" s="144">
        <f t="shared" si="14"/>
        <v>2163575.4348931173</v>
      </c>
      <c r="E156" s="144">
        <f t="shared" si="13"/>
        <v>19283.859334981251</v>
      </c>
      <c r="F156" s="144">
        <f t="shared" si="12"/>
        <v>11268.622056734985</v>
      </c>
      <c r="G156" s="144">
        <f t="shared" si="10"/>
        <v>8015.2372782462662</v>
      </c>
      <c r="H156" s="145">
        <f t="shared" si="11"/>
        <v>2155560.197614871</v>
      </c>
    </row>
    <row r="157" spans="2:9">
      <c r="B157" s="40"/>
      <c r="C157" s="58">
        <v>141</v>
      </c>
      <c r="D157" s="144">
        <f t="shared" si="14"/>
        <v>2155560.197614871</v>
      </c>
      <c r="E157" s="144">
        <f t="shared" si="13"/>
        <v>19283.859334981251</v>
      </c>
      <c r="F157" s="144">
        <f t="shared" si="12"/>
        <v>11226.876029244118</v>
      </c>
      <c r="G157" s="144">
        <f t="shared" si="10"/>
        <v>8056.9833057371325</v>
      </c>
      <c r="H157" s="145">
        <f t="shared" si="11"/>
        <v>2147503.2143091341</v>
      </c>
    </row>
    <row r="158" spans="2:9">
      <c r="B158" s="40"/>
      <c r="C158" s="58">
        <v>142</v>
      </c>
      <c r="D158" s="144">
        <f t="shared" si="14"/>
        <v>2147503.2143091341</v>
      </c>
      <c r="E158" s="144">
        <f t="shared" si="13"/>
        <v>19283.859334981251</v>
      </c>
      <c r="F158" s="144">
        <f t="shared" si="12"/>
        <v>11184.912574526739</v>
      </c>
      <c r="G158" s="144">
        <f t="shared" si="10"/>
        <v>8098.9467604545116</v>
      </c>
      <c r="H158" s="145">
        <f t="shared" si="11"/>
        <v>2139404.2675486794</v>
      </c>
    </row>
    <row r="159" spans="2:9">
      <c r="B159" s="40"/>
      <c r="C159" s="58">
        <v>143</v>
      </c>
      <c r="D159" s="144">
        <f t="shared" si="14"/>
        <v>2139404.2675486794</v>
      </c>
      <c r="E159" s="144">
        <f t="shared" si="13"/>
        <v>19283.859334981251</v>
      </c>
      <c r="F159" s="144">
        <f t="shared" si="12"/>
        <v>11142.730560149372</v>
      </c>
      <c r="G159" s="144">
        <f t="shared" si="10"/>
        <v>8141.1287748318791</v>
      </c>
      <c r="H159" s="145">
        <f t="shared" si="11"/>
        <v>2131263.1387738474</v>
      </c>
    </row>
    <row r="160" spans="2:9">
      <c r="B160" s="46">
        <v>12</v>
      </c>
      <c r="C160" s="147">
        <v>144</v>
      </c>
      <c r="D160" s="157">
        <f t="shared" si="14"/>
        <v>2131263.1387738474</v>
      </c>
      <c r="E160" s="157">
        <f t="shared" si="13"/>
        <v>19283.859334981251</v>
      </c>
      <c r="F160" s="157">
        <f t="shared" si="12"/>
        <v>11100.328847780454</v>
      </c>
      <c r="G160" s="157">
        <f t="shared" si="10"/>
        <v>8183.5304872007964</v>
      </c>
      <c r="H160" s="158">
        <f t="shared" si="11"/>
        <v>2123079.6082866467</v>
      </c>
      <c r="I160" s="148">
        <f>+SUM(G149:G160)+SUM(F149:F160)</f>
        <v>231406.31201977498</v>
      </c>
    </row>
    <row r="161" spans="2:9">
      <c r="B161" s="187"/>
      <c r="C161" s="188">
        <v>145</v>
      </c>
      <c r="D161" s="189">
        <f t="shared" si="14"/>
        <v>2123079.6082866467</v>
      </c>
      <c r="E161" s="189">
        <f t="shared" si="13"/>
        <v>19283.859334981251</v>
      </c>
      <c r="F161" s="189">
        <f t="shared" si="12"/>
        <v>11057.706293159617</v>
      </c>
      <c r="G161" s="189">
        <f t="shared" si="10"/>
        <v>8226.1530418216335</v>
      </c>
      <c r="H161" s="190">
        <f t="shared" si="11"/>
        <v>2114853.4552448252</v>
      </c>
    </row>
    <row r="162" spans="2:9">
      <c r="B162" s="40"/>
      <c r="C162" s="58">
        <v>146</v>
      </c>
      <c r="D162" s="144">
        <f t="shared" si="14"/>
        <v>2114853.4552448252</v>
      </c>
      <c r="E162" s="144">
        <f t="shared" si="13"/>
        <v>19283.859334981251</v>
      </c>
      <c r="F162" s="144">
        <f t="shared" si="12"/>
        <v>11014.861746066797</v>
      </c>
      <c r="G162" s="144">
        <f t="shared" si="10"/>
        <v>8268.9975889144534</v>
      </c>
      <c r="H162" s="145">
        <f t="shared" si="11"/>
        <v>2106584.4576559109</v>
      </c>
    </row>
    <row r="163" spans="2:9">
      <c r="B163" s="40"/>
      <c r="C163" s="58">
        <v>147</v>
      </c>
      <c r="D163" s="144">
        <f t="shared" si="14"/>
        <v>2106584.4576559109</v>
      </c>
      <c r="E163" s="144">
        <f t="shared" si="13"/>
        <v>19283.859334981251</v>
      </c>
      <c r="F163" s="144">
        <f t="shared" si="12"/>
        <v>10971.794050291202</v>
      </c>
      <c r="G163" s="144">
        <f t="shared" si="10"/>
        <v>8312.0652846900484</v>
      </c>
      <c r="H163" s="145">
        <f t="shared" si="11"/>
        <v>2098272.392371221</v>
      </c>
    </row>
    <row r="164" spans="2:9">
      <c r="B164" s="40"/>
      <c r="C164" s="58">
        <v>148</v>
      </c>
      <c r="D164" s="144">
        <f t="shared" si="14"/>
        <v>2098272.392371221</v>
      </c>
      <c r="E164" s="144">
        <f t="shared" si="13"/>
        <v>19283.859334981251</v>
      </c>
      <c r="F164" s="144">
        <f t="shared" si="12"/>
        <v>10928.502043600109</v>
      </c>
      <c r="G164" s="144">
        <f t="shared" si="10"/>
        <v>8355.3572913811422</v>
      </c>
      <c r="H164" s="145">
        <f t="shared" si="11"/>
        <v>2089917.0350798399</v>
      </c>
    </row>
    <row r="165" spans="2:9">
      <c r="B165" s="40"/>
      <c r="C165" s="58">
        <v>149</v>
      </c>
      <c r="D165" s="144">
        <f t="shared" si="14"/>
        <v>2089917.0350798399</v>
      </c>
      <c r="E165" s="144">
        <f t="shared" si="13"/>
        <v>19283.859334981251</v>
      </c>
      <c r="F165" s="144">
        <f t="shared" si="12"/>
        <v>10884.984557707499</v>
      </c>
      <c r="G165" s="144">
        <f t="shared" si="10"/>
        <v>8398.8747772737515</v>
      </c>
      <c r="H165" s="145">
        <f t="shared" si="11"/>
        <v>2081518.1603025661</v>
      </c>
    </row>
    <row r="166" spans="2:9">
      <c r="B166" s="40"/>
      <c r="C166" s="58">
        <v>150</v>
      </c>
      <c r="D166" s="144">
        <f t="shared" si="14"/>
        <v>2081518.1603025661</v>
      </c>
      <c r="E166" s="144">
        <f t="shared" si="13"/>
        <v>19283.859334981251</v>
      </c>
      <c r="F166" s="144">
        <f t="shared" si="12"/>
        <v>10841.240418242531</v>
      </c>
      <c r="G166" s="144">
        <f t="shared" si="10"/>
        <v>8442.6189167387201</v>
      </c>
      <c r="H166" s="145">
        <f t="shared" si="11"/>
        <v>2073075.5413858274</v>
      </c>
    </row>
    <row r="167" spans="2:9">
      <c r="B167" s="40"/>
      <c r="C167" s="58">
        <v>151</v>
      </c>
      <c r="D167" s="144">
        <f t="shared" si="14"/>
        <v>2073075.5413858274</v>
      </c>
      <c r="E167" s="144">
        <f t="shared" si="13"/>
        <v>19283.859334981251</v>
      </c>
      <c r="F167" s="144">
        <f t="shared" si="12"/>
        <v>10797.268444717851</v>
      </c>
      <c r="G167" s="144">
        <f t="shared" si="10"/>
        <v>8486.5908902634001</v>
      </c>
      <c r="H167" s="145">
        <f t="shared" si="11"/>
        <v>2064588.9504955639</v>
      </c>
    </row>
    <row r="168" spans="2:9">
      <c r="B168" s="40"/>
      <c r="C168" s="58">
        <v>152</v>
      </c>
      <c r="D168" s="144">
        <f t="shared" si="14"/>
        <v>2064588.9504955639</v>
      </c>
      <c r="E168" s="144">
        <f t="shared" si="13"/>
        <v>19283.859334981251</v>
      </c>
      <c r="F168" s="144">
        <f t="shared" si="12"/>
        <v>10753.067450497729</v>
      </c>
      <c r="G168" s="144">
        <f t="shared" si="10"/>
        <v>8530.7918844835222</v>
      </c>
      <c r="H168" s="145">
        <f t="shared" si="11"/>
        <v>2056058.1586110804</v>
      </c>
    </row>
    <row r="169" spans="2:9">
      <c r="B169" s="40"/>
      <c r="C169" s="58">
        <v>153</v>
      </c>
      <c r="D169" s="144">
        <f t="shared" si="14"/>
        <v>2056058.1586110804</v>
      </c>
      <c r="E169" s="144">
        <f t="shared" si="13"/>
        <v>19283.859334981251</v>
      </c>
      <c r="F169" s="144">
        <f t="shared" si="12"/>
        <v>10708.636242766042</v>
      </c>
      <c r="G169" s="144">
        <f t="shared" si="10"/>
        <v>8575.2230922152085</v>
      </c>
      <c r="H169" s="145">
        <f t="shared" si="11"/>
        <v>2047482.9355188652</v>
      </c>
    </row>
    <row r="170" spans="2:9">
      <c r="B170" s="40"/>
      <c r="C170" s="58">
        <v>154</v>
      </c>
      <c r="D170" s="144">
        <f t="shared" si="14"/>
        <v>2047482.9355188652</v>
      </c>
      <c r="E170" s="144">
        <f t="shared" si="13"/>
        <v>19283.859334981251</v>
      </c>
      <c r="F170" s="144">
        <f t="shared" si="12"/>
        <v>10663.97362249409</v>
      </c>
      <c r="G170" s="144">
        <f t="shared" si="10"/>
        <v>8619.8857124871611</v>
      </c>
      <c r="H170" s="145">
        <f t="shared" si="11"/>
        <v>2038863.0498063781</v>
      </c>
    </row>
    <row r="171" spans="2:9">
      <c r="B171" s="40"/>
      <c r="C171" s="58">
        <v>155</v>
      </c>
      <c r="D171" s="144">
        <f t="shared" si="14"/>
        <v>2038863.0498063781</v>
      </c>
      <c r="E171" s="144">
        <f t="shared" si="13"/>
        <v>19283.859334981251</v>
      </c>
      <c r="F171" s="144">
        <f t="shared" si="12"/>
        <v>10619.078384408218</v>
      </c>
      <c r="G171" s="144">
        <f t="shared" si="10"/>
        <v>8664.7809505730329</v>
      </c>
      <c r="H171" s="145">
        <f t="shared" si="11"/>
        <v>2030198.268855805</v>
      </c>
    </row>
    <row r="172" spans="2:9">
      <c r="B172" s="46">
        <v>13</v>
      </c>
      <c r="C172" s="147">
        <v>156</v>
      </c>
      <c r="D172" s="157">
        <f t="shared" si="14"/>
        <v>2030198.268855805</v>
      </c>
      <c r="E172" s="157">
        <f t="shared" si="13"/>
        <v>19283.859334981251</v>
      </c>
      <c r="F172" s="157">
        <f t="shared" si="12"/>
        <v>10573.949316957318</v>
      </c>
      <c r="G172" s="157">
        <f t="shared" si="10"/>
        <v>8709.9100180239329</v>
      </c>
      <c r="H172" s="158">
        <f t="shared" si="11"/>
        <v>2021488.358837781</v>
      </c>
      <c r="I172" s="148">
        <f>+SUM(G161:G172)+SUM(F161:F172)</f>
        <v>231406.31201977498</v>
      </c>
    </row>
    <row r="173" spans="2:9">
      <c r="B173" s="187"/>
      <c r="C173" s="188">
        <v>157</v>
      </c>
      <c r="D173" s="189">
        <f t="shared" si="14"/>
        <v>2021488.358837781</v>
      </c>
      <c r="E173" s="189">
        <f t="shared" si="13"/>
        <v>19283.859334981251</v>
      </c>
      <c r="F173" s="189">
        <f t="shared" si="12"/>
        <v>10528.585202280108</v>
      </c>
      <c r="G173" s="189">
        <f t="shared" si="10"/>
        <v>8755.2741327011427</v>
      </c>
      <c r="H173" s="190">
        <f t="shared" si="11"/>
        <v>2012733.0847050799</v>
      </c>
    </row>
    <row r="174" spans="2:9">
      <c r="B174" s="40"/>
      <c r="C174" s="58">
        <v>158</v>
      </c>
      <c r="D174" s="144">
        <f t="shared" si="14"/>
        <v>2012733.0847050799</v>
      </c>
      <c r="E174" s="144">
        <f t="shared" si="13"/>
        <v>19283.859334981251</v>
      </c>
      <c r="F174" s="144">
        <f t="shared" si="12"/>
        <v>10482.984816172291</v>
      </c>
      <c r="G174" s="144">
        <f t="shared" si="10"/>
        <v>8800.8745188089597</v>
      </c>
      <c r="H174" s="145">
        <f t="shared" si="11"/>
        <v>2003932.210186271</v>
      </c>
    </row>
    <row r="175" spans="2:9">
      <c r="B175" s="40"/>
      <c r="C175" s="58">
        <v>159</v>
      </c>
      <c r="D175" s="144">
        <f t="shared" si="14"/>
        <v>2003932.210186271</v>
      </c>
      <c r="E175" s="144">
        <f t="shared" si="13"/>
        <v>19283.859334981251</v>
      </c>
      <c r="F175" s="144">
        <f t="shared" si="12"/>
        <v>10437.146928053495</v>
      </c>
      <c r="G175" s="144">
        <f t="shared" si="10"/>
        <v>8846.7124069277561</v>
      </c>
      <c r="H175" s="145">
        <f t="shared" si="11"/>
        <v>1995085.4977793433</v>
      </c>
    </row>
    <row r="176" spans="2:9">
      <c r="B176" s="40"/>
      <c r="C176" s="58">
        <v>160</v>
      </c>
      <c r="D176" s="144">
        <f t="shared" si="14"/>
        <v>1995085.4977793433</v>
      </c>
      <c r="E176" s="144">
        <f t="shared" si="13"/>
        <v>19283.859334981251</v>
      </c>
      <c r="F176" s="144">
        <f t="shared" si="12"/>
        <v>10391.07030093408</v>
      </c>
      <c r="G176" s="144">
        <f t="shared" si="10"/>
        <v>8892.7890340471713</v>
      </c>
      <c r="H176" s="145">
        <f t="shared" si="11"/>
        <v>1986192.7087452961</v>
      </c>
    </row>
    <row r="177" spans="2:9">
      <c r="B177" s="40"/>
      <c r="C177" s="58">
        <v>161</v>
      </c>
      <c r="D177" s="144">
        <f t="shared" si="14"/>
        <v>1986192.7087452961</v>
      </c>
      <c r="E177" s="144">
        <f t="shared" si="13"/>
        <v>19283.859334981251</v>
      </c>
      <c r="F177" s="144">
        <f t="shared" si="12"/>
        <v>10344.753691381749</v>
      </c>
      <c r="G177" s="144">
        <f t="shared" si="10"/>
        <v>8939.1056435995015</v>
      </c>
      <c r="H177" s="145">
        <f t="shared" si="11"/>
        <v>1977253.6031016966</v>
      </c>
    </row>
    <row r="178" spans="2:9">
      <c r="B178" s="40"/>
      <c r="C178" s="58">
        <v>162</v>
      </c>
      <c r="D178" s="144">
        <f t="shared" si="14"/>
        <v>1977253.6031016966</v>
      </c>
      <c r="E178" s="144">
        <f t="shared" si="13"/>
        <v>19283.859334981251</v>
      </c>
      <c r="F178" s="144">
        <f t="shared" si="12"/>
        <v>10298.195849488002</v>
      </c>
      <c r="G178" s="144">
        <f t="shared" si="10"/>
        <v>8985.663485493249</v>
      </c>
      <c r="H178" s="145">
        <f t="shared" si="11"/>
        <v>1968267.9396162033</v>
      </c>
    </row>
    <row r="179" spans="2:9">
      <c r="B179" s="40"/>
      <c r="C179" s="58">
        <v>163</v>
      </c>
      <c r="D179" s="144">
        <f t="shared" si="14"/>
        <v>1968267.9396162033</v>
      </c>
      <c r="E179" s="144">
        <f t="shared" si="13"/>
        <v>19283.859334981251</v>
      </c>
      <c r="F179" s="144">
        <f t="shared" si="12"/>
        <v>10251.395518834392</v>
      </c>
      <c r="G179" s="144">
        <f t="shared" si="10"/>
        <v>9032.4638161468592</v>
      </c>
      <c r="H179" s="145">
        <f t="shared" si="11"/>
        <v>1959235.4758000565</v>
      </c>
    </row>
    <row r="180" spans="2:9">
      <c r="B180" s="40"/>
      <c r="C180" s="58">
        <v>164</v>
      </c>
      <c r="D180" s="144">
        <f t="shared" si="14"/>
        <v>1959235.4758000565</v>
      </c>
      <c r="E180" s="144">
        <f t="shared" si="13"/>
        <v>19283.859334981251</v>
      </c>
      <c r="F180" s="144">
        <f t="shared" si="12"/>
        <v>10204.351436458626</v>
      </c>
      <c r="G180" s="144">
        <f t="shared" si="10"/>
        <v>9079.5078985226246</v>
      </c>
      <c r="H180" s="145">
        <f t="shared" si="11"/>
        <v>1950155.9679015339</v>
      </c>
    </row>
    <row r="181" spans="2:9">
      <c r="B181" s="40"/>
      <c r="C181" s="58">
        <v>165</v>
      </c>
      <c r="D181" s="144">
        <f t="shared" si="14"/>
        <v>1950155.9679015339</v>
      </c>
      <c r="E181" s="144">
        <f t="shared" si="13"/>
        <v>19283.859334981251</v>
      </c>
      <c r="F181" s="144">
        <f t="shared" si="12"/>
        <v>10157.062332820489</v>
      </c>
      <c r="G181" s="144">
        <f t="shared" si="10"/>
        <v>9126.7970021607616</v>
      </c>
      <c r="H181" s="145">
        <f t="shared" si="11"/>
        <v>1941029.1708993732</v>
      </c>
    </row>
    <row r="182" spans="2:9">
      <c r="B182" s="40"/>
      <c r="C182" s="58">
        <v>166</v>
      </c>
      <c r="D182" s="144">
        <f t="shared" si="14"/>
        <v>1941029.1708993732</v>
      </c>
      <c r="E182" s="144">
        <f t="shared" si="13"/>
        <v>19283.859334981251</v>
      </c>
      <c r="F182" s="144">
        <f t="shared" si="12"/>
        <v>10109.526931767568</v>
      </c>
      <c r="G182" s="144">
        <f t="shared" si="10"/>
        <v>9174.3324032136825</v>
      </c>
      <c r="H182" s="145">
        <f t="shared" si="11"/>
        <v>1931854.8384961595</v>
      </c>
    </row>
    <row r="183" spans="2:9">
      <c r="B183" s="40"/>
      <c r="C183" s="58">
        <v>167</v>
      </c>
      <c r="D183" s="144">
        <f t="shared" si="14"/>
        <v>1931854.8384961595</v>
      </c>
      <c r="E183" s="144">
        <f t="shared" si="13"/>
        <v>19283.859334981251</v>
      </c>
      <c r="F183" s="144">
        <f t="shared" si="12"/>
        <v>10061.74395050083</v>
      </c>
      <c r="G183" s="144">
        <f t="shared" si="10"/>
        <v>9222.1153844804212</v>
      </c>
      <c r="H183" s="145">
        <f t="shared" si="11"/>
        <v>1922632.7231116791</v>
      </c>
    </row>
    <row r="184" spans="2:9">
      <c r="B184" s="46">
        <v>14</v>
      </c>
      <c r="C184" s="147">
        <v>168</v>
      </c>
      <c r="D184" s="157">
        <f t="shared" si="14"/>
        <v>1922632.7231116791</v>
      </c>
      <c r="E184" s="157">
        <f t="shared" si="13"/>
        <v>19283.859334981251</v>
      </c>
      <c r="F184" s="157">
        <f t="shared" si="12"/>
        <v>10013.712099539995</v>
      </c>
      <c r="G184" s="157">
        <f t="shared" si="10"/>
        <v>9270.1472354412563</v>
      </c>
      <c r="H184" s="158">
        <f t="shared" si="11"/>
        <v>1913362.5758762378</v>
      </c>
      <c r="I184" s="148">
        <f>+SUM(G173:G184)+SUM(F173:F184)</f>
        <v>231406.31201977501</v>
      </c>
    </row>
    <row r="185" spans="2:9">
      <c r="B185" s="187"/>
      <c r="C185" s="188">
        <v>169</v>
      </c>
      <c r="D185" s="189">
        <f t="shared" si="14"/>
        <v>1913362.5758762378</v>
      </c>
      <c r="E185" s="189">
        <f t="shared" si="13"/>
        <v>19283.859334981251</v>
      </c>
      <c r="F185" s="189">
        <f t="shared" si="12"/>
        <v>9965.4300826887375</v>
      </c>
      <c r="G185" s="189">
        <f t="shared" si="10"/>
        <v>9318.4292522925134</v>
      </c>
      <c r="H185" s="190">
        <f t="shared" si="11"/>
        <v>1904044.1466239453</v>
      </c>
    </row>
    <row r="186" spans="2:9">
      <c r="B186" s="40"/>
      <c r="C186" s="58">
        <v>170</v>
      </c>
      <c r="D186" s="144">
        <f t="shared" si="14"/>
        <v>1904044.1466239453</v>
      </c>
      <c r="E186" s="144">
        <f t="shared" si="13"/>
        <v>19283.859334981251</v>
      </c>
      <c r="F186" s="144">
        <f t="shared" si="12"/>
        <v>9916.8965969997153</v>
      </c>
      <c r="G186" s="144">
        <f t="shared" si="10"/>
        <v>9366.9627379815356</v>
      </c>
      <c r="H186" s="145">
        <f t="shared" si="11"/>
        <v>1894677.1838859639</v>
      </c>
    </row>
    <row r="187" spans="2:9">
      <c r="B187" s="40"/>
      <c r="C187" s="58">
        <v>171</v>
      </c>
      <c r="D187" s="144">
        <f t="shared" si="14"/>
        <v>1894677.1838859639</v>
      </c>
      <c r="E187" s="144">
        <f t="shared" si="13"/>
        <v>19283.859334981251</v>
      </c>
      <c r="F187" s="144">
        <f t="shared" si="12"/>
        <v>9868.1103327393939</v>
      </c>
      <c r="G187" s="144">
        <f t="shared" si="10"/>
        <v>9415.7490022418569</v>
      </c>
      <c r="H187" s="145">
        <f t="shared" si="11"/>
        <v>1885261.4348837221</v>
      </c>
    </row>
    <row r="188" spans="2:9">
      <c r="B188" s="40"/>
      <c r="C188" s="58">
        <v>172</v>
      </c>
      <c r="D188" s="144">
        <f t="shared" si="14"/>
        <v>1885261.4348837221</v>
      </c>
      <c r="E188" s="144">
        <f t="shared" si="13"/>
        <v>19283.859334981251</v>
      </c>
      <c r="F188" s="144">
        <f t="shared" si="12"/>
        <v>9819.0699733527181</v>
      </c>
      <c r="G188" s="144">
        <f t="shared" si="10"/>
        <v>9464.7893616285328</v>
      </c>
      <c r="H188" s="145">
        <f t="shared" si="11"/>
        <v>1875796.6455220936</v>
      </c>
    </row>
    <row r="189" spans="2:9">
      <c r="B189" s="40"/>
      <c r="C189" s="58">
        <v>173</v>
      </c>
      <c r="D189" s="144">
        <f t="shared" si="14"/>
        <v>1875796.6455220936</v>
      </c>
      <c r="E189" s="144">
        <f t="shared" si="13"/>
        <v>19283.859334981251</v>
      </c>
      <c r="F189" s="144">
        <f t="shared" si="12"/>
        <v>9769.7741954275698</v>
      </c>
      <c r="G189" s="144">
        <f t="shared" si="10"/>
        <v>9514.0851395536811</v>
      </c>
      <c r="H189" s="145">
        <f t="shared" si="11"/>
        <v>1866282.5603825399</v>
      </c>
    </row>
    <row r="190" spans="2:9">
      <c r="B190" s="40"/>
      <c r="C190" s="58">
        <v>174</v>
      </c>
      <c r="D190" s="144">
        <f t="shared" si="14"/>
        <v>1866282.5603825399</v>
      </c>
      <c r="E190" s="144">
        <f t="shared" si="13"/>
        <v>19283.859334981251</v>
      </c>
      <c r="F190" s="144">
        <f t="shared" si="12"/>
        <v>9720.2216686590618</v>
      </c>
      <c r="G190" s="144">
        <f t="shared" si="10"/>
        <v>9563.637666322189</v>
      </c>
      <c r="H190" s="145">
        <f t="shared" si="11"/>
        <v>1856718.9227162176</v>
      </c>
    </row>
    <row r="191" spans="2:9">
      <c r="B191" s="40"/>
      <c r="C191" s="58">
        <v>175</v>
      </c>
      <c r="D191" s="144">
        <f t="shared" si="14"/>
        <v>1856718.9227162176</v>
      </c>
      <c r="E191" s="144">
        <f t="shared" si="13"/>
        <v>19283.859334981251</v>
      </c>
      <c r="F191" s="144">
        <f t="shared" si="12"/>
        <v>9670.4110558136326</v>
      </c>
      <c r="G191" s="144">
        <f t="shared" si="10"/>
        <v>9613.4482791676182</v>
      </c>
      <c r="H191" s="145">
        <f t="shared" si="11"/>
        <v>1847105.4744370501</v>
      </c>
    </row>
    <row r="192" spans="2:9">
      <c r="B192" s="40"/>
      <c r="C192" s="58">
        <v>176</v>
      </c>
      <c r="D192" s="144">
        <f t="shared" si="14"/>
        <v>1847105.4744370501</v>
      </c>
      <c r="E192" s="144">
        <f t="shared" si="13"/>
        <v>19283.859334981251</v>
      </c>
      <c r="F192" s="144">
        <f t="shared" si="12"/>
        <v>9620.3410126929684</v>
      </c>
      <c r="G192" s="144">
        <f t="shared" si="10"/>
        <v>9663.5183222882824</v>
      </c>
      <c r="H192" s="145">
        <f t="shared" si="11"/>
        <v>1837441.9561147618</v>
      </c>
    </row>
    <row r="193" spans="2:9">
      <c r="B193" s="40"/>
      <c r="C193" s="58">
        <v>177</v>
      </c>
      <c r="D193" s="144">
        <f t="shared" si="14"/>
        <v>1837441.9561147618</v>
      </c>
      <c r="E193" s="144">
        <f t="shared" si="13"/>
        <v>19283.859334981251</v>
      </c>
      <c r="F193" s="144">
        <f t="shared" si="12"/>
        <v>9570.0101880977163</v>
      </c>
      <c r="G193" s="144">
        <f t="shared" si="10"/>
        <v>9713.8491468835346</v>
      </c>
      <c r="H193" s="145">
        <f t="shared" si="11"/>
        <v>1827728.1069678783</v>
      </c>
    </row>
    <row r="194" spans="2:9">
      <c r="B194" s="40"/>
      <c r="C194" s="58">
        <v>178</v>
      </c>
      <c r="D194" s="144">
        <f t="shared" si="14"/>
        <v>1827728.1069678783</v>
      </c>
      <c r="E194" s="144">
        <f t="shared" si="13"/>
        <v>19283.859334981251</v>
      </c>
      <c r="F194" s="144">
        <f t="shared" si="12"/>
        <v>9519.4172237910316</v>
      </c>
      <c r="G194" s="144">
        <f t="shared" si="10"/>
        <v>9764.4421111902193</v>
      </c>
      <c r="H194" s="145">
        <f t="shared" si="11"/>
        <v>1817963.6648566881</v>
      </c>
    </row>
    <row r="195" spans="2:9">
      <c r="B195" s="40"/>
      <c r="C195" s="58">
        <v>179</v>
      </c>
      <c r="D195" s="144">
        <f t="shared" si="14"/>
        <v>1817963.6648566881</v>
      </c>
      <c r="E195" s="144">
        <f t="shared" si="13"/>
        <v>19283.859334981251</v>
      </c>
      <c r="F195" s="144">
        <f t="shared" si="12"/>
        <v>9468.5607544619161</v>
      </c>
      <c r="G195" s="144">
        <f t="shared" si="10"/>
        <v>9815.2985805193348</v>
      </c>
      <c r="H195" s="145">
        <f t="shared" si="11"/>
        <v>1808148.3662761687</v>
      </c>
    </row>
    <row r="196" spans="2:9">
      <c r="B196" s="46">
        <v>15</v>
      </c>
      <c r="C196" s="147">
        <v>180</v>
      </c>
      <c r="D196" s="157">
        <f t="shared" si="14"/>
        <v>1808148.3662761687</v>
      </c>
      <c r="E196" s="157">
        <f t="shared" si="13"/>
        <v>19283.859334981251</v>
      </c>
      <c r="F196" s="157">
        <f t="shared" si="12"/>
        <v>9417.4394076883782</v>
      </c>
      <c r="G196" s="157">
        <f t="shared" si="10"/>
        <v>9866.4199272928727</v>
      </c>
      <c r="H196" s="158">
        <f t="shared" si="11"/>
        <v>1798281.9463488758</v>
      </c>
      <c r="I196" s="148">
        <f>+SUM(G185:G196)+SUM(F185:F196)</f>
        <v>231406.31201977498</v>
      </c>
    </row>
    <row r="197" spans="2:9">
      <c r="B197" s="187"/>
      <c r="C197" s="188">
        <v>181</v>
      </c>
      <c r="D197" s="189">
        <f t="shared" si="14"/>
        <v>1798281.9463488758</v>
      </c>
      <c r="E197" s="189">
        <f t="shared" si="13"/>
        <v>19283.859334981251</v>
      </c>
      <c r="F197" s="189">
        <f t="shared" si="12"/>
        <v>9366.0518039003946</v>
      </c>
      <c r="G197" s="189">
        <f t="shared" si="10"/>
        <v>9917.8075310808563</v>
      </c>
      <c r="H197" s="190">
        <f t="shared" si="11"/>
        <v>1788364.1388177949</v>
      </c>
    </row>
    <row r="198" spans="2:9">
      <c r="B198" s="40"/>
      <c r="C198" s="58">
        <v>182</v>
      </c>
      <c r="D198" s="144">
        <f t="shared" si="14"/>
        <v>1788364.1388177949</v>
      </c>
      <c r="E198" s="144">
        <f t="shared" si="13"/>
        <v>19283.859334981251</v>
      </c>
      <c r="F198" s="144">
        <f t="shared" si="12"/>
        <v>9314.3965563426809</v>
      </c>
      <c r="G198" s="144">
        <f t="shared" si="10"/>
        <v>9969.4627786385699</v>
      </c>
      <c r="H198" s="145">
        <f t="shared" si="11"/>
        <v>1778394.6760391563</v>
      </c>
    </row>
    <row r="199" spans="2:9">
      <c r="B199" s="40"/>
      <c r="C199" s="58">
        <v>183</v>
      </c>
      <c r="D199" s="144">
        <f t="shared" si="14"/>
        <v>1778394.6760391563</v>
      </c>
      <c r="E199" s="144">
        <f t="shared" si="13"/>
        <v>19283.859334981251</v>
      </c>
      <c r="F199" s="144">
        <f t="shared" si="12"/>
        <v>9262.4722710372716</v>
      </c>
      <c r="G199" s="144">
        <f t="shared" si="10"/>
        <v>10021.387063943979</v>
      </c>
      <c r="H199" s="145">
        <f t="shared" si="11"/>
        <v>1768373.2889752123</v>
      </c>
    </row>
    <row r="200" spans="2:9">
      <c r="B200" s="40"/>
      <c r="C200" s="58">
        <v>184</v>
      </c>
      <c r="D200" s="144">
        <f t="shared" si="14"/>
        <v>1768373.2889752123</v>
      </c>
      <c r="E200" s="144">
        <f t="shared" si="13"/>
        <v>19283.859334981251</v>
      </c>
      <c r="F200" s="144">
        <f t="shared" si="12"/>
        <v>9210.277546745896</v>
      </c>
      <c r="G200" s="144">
        <f t="shared" si="10"/>
        <v>10073.581788235355</v>
      </c>
      <c r="H200" s="145">
        <f t="shared" si="11"/>
        <v>1758299.7071869769</v>
      </c>
    </row>
    <row r="201" spans="2:9">
      <c r="B201" s="40"/>
      <c r="C201" s="58">
        <v>185</v>
      </c>
      <c r="D201" s="144">
        <f t="shared" si="14"/>
        <v>1758299.7071869769</v>
      </c>
      <c r="E201" s="144">
        <f t="shared" si="13"/>
        <v>19283.859334981251</v>
      </c>
      <c r="F201" s="144">
        <f t="shared" si="12"/>
        <v>9157.8109749321702</v>
      </c>
      <c r="G201" s="144">
        <f t="shared" si="10"/>
        <v>10126.048360049081</v>
      </c>
      <c r="H201" s="145">
        <f t="shared" si="11"/>
        <v>1748173.6588269279</v>
      </c>
    </row>
    <row r="202" spans="2:9">
      <c r="B202" s="40"/>
      <c r="C202" s="58">
        <v>186</v>
      </c>
      <c r="D202" s="144">
        <f t="shared" si="14"/>
        <v>1748173.6588269279</v>
      </c>
      <c r="E202" s="144">
        <f t="shared" si="13"/>
        <v>19283.859334981251</v>
      </c>
      <c r="F202" s="144">
        <f t="shared" si="12"/>
        <v>9105.0711397235827</v>
      </c>
      <c r="G202" s="144">
        <f t="shared" si="10"/>
        <v>10178.788195257668</v>
      </c>
      <c r="H202" s="145">
        <f t="shared" si="11"/>
        <v>1737994.8706316701</v>
      </c>
    </row>
    <row r="203" spans="2:9">
      <c r="B203" s="40"/>
      <c r="C203" s="58">
        <v>187</v>
      </c>
      <c r="D203" s="144">
        <f t="shared" si="14"/>
        <v>1737994.8706316701</v>
      </c>
      <c r="E203" s="144">
        <f t="shared" si="13"/>
        <v>19283.859334981251</v>
      </c>
      <c r="F203" s="144">
        <f t="shared" si="12"/>
        <v>9052.0566178732806</v>
      </c>
      <c r="G203" s="144">
        <f t="shared" si="10"/>
        <v>10231.80271710797</v>
      </c>
      <c r="H203" s="145">
        <f t="shared" si="11"/>
        <v>1727763.0679145621</v>
      </c>
    </row>
    <row r="204" spans="2:9">
      <c r="B204" s="40"/>
      <c r="C204" s="58">
        <v>188</v>
      </c>
      <c r="D204" s="144">
        <f t="shared" si="14"/>
        <v>1727763.0679145621</v>
      </c>
      <c r="E204" s="144">
        <f t="shared" si="13"/>
        <v>19283.859334981251</v>
      </c>
      <c r="F204" s="144">
        <f t="shared" si="12"/>
        <v>8998.7659787216762</v>
      </c>
      <c r="G204" s="144">
        <f t="shared" si="10"/>
        <v>10285.093356259575</v>
      </c>
      <c r="H204" s="145">
        <f t="shared" si="11"/>
        <v>1717477.9745583024</v>
      </c>
    </row>
    <row r="205" spans="2:9">
      <c r="B205" s="40"/>
      <c r="C205" s="58">
        <v>189</v>
      </c>
      <c r="D205" s="144">
        <f t="shared" si="14"/>
        <v>1717477.9745583024</v>
      </c>
      <c r="E205" s="144">
        <f t="shared" si="13"/>
        <v>19283.859334981251</v>
      </c>
      <c r="F205" s="144">
        <f t="shared" si="12"/>
        <v>8945.1977841578246</v>
      </c>
      <c r="G205" s="144">
        <f t="shared" si="10"/>
        <v>10338.661550823426</v>
      </c>
      <c r="H205" s="145">
        <f t="shared" si="11"/>
        <v>1707139.3130074791</v>
      </c>
    </row>
    <row r="206" spans="2:9">
      <c r="B206" s="40"/>
      <c r="C206" s="58">
        <v>190</v>
      </c>
      <c r="D206" s="144">
        <f t="shared" si="14"/>
        <v>1707139.3130074791</v>
      </c>
      <c r="E206" s="144">
        <f t="shared" si="13"/>
        <v>19283.859334981251</v>
      </c>
      <c r="F206" s="144">
        <f t="shared" si="12"/>
        <v>8891.3505885806189</v>
      </c>
      <c r="G206" s="144">
        <f t="shared" si="10"/>
        <v>10392.508746400632</v>
      </c>
      <c r="H206" s="145">
        <f t="shared" si="11"/>
        <v>1696746.8042610784</v>
      </c>
    </row>
    <row r="207" spans="2:9">
      <c r="B207" s="40"/>
      <c r="C207" s="58">
        <v>191</v>
      </c>
      <c r="D207" s="144">
        <f t="shared" si="14"/>
        <v>1696746.8042610784</v>
      </c>
      <c r="E207" s="144">
        <f t="shared" si="13"/>
        <v>19283.859334981251</v>
      </c>
      <c r="F207" s="144">
        <f t="shared" si="12"/>
        <v>8837.2229388597825</v>
      </c>
      <c r="G207" s="144">
        <f t="shared" si="10"/>
        <v>10446.636396121468</v>
      </c>
      <c r="H207" s="145">
        <f t="shared" si="11"/>
        <v>1686300.1678649569</v>
      </c>
    </row>
    <row r="208" spans="2:9">
      <c r="B208" s="46">
        <v>16</v>
      </c>
      <c r="C208" s="147">
        <v>192</v>
      </c>
      <c r="D208" s="157">
        <f t="shared" si="14"/>
        <v>1686300.1678649569</v>
      </c>
      <c r="E208" s="157">
        <f t="shared" si="13"/>
        <v>19283.859334981251</v>
      </c>
      <c r="F208" s="157">
        <f t="shared" si="12"/>
        <v>8782.8133742966493</v>
      </c>
      <c r="G208" s="157">
        <f t="shared" si="10"/>
        <v>10501.045960684602</v>
      </c>
      <c r="H208" s="158">
        <f t="shared" si="11"/>
        <v>1675799.1219042724</v>
      </c>
      <c r="I208" s="148">
        <f>+SUM(G197:G208)+SUM(F197:F208)</f>
        <v>231406.31201977504</v>
      </c>
    </row>
    <row r="209" spans="2:9">
      <c r="B209" s="187"/>
      <c r="C209" s="188">
        <v>193</v>
      </c>
      <c r="D209" s="189">
        <f t="shared" si="14"/>
        <v>1675799.1219042724</v>
      </c>
      <c r="E209" s="189">
        <f t="shared" si="13"/>
        <v>19283.859334981251</v>
      </c>
      <c r="F209" s="189">
        <f t="shared" si="12"/>
        <v>8728.1204265847518</v>
      </c>
      <c r="G209" s="189">
        <f t="shared" ref="G209:G272" si="15">E209-F209</f>
        <v>10555.738908396499</v>
      </c>
      <c r="H209" s="190">
        <f t="shared" ref="H209:H272" si="16">D209-G209</f>
        <v>1665243.3829958758</v>
      </c>
    </row>
    <row r="210" spans="2:9">
      <c r="B210" s="40"/>
      <c r="C210" s="58">
        <v>194</v>
      </c>
      <c r="D210" s="144">
        <f t="shared" si="14"/>
        <v>1665243.3829958758</v>
      </c>
      <c r="E210" s="144">
        <f t="shared" si="13"/>
        <v>19283.859334981251</v>
      </c>
      <c r="F210" s="144">
        <f t="shared" ref="F210:F273" si="17">IF(C210&gt;$C$10,0,($C$6/12)*H209)</f>
        <v>8673.1426197701858</v>
      </c>
      <c r="G210" s="144">
        <f t="shared" si="15"/>
        <v>10610.716715211065</v>
      </c>
      <c r="H210" s="145">
        <f t="shared" si="16"/>
        <v>1654632.6662806647</v>
      </c>
    </row>
    <row r="211" spans="2:9">
      <c r="B211" s="40"/>
      <c r="C211" s="58">
        <v>195</v>
      </c>
      <c r="D211" s="144">
        <f t="shared" si="14"/>
        <v>1654632.6662806647</v>
      </c>
      <c r="E211" s="144">
        <f t="shared" si="13"/>
        <v>19283.859334981251</v>
      </c>
      <c r="F211" s="144">
        <f t="shared" si="17"/>
        <v>8617.8784702117955</v>
      </c>
      <c r="G211" s="144">
        <f t="shared" si="15"/>
        <v>10665.980864769455</v>
      </c>
      <c r="H211" s="145">
        <f t="shared" si="16"/>
        <v>1643966.6854158952</v>
      </c>
    </row>
    <row r="212" spans="2:9">
      <c r="B212" s="40"/>
      <c r="C212" s="58">
        <v>196</v>
      </c>
      <c r="D212" s="144">
        <f t="shared" si="14"/>
        <v>1643966.6854158952</v>
      </c>
      <c r="E212" s="144">
        <f t="shared" si="13"/>
        <v>19283.859334981251</v>
      </c>
      <c r="F212" s="144">
        <f t="shared" si="17"/>
        <v>8562.3264865411202</v>
      </c>
      <c r="G212" s="144">
        <f t="shared" si="15"/>
        <v>10721.532848440131</v>
      </c>
      <c r="H212" s="145">
        <f t="shared" si="16"/>
        <v>1633245.1525674551</v>
      </c>
    </row>
    <row r="213" spans="2:9">
      <c r="B213" s="40"/>
      <c r="C213" s="58">
        <v>197</v>
      </c>
      <c r="D213" s="144">
        <f t="shared" si="14"/>
        <v>1633245.1525674551</v>
      </c>
      <c r="E213" s="144">
        <f t="shared" ref="E213:E276" si="18">IF(C213&gt;$C$10,0,IF(C213&lt;=$C$8,F213,-PMT($C$6/12,$C$9,$C$5,0,0)))</f>
        <v>19283.859334981251</v>
      </c>
      <c r="F213" s="144">
        <f t="shared" si="17"/>
        <v>8506.4851696221613</v>
      </c>
      <c r="G213" s="144">
        <f t="shared" si="15"/>
        <v>10777.37416535909</v>
      </c>
      <c r="H213" s="145">
        <f t="shared" si="16"/>
        <v>1622467.7784020959</v>
      </c>
    </row>
    <row r="214" spans="2:9">
      <c r="B214" s="40"/>
      <c r="C214" s="58">
        <v>198</v>
      </c>
      <c r="D214" s="144">
        <f t="shared" ref="D214:D277" si="19">IF(C214&gt;$C$10,0,H213)</f>
        <v>1622467.7784020959</v>
      </c>
      <c r="E214" s="144">
        <f t="shared" si="18"/>
        <v>19283.859334981251</v>
      </c>
      <c r="F214" s="144">
        <f t="shared" si="17"/>
        <v>8450.3530125109155</v>
      </c>
      <c r="G214" s="144">
        <f t="shared" si="15"/>
        <v>10833.506322470335</v>
      </c>
      <c r="H214" s="145">
        <f t="shared" si="16"/>
        <v>1611634.2720796256</v>
      </c>
    </row>
    <row r="215" spans="2:9">
      <c r="B215" s="40"/>
      <c r="C215" s="58">
        <v>199</v>
      </c>
      <c r="D215" s="144">
        <f t="shared" si="19"/>
        <v>1611634.2720796256</v>
      </c>
      <c r="E215" s="144">
        <f t="shared" si="18"/>
        <v>19283.859334981251</v>
      </c>
      <c r="F215" s="144">
        <f t="shared" si="17"/>
        <v>8393.9285004147168</v>
      </c>
      <c r="G215" s="144">
        <f t="shared" si="15"/>
        <v>10889.930834566534</v>
      </c>
      <c r="H215" s="145">
        <f t="shared" si="16"/>
        <v>1600744.3412450592</v>
      </c>
    </row>
    <row r="216" spans="2:9">
      <c r="B216" s="40"/>
      <c r="C216" s="58">
        <v>200</v>
      </c>
      <c r="D216" s="144">
        <f t="shared" si="19"/>
        <v>1600744.3412450592</v>
      </c>
      <c r="E216" s="144">
        <f t="shared" si="18"/>
        <v>19283.859334981251</v>
      </c>
      <c r="F216" s="144">
        <f t="shared" si="17"/>
        <v>8337.2101106513492</v>
      </c>
      <c r="G216" s="144">
        <f t="shared" si="15"/>
        <v>10946.649224329902</v>
      </c>
      <c r="H216" s="145">
        <f t="shared" si="16"/>
        <v>1589797.6920207292</v>
      </c>
    </row>
    <row r="217" spans="2:9">
      <c r="B217" s="40"/>
      <c r="C217" s="58">
        <v>201</v>
      </c>
      <c r="D217" s="144">
        <f t="shared" si="19"/>
        <v>1589797.6920207292</v>
      </c>
      <c r="E217" s="144">
        <f t="shared" si="18"/>
        <v>19283.859334981251</v>
      </c>
      <c r="F217" s="144">
        <f t="shared" si="17"/>
        <v>8280.1963126079645</v>
      </c>
      <c r="G217" s="144">
        <f t="shared" si="15"/>
        <v>11003.663022373286</v>
      </c>
      <c r="H217" s="145">
        <f t="shared" si="16"/>
        <v>1578794.0289983558</v>
      </c>
    </row>
    <row r="218" spans="2:9">
      <c r="B218" s="40"/>
      <c r="C218" s="58">
        <v>202</v>
      </c>
      <c r="D218" s="144">
        <f t="shared" si="19"/>
        <v>1578794.0289983558</v>
      </c>
      <c r="E218" s="144">
        <f t="shared" si="18"/>
        <v>19283.859334981251</v>
      </c>
      <c r="F218" s="144">
        <f t="shared" si="17"/>
        <v>8222.88556769977</v>
      </c>
      <c r="G218" s="144">
        <f t="shared" si="15"/>
        <v>11060.973767281481</v>
      </c>
      <c r="H218" s="145">
        <f t="shared" si="16"/>
        <v>1567733.0552310743</v>
      </c>
    </row>
    <row r="219" spans="2:9">
      <c r="B219" s="40"/>
      <c r="C219" s="58">
        <v>203</v>
      </c>
      <c r="D219" s="144">
        <f t="shared" si="19"/>
        <v>1567733.0552310743</v>
      </c>
      <c r="E219" s="144">
        <f t="shared" si="18"/>
        <v>19283.859334981251</v>
      </c>
      <c r="F219" s="144">
        <f t="shared" si="17"/>
        <v>8165.2763293285116</v>
      </c>
      <c r="G219" s="144">
        <f t="shared" si="15"/>
        <v>11118.583005652739</v>
      </c>
      <c r="H219" s="145">
        <f t="shared" si="16"/>
        <v>1556614.4722254216</v>
      </c>
    </row>
    <row r="220" spans="2:9">
      <c r="B220" s="46">
        <v>17</v>
      </c>
      <c r="C220" s="147">
        <v>204</v>
      </c>
      <c r="D220" s="157">
        <f t="shared" si="19"/>
        <v>1556614.4722254216</v>
      </c>
      <c r="E220" s="157">
        <f t="shared" si="18"/>
        <v>19283.859334981251</v>
      </c>
      <c r="F220" s="157">
        <f t="shared" si="17"/>
        <v>8107.3670428407368</v>
      </c>
      <c r="G220" s="157">
        <f t="shared" si="15"/>
        <v>11176.492292140514</v>
      </c>
      <c r="H220" s="158">
        <f t="shared" si="16"/>
        <v>1545437.979933281</v>
      </c>
      <c r="I220" s="148">
        <f>+SUM(G209:G220)+SUM(F209:F220)</f>
        <v>231406.31201977501</v>
      </c>
    </row>
    <row r="221" spans="2:9">
      <c r="B221" s="187"/>
      <c r="C221" s="188">
        <v>205</v>
      </c>
      <c r="D221" s="189">
        <f t="shared" si="19"/>
        <v>1545437.979933281</v>
      </c>
      <c r="E221" s="189">
        <f t="shared" si="18"/>
        <v>19283.859334981251</v>
      </c>
      <c r="F221" s="189">
        <f t="shared" si="17"/>
        <v>8049.1561454858384</v>
      </c>
      <c r="G221" s="189">
        <f t="shared" si="15"/>
        <v>11234.703189495413</v>
      </c>
      <c r="H221" s="190">
        <f t="shared" si="16"/>
        <v>1534203.2767437855</v>
      </c>
    </row>
    <row r="222" spans="2:9">
      <c r="B222" s="40"/>
      <c r="C222" s="58">
        <v>206</v>
      </c>
      <c r="D222" s="144">
        <f t="shared" si="19"/>
        <v>1534203.2767437855</v>
      </c>
      <c r="E222" s="144">
        <f t="shared" si="18"/>
        <v>19283.859334981251</v>
      </c>
      <c r="F222" s="144">
        <f t="shared" si="17"/>
        <v>7990.6420663738827</v>
      </c>
      <c r="G222" s="144">
        <f t="shared" si="15"/>
        <v>11293.217268607368</v>
      </c>
      <c r="H222" s="145">
        <f t="shared" si="16"/>
        <v>1522910.0594751781</v>
      </c>
    </row>
    <row r="223" spans="2:9">
      <c r="B223" s="40"/>
      <c r="C223" s="58">
        <v>207</v>
      </c>
      <c r="D223" s="144">
        <f t="shared" si="19"/>
        <v>1522910.0594751781</v>
      </c>
      <c r="E223" s="144">
        <f t="shared" si="18"/>
        <v>19283.859334981251</v>
      </c>
      <c r="F223" s="144">
        <f t="shared" si="17"/>
        <v>7931.8232264332191</v>
      </c>
      <c r="G223" s="144">
        <f t="shared" si="15"/>
        <v>11352.036108548033</v>
      </c>
      <c r="H223" s="145">
        <f t="shared" si="16"/>
        <v>1511558.0233666301</v>
      </c>
    </row>
    <row r="224" spans="2:9">
      <c r="B224" s="40"/>
      <c r="C224" s="58">
        <v>208</v>
      </c>
      <c r="D224" s="144">
        <f t="shared" si="19"/>
        <v>1511558.0233666301</v>
      </c>
      <c r="E224" s="144">
        <f t="shared" si="18"/>
        <v>19283.859334981251</v>
      </c>
      <c r="F224" s="144">
        <f t="shared" si="17"/>
        <v>7872.6980383678647</v>
      </c>
      <c r="G224" s="144">
        <f t="shared" si="15"/>
        <v>11411.161296613387</v>
      </c>
      <c r="H224" s="145">
        <f t="shared" si="16"/>
        <v>1500146.8620700168</v>
      </c>
    </row>
    <row r="225" spans="2:9">
      <c r="B225" s="40"/>
      <c r="C225" s="58">
        <v>209</v>
      </c>
      <c r="D225" s="144">
        <f t="shared" si="19"/>
        <v>1500146.8620700168</v>
      </c>
      <c r="E225" s="144">
        <f t="shared" si="18"/>
        <v>19283.859334981251</v>
      </c>
      <c r="F225" s="144">
        <f t="shared" si="17"/>
        <v>7813.2649066146705</v>
      </c>
      <c r="G225" s="144">
        <f t="shared" si="15"/>
        <v>11470.594428366581</v>
      </c>
      <c r="H225" s="145">
        <f t="shared" si="16"/>
        <v>1488676.2676416503</v>
      </c>
    </row>
    <row r="226" spans="2:9">
      <c r="B226" s="40"/>
      <c r="C226" s="58">
        <v>210</v>
      </c>
      <c r="D226" s="144">
        <f t="shared" si="19"/>
        <v>1488676.2676416503</v>
      </c>
      <c r="E226" s="144">
        <f t="shared" si="18"/>
        <v>19283.859334981251</v>
      </c>
      <c r="F226" s="144">
        <f t="shared" si="17"/>
        <v>7753.5222273002619</v>
      </c>
      <c r="G226" s="144">
        <f t="shared" si="15"/>
        <v>11530.337107680989</v>
      </c>
      <c r="H226" s="145">
        <f t="shared" si="16"/>
        <v>1477145.9305339693</v>
      </c>
    </row>
    <row r="227" spans="2:9">
      <c r="B227" s="40"/>
      <c r="C227" s="58">
        <v>211</v>
      </c>
      <c r="D227" s="144">
        <f t="shared" si="19"/>
        <v>1477145.9305339693</v>
      </c>
      <c r="E227" s="144">
        <f t="shared" si="18"/>
        <v>19283.859334981251</v>
      </c>
      <c r="F227" s="144">
        <f t="shared" si="17"/>
        <v>7693.4683881977562</v>
      </c>
      <c r="G227" s="144">
        <f t="shared" si="15"/>
        <v>11590.390946783495</v>
      </c>
      <c r="H227" s="145">
        <f t="shared" si="16"/>
        <v>1465555.5395871857</v>
      </c>
    </row>
    <row r="228" spans="2:9">
      <c r="B228" s="40"/>
      <c r="C228" s="58">
        <v>212</v>
      </c>
      <c r="D228" s="144">
        <f t="shared" si="19"/>
        <v>1465555.5395871857</v>
      </c>
      <c r="E228" s="144">
        <f t="shared" si="18"/>
        <v>19283.859334981251</v>
      </c>
      <c r="F228" s="144">
        <f t="shared" si="17"/>
        <v>7633.1017686832583</v>
      </c>
      <c r="G228" s="144">
        <f t="shared" si="15"/>
        <v>11650.757566297993</v>
      </c>
      <c r="H228" s="145">
        <f t="shared" si="16"/>
        <v>1453904.7820208878</v>
      </c>
    </row>
    <row r="229" spans="2:9">
      <c r="B229" s="40"/>
      <c r="C229" s="58">
        <v>213</v>
      </c>
      <c r="D229" s="144">
        <f t="shared" si="19"/>
        <v>1453904.7820208878</v>
      </c>
      <c r="E229" s="144">
        <f t="shared" si="18"/>
        <v>19283.859334981251</v>
      </c>
      <c r="F229" s="144">
        <f t="shared" si="17"/>
        <v>7572.4207396921238</v>
      </c>
      <c r="G229" s="144">
        <f t="shared" si="15"/>
        <v>11711.438595289128</v>
      </c>
      <c r="H229" s="145">
        <f t="shared" si="16"/>
        <v>1442193.3434255987</v>
      </c>
    </row>
    <row r="230" spans="2:9">
      <c r="B230" s="40"/>
      <c r="C230" s="58">
        <v>214</v>
      </c>
      <c r="D230" s="144">
        <f t="shared" si="19"/>
        <v>1442193.3434255987</v>
      </c>
      <c r="E230" s="144">
        <f t="shared" si="18"/>
        <v>19283.859334981251</v>
      </c>
      <c r="F230" s="144">
        <f t="shared" si="17"/>
        <v>7511.4236636749929</v>
      </c>
      <c r="G230" s="144">
        <f t="shared" si="15"/>
        <v>11772.435671306259</v>
      </c>
      <c r="H230" s="145">
        <f t="shared" si="16"/>
        <v>1430420.9077542925</v>
      </c>
    </row>
    <row r="231" spans="2:9">
      <c r="B231" s="40"/>
      <c r="C231" s="58">
        <v>215</v>
      </c>
      <c r="D231" s="144">
        <f t="shared" si="19"/>
        <v>1430420.9077542925</v>
      </c>
      <c r="E231" s="144">
        <f t="shared" si="18"/>
        <v>19283.859334981251</v>
      </c>
      <c r="F231" s="144">
        <f t="shared" si="17"/>
        <v>7450.1088945536067</v>
      </c>
      <c r="G231" s="144">
        <f t="shared" si="15"/>
        <v>11833.750440427644</v>
      </c>
      <c r="H231" s="145">
        <f t="shared" si="16"/>
        <v>1418587.1573138649</v>
      </c>
    </row>
    <row r="232" spans="2:9">
      <c r="B232" s="46">
        <v>18</v>
      </c>
      <c r="C232" s="147">
        <v>216</v>
      </c>
      <c r="D232" s="157">
        <f t="shared" si="19"/>
        <v>1418587.1573138649</v>
      </c>
      <c r="E232" s="157">
        <f t="shared" si="18"/>
        <v>19283.859334981251</v>
      </c>
      <c r="F232" s="157">
        <f t="shared" si="17"/>
        <v>7388.4747776763797</v>
      </c>
      <c r="G232" s="157">
        <f t="shared" si="15"/>
        <v>11895.384557304871</v>
      </c>
      <c r="H232" s="158">
        <f t="shared" si="16"/>
        <v>1406691.77275656</v>
      </c>
      <c r="I232" s="148">
        <f>+SUM(G221:G232)+SUM(F221:F232)</f>
        <v>231406.31201977501</v>
      </c>
    </row>
    <row r="233" spans="2:9">
      <c r="B233" s="187"/>
      <c r="C233" s="188">
        <v>217</v>
      </c>
      <c r="D233" s="189">
        <f t="shared" si="19"/>
        <v>1406691.77275656</v>
      </c>
      <c r="E233" s="189">
        <f t="shared" si="18"/>
        <v>19283.859334981251</v>
      </c>
      <c r="F233" s="189">
        <f t="shared" si="17"/>
        <v>7326.5196497737497</v>
      </c>
      <c r="G233" s="189">
        <f t="shared" si="15"/>
        <v>11957.339685207502</v>
      </c>
      <c r="H233" s="190">
        <f t="shared" si="16"/>
        <v>1394734.4330713525</v>
      </c>
    </row>
    <row r="234" spans="2:9">
      <c r="B234" s="40"/>
      <c r="C234" s="58">
        <v>218</v>
      </c>
      <c r="D234" s="144">
        <f t="shared" si="19"/>
        <v>1394734.4330713525</v>
      </c>
      <c r="E234" s="144">
        <f t="shared" si="18"/>
        <v>19283.859334981251</v>
      </c>
      <c r="F234" s="144">
        <f t="shared" si="17"/>
        <v>7264.2418389132945</v>
      </c>
      <c r="G234" s="144">
        <f t="shared" si="15"/>
        <v>12019.617496067956</v>
      </c>
      <c r="H234" s="145">
        <f t="shared" si="16"/>
        <v>1382714.8155752847</v>
      </c>
    </row>
    <row r="235" spans="2:9">
      <c r="B235" s="40"/>
      <c r="C235" s="58">
        <v>219</v>
      </c>
      <c r="D235" s="144">
        <f t="shared" si="19"/>
        <v>1382714.8155752847</v>
      </c>
      <c r="E235" s="144">
        <f t="shared" si="18"/>
        <v>19283.859334981251</v>
      </c>
      <c r="F235" s="144">
        <f t="shared" si="17"/>
        <v>7201.6396644546076</v>
      </c>
      <c r="G235" s="144">
        <f t="shared" si="15"/>
        <v>12082.219670526643</v>
      </c>
      <c r="H235" s="145">
        <f t="shared" si="16"/>
        <v>1370632.595904758</v>
      </c>
    </row>
    <row r="236" spans="2:9">
      <c r="B236" s="40"/>
      <c r="C236" s="58">
        <v>220</v>
      </c>
      <c r="D236" s="144">
        <f t="shared" si="19"/>
        <v>1370632.595904758</v>
      </c>
      <c r="E236" s="144">
        <f t="shared" si="18"/>
        <v>19283.859334981251</v>
      </c>
      <c r="F236" s="144">
        <f t="shared" si="17"/>
        <v>7138.7114370039471</v>
      </c>
      <c r="G236" s="144">
        <f t="shared" si="15"/>
        <v>12145.147897977304</v>
      </c>
      <c r="H236" s="145">
        <f t="shared" si="16"/>
        <v>1358487.4480067806</v>
      </c>
    </row>
    <row r="237" spans="2:9">
      <c r="B237" s="40"/>
      <c r="C237" s="58">
        <v>221</v>
      </c>
      <c r="D237" s="144">
        <f t="shared" si="19"/>
        <v>1358487.4480067806</v>
      </c>
      <c r="E237" s="144">
        <f t="shared" si="18"/>
        <v>19283.859334981251</v>
      </c>
      <c r="F237" s="144">
        <f t="shared" si="17"/>
        <v>7075.4554583686486</v>
      </c>
      <c r="G237" s="144">
        <f t="shared" si="15"/>
        <v>12208.403876612603</v>
      </c>
      <c r="H237" s="145">
        <f t="shared" si="16"/>
        <v>1346279.0441301679</v>
      </c>
    </row>
    <row r="238" spans="2:9">
      <c r="B238" s="40"/>
      <c r="C238" s="58">
        <v>222</v>
      </c>
      <c r="D238" s="144">
        <f t="shared" si="19"/>
        <v>1346279.0441301679</v>
      </c>
      <c r="E238" s="144">
        <f t="shared" si="18"/>
        <v>19283.859334981251</v>
      </c>
      <c r="F238" s="144">
        <f t="shared" si="17"/>
        <v>7011.8700215112913</v>
      </c>
      <c r="G238" s="144">
        <f t="shared" si="15"/>
        <v>12271.98931346996</v>
      </c>
      <c r="H238" s="145">
        <f t="shared" si="16"/>
        <v>1334007.054816698</v>
      </c>
    </row>
    <row r="239" spans="2:9">
      <c r="B239" s="40"/>
      <c r="C239" s="58">
        <v>223</v>
      </c>
      <c r="D239" s="144">
        <f t="shared" si="19"/>
        <v>1334007.054816698</v>
      </c>
      <c r="E239" s="144">
        <f t="shared" si="18"/>
        <v>19283.859334981251</v>
      </c>
      <c r="F239" s="144">
        <f t="shared" si="17"/>
        <v>6947.9534105036346</v>
      </c>
      <c r="G239" s="144">
        <f t="shared" si="15"/>
        <v>12335.905924477616</v>
      </c>
      <c r="H239" s="145">
        <f t="shared" si="16"/>
        <v>1321671.1488922203</v>
      </c>
    </row>
    <row r="240" spans="2:9">
      <c r="B240" s="40"/>
      <c r="C240" s="58">
        <v>224</v>
      </c>
      <c r="D240" s="144">
        <f t="shared" si="19"/>
        <v>1321671.1488922203</v>
      </c>
      <c r="E240" s="144">
        <f t="shared" si="18"/>
        <v>19283.859334981251</v>
      </c>
      <c r="F240" s="144">
        <f t="shared" si="17"/>
        <v>6883.7039004803137</v>
      </c>
      <c r="G240" s="144">
        <f t="shared" si="15"/>
        <v>12400.155434500937</v>
      </c>
      <c r="H240" s="145">
        <f t="shared" si="16"/>
        <v>1309270.9934577195</v>
      </c>
    </row>
    <row r="241" spans="2:9">
      <c r="B241" s="40"/>
      <c r="C241" s="58">
        <v>225</v>
      </c>
      <c r="D241" s="144">
        <f t="shared" si="19"/>
        <v>1309270.9934577195</v>
      </c>
      <c r="E241" s="144">
        <f t="shared" si="18"/>
        <v>19283.859334981251</v>
      </c>
      <c r="F241" s="144">
        <f t="shared" si="17"/>
        <v>6819.1197575922888</v>
      </c>
      <c r="G241" s="144">
        <f t="shared" si="15"/>
        <v>12464.739577388962</v>
      </c>
      <c r="H241" s="145">
        <f t="shared" si="16"/>
        <v>1296806.2538803306</v>
      </c>
    </row>
    <row r="242" spans="2:9">
      <c r="B242" s="40"/>
      <c r="C242" s="58">
        <v>226</v>
      </c>
      <c r="D242" s="144">
        <f t="shared" si="19"/>
        <v>1296806.2538803306</v>
      </c>
      <c r="E242" s="144">
        <f t="shared" si="18"/>
        <v>19283.859334981251</v>
      </c>
      <c r="F242" s="144">
        <f t="shared" si="17"/>
        <v>6754.1992389600546</v>
      </c>
      <c r="G242" s="144">
        <f t="shared" si="15"/>
        <v>12529.660096021196</v>
      </c>
      <c r="H242" s="145">
        <f t="shared" si="16"/>
        <v>1284276.5937843095</v>
      </c>
    </row>
    <row r="243" spans="2:9">
      <c r="B243" s="40"/>
      <c r="C243" s="58">
        <v>227</v>
      </c>
      <c r="D243" s="144">
        <f t="shared" si="19"/>
        <v>1284276.5937843095</v>
      </c>
      <c r="E243" s="144">
        <f t="shared" si="18"/>
        <v>19283.859334981251</v>
      </c>
      <c r="F243" s="144">
        <f t="shared" si="17"/>
        <v>6688.9405926266118</v>
      </c>
      <c r="G243" s="144">
        <f t="shared" si="15"/>
        <v>12594.918742354639</v>
      </c>
      <c r="H243" s="145">
        <f t="shared" si="16"/>
        <v>1271681.6750419547</v>
      </c>
    </row>
    <row r="244" spans="2:9">
      <c r="B244" s="46">
        <v>19</v>
      </c>
      <c r="C244" s="147">
        <v>228</v>
      </c>
      <c r="D244" s="157">
        <f t="shared" si="19"/>
        <v>1271681.6750419547</v>
      </c>
      <c r="E244" s="157">
        <f t="shared" si="18"/>
        <v>19283.859334981251</v>
      </c>
      <c r="F244" s="157">
        <f t="shared" si="17"/>
        <v>6623.3420575101809</v>
      </c>
      <c r="G244" s="157">
        <f t="shared" si="15"/>
        <v>12660.51727747107</v>
      </c>
      <c r="H244" s="158">
        <f t="shared" si="16"/>
        <v>1259021.1577644837</v>
      </c>
      <c r="I244" s="148">
        <f>+SUM(G233:G244)+SUM(F233:F244)</f>
        <v>231406.31201977498</v>
      </c>
    </row>
    <row r="245" spans="2:9">
      <c r="B245" s="187"/>
      <c r="C245" s="188">
        <v>229</v>
      </c>
      <c r="D245" s="189">
        <f t="shared" si="19"/>
        <v>1259021.1577644837</v>
      </c>
      <c r="E245" s="189">
        <f t="shared" si="18"/>
        <v>19283.859334981251</v>
      </c>
      <c r="F245" s="189">
        <f t="shared" si="17"/>
        <v>6557.4018633566857</v>
      </c>
      <c r="G245" s="189">
        <f t="shared" si="15"/>
        <v>12726.457471624566</v>
      </c>
      <c r="H245" s="190">
        <f t="shared" si="16"/>
        <v>1246294.7002928592</v>
      </c>
    </row>
    <row r="246" spans="2:9">
      <c r="B246" s="40"/>
      <c r="C246" s="58">
        <v>230</v>
      </c>
      <c r="D246" s="144">
        <f t="shared" si="19"/>
        <v>1246294.7002928592</v>
      </c>
      <c r="E246" s="144">
        <f t="shared" si="18"/>
        <v>19283.859334981251</v>
      </c>
      <c r="F246" s="144">
        <f t="shared" si="17"/>
        <v>6491.1182306919745</v>
      </c>
      <c r="G246" s="144">
        <f t="shared" si="15"/>
        <v>12792.741104289276</v>
      </c>
      <c r="H246" s="145">
        <f t="shared" si="16"/>
        <v>1233501.95918857</v>
      </c>
    </row>
    <row r="247" spans="2:9">
      <c r="B247" s="40"/>
      <c r="C247" s="58">
        <v>231</v>
      </c>
      <c r="D247" s="144">
        <f t="shared" si="19"/>
        <v>1233501.95918857</v>
      </c>
      <c r="E247" s="144">
        <f t="shared" si="18"/>
        <v>19283.859334981251</v>
      </c>
      <c r="F247" s="144">
        <f t="shared" si="17"/>
        <v>6424.489370773802</v>
      </c>
      <c r="G247" s="144">
        <f t="shared" si="15"/>
        <v>12859.36996420745</v>
      </c>
      <c r="H247" s="145">
        <f t="shared" si="16"/>
        <v>1220642.5892243625</v>
      </c>
    </row>
    <row r="248" spans="2:9">
      <c r="B248" s="40"/>
      <c r="C248" s="58">
        <v>232</v>
      </c>
      <c r="D248" s="144">
        <f t="shared" si="19"/>
        <v>1220642.5892243625</v>
      </c>
      <c r="E248" s="144">
        <f t="shared" si="18"/>
        <v>19283.859334981251</v>
      </c>
      <c r="F248" s="144">
        <f t="shared" si="17"/>
        <v>6357.5134855435545</v>
      </c>
      <c r="G248" s="144">
        <f t="shared" si="15"/>
        <v>12926.345849437697</v>
      </c>
      <c r="H248" s="145">
        <f t="shared" si="16"/>
        <v>1207716.2433749249</v>
      </c>
    </row>
    <row r="249" spans="2:9">
      <c r="B249" s="40"/>
      <c r="C249" s="58">
        <v>233</v>
      </c>
      <c r="D249" s="144">
        <f t="shared" si="19"/>
        <v>1207716.2433749249</v>
      </c>
      <c r="E249" s="144">
        <f t="shared" si="18"/>
        <v>19283.859334981251</v>
      </c>
      <c r="F249" s="144">
        <f t="shared" si="17"/>
        <v>6290.1887675777334</v>
      </c>
      <c r="G249" s="144">
        <f t="shared" si="15"/>
        <v>12993.670567403518</v>
      </c>
      <c r="H249" s="145">
        <f t="shared" si="16"/>
        <v>1194722.5728075213</v>
      </c>
    </row>
    <row r="250" spans="2:9">
      <c r="B250" s="40"/>
      <c r="C250" s="58">
        <v>234</v>
      </c>
      <c r="D250" s="144">
        <f t="shared" si="19"/>
        <v>1194722.5728075213</v>
      </c>
      <c r="E250" s="144">
        <f t="shared" si="18"/>
        <v>19283.859334981251</v>
      </c>
      <c r="F250" s="144">
        <f t="shared" si="17"/>
        <v>6222.5134000391736</v>
      </c>
      <c r="G250" s="144">
        <f t="shared" si="15"/>
        <v>13061.345934942077</v>
      </c>
      <c r="H250" s="145">
        <f t="shared" si="16"/>
        <v>1181661.2268725792</v>
      </c>
    </row>
    <row r="251" spans="2:9">
      <c r="B251" s="40"/>
      <c r="C251" s="58">
        <v>235</v>
      </c>
      <c r="D251" s="144">
        <f t="shared" si="19"/>
        <v>1181661.2268725792</v>
      </c>
      <c r="E251" s="144">
        <f t="shared" si="18"/>
        <v>19283.859334981251</v>
      </c>
      <c r="F251" s="144">
        <f t="shared" si="17"/>
        <v>6154.4855566280166</v>
      </c>
      <c r="G251" s="144">
        <f t="shared" si="15"/>
        <v>13129.373778353234</v>
      </c>
      <c r="H251" s="145">
        <f t="shared" si="16"/>
        <v>1168531.853094226</v>
      </c>
    </row>
    <row r="252" spans="2:9">
      <c r="B252" s="40"/>
      <c r="C252" s="58">
        <v>236</v>
      </c>
      <c r="D252" s="144">
        <f t="shared" si="19"/>
        <v>1168531.853094226</v>
      </c>
      <c r="E252" s="144">
        <f t="shared" si="18"/>
        <v>19283.859334981251</v>
      </c>
      <c r="F252" s="144">
        <f t="shared" si="17"/>
        <v>6086.1034015324267</v>
      </c>
      <c r="G252" s="144">
        <f t="shared" si="15"/>
        <v>13197.755933448825</v>
      </c>
      <c r="H252" s="145">
        <f t="shared" si="16"/>
        <v>1155334.0971607771</v>
      </c>
    </row>
    <row r="253" spans="2:9">
      <c r="B253" s="40"/>
      <c r="C253" s="58">
        <v>237</v>
      </c>
      <c r="D253" s="144">
        <f t="shared" si="19"/>
        <v>1155334.0971607771</v>
      </c>
      <c r="E253" s="144">
        <f t="shared" si="18"/>
        <v>19283.859334981251</v>
      </c>
      <c r="F253" s="144">
        <f t="shared" si="17"/>
        <v>6017.3650893790473</v>
      </c>
      <c r="G253" s="144">
        <f t="shared" si="15"/>
        <v>13266.494245602204</v>
      </c>
      <c r="H253" s="145">
        <f t="shared" si="16"/>
        <v>1142067.6029151748</v>
      </c>
    </row>
    <row r="254" spans="2:9">
      <c r="B254" s="40"/>
      <c r="C254" s="58">
        <v>238</v>
      </c>
      <c r="D254" s="144">
        <f t="shared" si="19"/>
        <v>1142067.6029151748</v>
      </c>
      <c r="E254" s="144">
        <f t="shared" si="18"/>
        <v>19283.859334981251</v>
      </c>
      <c r="F254" s="144">
        <f t="shared" si="17"/>
        <v>5948.268765183202</v>
      </c>
      <c r="G254" s="144">
        <f t="shared" si="15"/>
        <v>13335.590569798049</v>
      </c>
      <c r="H254" s="145">
        <f t="shared" si="16"/>
        <v>1128732.0123453767</v>
      </c>
    </row>
    <row r="255" spans="2:9">
      <c r="B255" s="40"/>
      <c r="C255" s="58">
        <v>239</v>
      </c>
      <c r="D255" s="144">
        <f t="shared" si="19"/>
        <v>1128732.0123453767</v>
      </c>
      <c r="E255" s="144">
        <f t="shared" si="18"/>
        <v>19283.859334981251</v>
      </c>
      <c r="F255" s="144">
        <f t="shared" si="17"/>
        <v>5878.8125642988362</v>
      </c>
      <c r="G255" s="144">
        <f t="shared" si="15"/>
        <v>13405.046770682415</v>
      </c>
      <c r="H255" s="145">
        <f t="shared" si="16"/>
        <v>1115326.9655746943</v>
      </c>
    </row>
    <row r="256" spans="2:9">
      <c r="B256" s="46">
        <v>20</v>
      </c>
      <c r="C256" s="147">
        <v>240</v>
      </c>
      <c r="D256" s="157">
        <f t="shared" si="19"/>
        <v>1115326.9655746943</v>
      </c>
      <c r="E256" s="157">
        <f t="shared" si="18"/>
        <v>19283.859334981251</v>
      </c>
      <c r="F256" s="157">
        <f t="shared" si="17"/>
        <v>5808.9946123681993</v>
      </c>
      <c r="G256" s="157">
        <f t="shared" si="15"/>
        <v>13474.864722613052</v>
      </c>
      <c r="H256" s="158">
        <f t="shared" si="16"/>
        <v>1101852.1008520813</v>
      </c>
      <c r="I256" s="148">
        <f>+SUM(G245:G256)+SUM(F245:F256)</f>
        <v>231406.31201977498</v>
      </c>
    </row>
    <row r="257" spans="2:9">
      <c r="B257" s="187"/>
      <c r="C257" s="188">
        <v>241</v>
      </c>
      <c r="D257" s="189">
        <f t="shared" si="19"/>
        <v>1101852.1008520813</v>
      </c>
      <c r="E257" s="189">
        <f t="shared" si="18"/>
        <v>19283.859334981251</v>
      </c>
      <c r="F257" s="189">
        <f t="shared" si="17"/>
        <v>5738.8130252712563</v>
      </c>
      <c r="G257" s="189">
        <f t="shared" si="15"/>
        <v>13545.046309709995</v>
      </c>
      <c r="H257" s="190">
        <f t="shared" si="16"/>
        <v>1088307.0545423713</v>
      </c>
    </row>
    <row r="258" spans="2:9">
      <c r="B258" s="40"/>
      <c r="C258" s="58">
        <v>242</v>
      </c>
      <c r="D258" s="144">
        <f t="shared" si="19"/>
        <v>1088307.0545423713</v>
      </c>
      <c r="E258" s="144">
        <f t="shared" si="18"/>
        <v>19283.859334981251</v>
      </c>
      <c r="F258" s="144">
        <f t="shared" si="17"/>
        <v>5668.2659090748502</v>
      </c>
      <c r="G258" s="144">
        <f t="shared" si="15"/>
        <v>13615.593425906402</v>
      </c>
      <c r="H258" s="145">
        <f t="shared" si="16"/>
        <v>1074691.4611164648</v>
      </c>
    </row>
    <row r="259" spans="2:9">
      <c r="B259" s="40"/>
      <c r="C259" s="58">
        <v>243</v>
      </c>
      <c r="D259" s="144">
        <f t="shared" si="19"/>
        <v>1074691.4611164648</v>
      </c>
      <c r="E259" s="144">
        <f t="shared" si="18"/>
        <v>19283.859334981251</v>
      </c>
      <c r="F259" s="144">
        <f t="shared" si="17"/>
        <v>5597.3513599815869</v>
      </c>
      <c r="G259" s="144">
        <f t="shared" si="15"/>
        <v>13686.507974999664</v>
      </c>
      <c r="H259" s="145">
        <f t="shared" si="16"/>
        <v>1061004.9531414651</v>
      </c>
    </row>
    <row r="260" spans="2:9">
      <c r="B260" s="40"/>
      <c r="C260" s="58">
        <v>244</v>
      </c>
      <c r="D260" s="144">
        <f t="shared" si="19"/>
        <v>1061004.9531414651</v>
      </c>
      <c r="E260" s="144">
        <f t="shared" si="18"/>
        <v>19283.859334981251</v>
      </c>
      <c r="F260" s="144">
        <f t="shared" si="17"/>
        <v>5526.0674642784634</v>
      </c>
      <c r="G260" s="144">
        <f t="shared" si="15"/>
        <v>13757.791870702787</v>
      </c>
      <c r="H260" s="145">
        <f t="shared" si="16"/>
        <v>1047247.1612707623</v>
      </c>
    </row>
    <row r="261" spans="2:9">
      <c r="B261" s="40"/>
      <c r="C261" s="58">
        <v>245</v>
      </c>
      <c r="D261" s="144">
        <f t="shared" si="19"/>
        <v>1047247.1612707623</v>
      </c>
      <c r="E261" s="144">
        <f t="shared" si="18"/>
        <v>19283.859334981251</v>
      </c>
      <c r="F261" s="144">
        <f t="shared" si="17"/>
        <v>5454.4122982852205</v>
      </c>
      <c r="G261" s="144">
        <f t="shared" si="15"/>
        <v>13829.44703669603</v>
      </c>
      <c r="H261" s="145">
        <f t="shared" si="16"/>
        <v>1033417.7142340663</v>
      </c>
    </row>
    <row r="262" spans="2:9">
      <c r="B262" s="40"/>
      <c r="C262" s="58">
        <v>246</v>
      </c>
      <c r="D262" s="144">
        <f t="shared" si="19"/>
        <v>1033417.7142340663</v>
      </c>
      <c r="E262" s="144">
        <f t="shared" si="18"/>
        <v>19283.859334981251</v>
      </c>
      <c r="F262" s="144">
        <f t="shared" si="17"/>
        <v>5382.3839283024281</v>
      </c>
      <c r="G262" s="144">
        <f t="shared" si="15"/>
        <v>13901.475406678823</v>
      </c>
      <c r="H262" s="145">
        <f t="shared" si="16"/>
        <v>1019516.2388273875</v>
      </c>
    </row>
    <row r="263" spans="2:9">
      <c r="B263" s="40"/>
      <c r="C263" s="58">
        <v>247</v>
      </c>
      <c r="D263" s="144">
        <f t="shared" si="19"/>
        <v>1019516.2388273875</v>
      </c>
      <c r="E263" s="144">
        <f t="shared" si="18"/>
        <v>19283.859334981251</v>
      </c>
      <c r="F263" s="144">
        <f t="shared" si="17"/>
        <v>5309.9804105593093</v>
      </c>
      <c r="G263" s="144">
        <f t="shared" si="15"/>
        <v>13973.878924421941</v>
      </c>
      <c r="H263" s="145">
        <f t="shared" si="16"/>
        <v>1005542.3599029655</v>
      </c>
    </row>
    <row r="264" spans="2:9">
      <c r="B264" s="40"/>
      <c r="C264" s="58">
        <v>248</v>
      </c>
      <c r="D264" s="144">
        <f t="shared" si="19"/>
        <v>1005542.3599029655</v>
      </c>
      <c r="E264" s="144">
        <f t="shared" si="18"/>
        <v>19283.859334981251</v>
      </c>
      <c r="F264" s="144">
        <f t="shared" si="17"/>
        <v>5237.199791161278</v>
      </c>
      <c r="G264" s="144">
        <f t="shared" si="15"/>
        <v>14046.659543819973</v>
      </c>
      <c r="H264" s="145">
        <f t="shared" si="16"/>
        <v>991495.70035914553</v>
      </c>
    </row>
    <row r="265" spans="2:9">
      <c r="B265" s="40"/>
      <c r="C265" s="58">
        <v>249</v>
      </c>
      <c r="D265" s="144">
        <f t="shared" si="19"/>
        <v>991495.70035914553</v>
      </c>
      <c r="E265" s="144">
        <f t="shared" si="18"/>
        <v>19283.859334981251</v>
      </c>
      <c r="F265" s="144">
        <f t="shared" si="17"/>
        <v>5164.040106037216</v>
      </c>
      <c r="G265" s="144">
        <f t="shared" si="15"/>
        <v>14119.819228944034</v>
      </c>
      <c r="H265" s="145">
        <f t="shared" si="16"/>
        <v>977375.88113020151</v>
      </c>
    </row>
    <row r="266" spans="2:9">
      <c r="B266" s="40"/>
      <c r="C266" s="58">
        <v>250</v>
      </c>
      <c r="D266" s="144">
        <f t="shared" si="19"/>
        <v>977375.88113020151</v>
      </c>
      <c r="E266" s="144">
        <f t="shared" si="18"/>
        <v>19283.859334981251</v>
      </c>
      <c r="F266" s="144">
        <f t="shared" si="17"/>
        <v>5090.4993808864656</v>
      </c>
      <c r="G266" s="144">
        <f t="shared" si="15"/>
        <v>14193.359954094785</v>
      </c>
      <c r="H266" s="145">
        <f t="shared" si="16"/>
        <v>963182.52117610676</v>
      </c>
    </row>
    <row r="267" spans="2:9">
      <c r="B267" s="40"/>
      <c r="C267" s="58">
        <v>251</v>
      </c>
      <c r="D267" s="144">
        <f t="shared" si="19"/>
        <v>963182.52117610676</v>
      </c>
      <c r="E267" s="144">
        <f t="shared" si="18"/>
        <v>19283.859334981251</v>
      </c>
      <c r="F267" s="144">
        <f t="shared" si="17"/>
        <v>5016.5756311255554</v>
      </c>
      <c r="G267" s="144">
        <f t="shared" si="15"/>
        <v>14267.283703855695</v>
      </c>
      <c r="H267" s="145">
        <f t="shared" si="16"/>
        <v>948915.23747225106</v>
      </c>
    </row>
    <row r="268" spans="2:9">
      <c r="B268" s="46">
        <v>21</v>
      </c>
      <c r="C268" s="147">
        <v>252</v>
      </c>
      <c r="D268" s="157">
        <f t="shared" si="19"/>
        <v>948915.23747225106</v>
      </c>
      <c r="E268" s="157">
        <f t="shared" si="18"/>
        <v>19283.859334981251</v>
      </c>
      <c r="F268" s="157">
        <f t="shared" si="17"/>
        <v>4942.2668618346406</v>
      </c>
      <c r="G268" s="157">
        <f t="shared" si="15"/>
        <v>14341.592473146611</v>
      </c>
      <c r="H268" s="158">
        <f t="shared" si="16"/>
        <v>934573.64499910444</v>
      </c>
      <c r="I268" s="148">
        <f>+SUM(G257:G268)+SUM(F257:F268)</f>
        <v>231406.31201977501</v>
      </c>
    </row>
    <row r="269" spans="2:9">
      <c r="B269" s="187"/>
      <c r="C269" s="188">
        <v>253</v>
      </c>
      <c r="D269" s="189">
        <f t="shared" si="19"/>
        <v>934573.64499910444</v>
      </c>
      <c r="E269" s="189">
        <f t="shared" si="18"/>
        <v>19283.859334981251</v>
      </c>
      <c r="F269" s="189">
        <f t="shared" si="17"/>
        <v>4867.5710677036686</v>
      </c>
      <c r="G269" s="189">
        <f t="shared" si="15"/>
        <v>14416.288267277581</v>
      </c>
      <c r="H269" s="190">
        <f t="shared" si="16"/>
        <v>920157.35673182691</v>
      </c>
    </row>
    <row r="270" spans="2:9">
      <c r="B270" s="40"/>
      <c r="C270" s="58">
        <v>254</v>
      </c>
      <c r="D270" s="144">
        <f t="shared" si="19"/>
        <v>920157.35673182691</v>
      </c>
      <c r="E270" s="144">
        <f t="shared" si="18"/>
        <v>19283.859334981251</v>
      </c>
      <c r="F270" s="144">
        <f t="shared" si="17"/>
        <v>4792.4862329782645</v>
      </c>
      <c r="G270" s="144">
        <f t="shared" si="15"/>
        <v>14491.373102002986</v>
      </c>
      <c r="H270" s="145">
        <f t="shared" si="16"/>
        <v>905665.9836298239</v>
      </c>
    </row>
    <row r="271" spans="2:9">
      <c r="B271" s="40"/>
      <c r="C271" s="58">
        <v>255</v>
      </c>
      <c r="D271" s="144">
        <f t="shared" si="19"/>
        <v>905665.9836298239</v>
      </c>
      <c r="E271" s="144">
        <f t="shared" si="18"/>
        <v>19283.859334981251</v>
      </c>
      <c r="F271" s="144">
        <f t="shared" si="17"/>
        <v>4717.0103314053322</v>
      </c>
      <c r="G271" s="144">
        <f t="shared" si="15"/>
        <v>14566.849003575919</v>
      </c>
      <c r="H271" s="145">
        <f t="shared" si="16"/>
        <v>891099.13462624792</v>
      </c>
    </row>
    <row r="272" spans="2:9">
      <c r="B272" s="40"/>
      <c r="C272" s="58">
        <v>256</v>
      </c>
      <c r="D272" s="144">
        <f t="shared" si="19"/>
        <v>891099.13462624792</v>
      </c>
      <c r="E272" s="144">
        <f t="shared" si="18"/>
        <v>19283.859334981251</v>
      </c>
      <c r="F272" s="144">
        <f t="shared" si="17"/>
        <v>4641.1413261783746</v>
      </c>
      <c r="G272" s="144">
        <f t="shared" si="15"/>
        <v>14642.718008802876</v>
      </c>
      <c r="H272" s="145">
        <f t="shared" si="16"/>
        <v>876456.41661744507</v>
      </c>
    </row>
    <row r="273" spans="2:9">
      <c r="B273" s="40"/>
      <c r="C273" s="58">
        <v>257</v>
      </c>
      <c r="D273" s="144">
        <f t="shared" si="19"/>
        <v>876456.41661744507</v>
      </c>
      <c r="E273" s="144">
        <f t="shared" si="18"/>
        <v>19283.859334981251</v>
      </c>
      <c r="F273" s="144">
        <f t="shared" si="17"/>
        <v>4564.8771698825258</v>
      </c>
      <c r="G273" s="144">
        <f t="shared" ref="G273:G336" si="20">E273-F273</f>
        <v>14718.982165098725</v>
      </c>
      <c r="H273" s="145">
        <f t="shared" ref="H273:H336" si="21">D273-G273</f>
        <v>861737.43445234629</v>
      </c>
    </row>
    <row r="274" spans="2:9">
      <c r="B274" s="40"/>
      <c r="C274" s="58">
        <v>258</v>
      </c>
      <c r="D274" s="144">
        <f t="shared" si="19"/>
        <v>861737.43445234629</v>
      </c>
      <c r="E274" s="144">
        <f t="shared" si="18"/>
        <v>19283.859334981251</v>
      </c>
      <c r="F274" s="144">
        <f t="shared" ref="F274:F337" si="22">IF(C274&gt;$C$10,0,($C$6/12)*H273)</f>
        <v>4488.2158044393036</v>
      </c>
      <c r="G274" s="144">
        <f t="shared" si="20"/>
        <v>14795.643530541947</v>
      </c>
      <c r="H274" s="145">
        <f t="shared" si="21"/>
        <v>846941.79092180438</v>
      </c>
    </row>
    <row r="275" spans="2:9">
      <c r="B275" s="40"/>
      <c r="C275" s="58">
        <v>259</v>
      </c>
      <c r="D275" s="144">
        <f t="shared" si="19"/>
        <v>846941.79092180438</v>
      </c>
      <c r="E275" s="144">
        <f t="shared" si="18"/>
        <v>19283.859334981251</v>
      </c>
      <c r="F275" s="144">
        <f t="shared" si="22"/>
        <v>4411.1551610510642</v>
      </c>
      <c r="G275" s="144">
        <f t="shared" si="20"/>
        <v>14872.704173930186</v>
      </c>
      <c r="H275" s="145">
        <f t="shared" si="21"/>
        <v>832069.08674787416</v>
      </c>
    </row>
    <row r="276" spans="2:9">
      <c r="B276" s="40"/>
      <c r="C276" s="58">
        <v>260</v>
      </c>
      <c r="D276" s="144">
        <f t="shared" si="19"/>
        <v>832069.08674787416</v>
      </c>
      <c r="E276" s="144">
        <f t="shared" si="18"/>
        <v>19283.859334981251</v>
      </c>
      <c r="F276" s="144">
        <f t="shared" si="22"/>
        <v>4333.6931601451779</v>
      </c>
      <c r="G276" s="144">
        <f t="shared" si="20"/>
        <v>14950.166174836073</v>
      </c>
      <c r="H276" s="145">
        <f t="shared" si="21"/>
        <v>817118.92057303805</v>
      </c>
    </row>
    <row r="277" spans="2:9">
      <c r="B277" s="40"/>
      <c r="C277" s="58">
        <v>261</v>
      </c>
      <c r="D277" s="144">
        <f t="shared" si="19"/>
        <v>817118.92057303805</v>
      </c>
      <c r="E277" s="144">
        <f t="shared" ref="E277:E340" si="23">IF(C277&gt;$C$10,0,IF(C277&lt;=$C$8,F277,-PMT($C$6/12,$C$9,$C$5,0,0)))</f>
        <v>19283.859334981251</v>
      </c>
      <c r="F277" s="144">
        <f t="shared" si="22"/>
        <v>4255.8277113179065</v>
      </c>
      <c r="G277" s="144">
        <f t="shared" si="20"/>
        <v>15028.031623663344</v>
      </c>
      <c r="H277" s="145">
        <f t="shared" si="21"/>
        <v>802090.88894937467</v>
      </c>
    </row>
    <row r="278" spans="2:9">
      <c r="B278" s="40"/>
      <c r="C278" s="58">
        <v>262</v>
      </c>
      <c r="D278" s="144">
        <f t="shared" ref="D278:D341" si="24">IF(C278&gt;$C$10,0,H277)</f>
        <v>802090.88894937467</v>
      </c>
      <c r="E278" s="144">
        <f t="shared" si="23"/>
        <v>19283.859334981251</v>
      </c>
      <c r="F278" s="144">
        <f t="shared" si="22"/>
        <v>4177.5567132779925</v>
      </c>
      <c r="G278" s="144">
        <f t="shared" si="20"/>
        <v>15106.302621703258</v>
      </c>
      <c r="H278" s="145">
        <f t="shared" si="21"/>
        <v>786984.58632767142</v>
      </c>
    </row>
    <row r="279" spans="2:9">
      <c r="B279" s="40"/>
      <c r="C279" s="58">
        <v>263</v>
      </c>
      <c r="D279" s="144">
        <f t="shared" si="24"/>
        <v>786984.58632767142</v>
      </c>
      <c r="E279" s="144">
        <f t="shared" si="23"/>
        <v>19283.859334981251</v>
      </c>
      <c r="F279" s="144">
        <f t="shared" si="22"/>
        <v>4098.8780537899547</v>
      </c>
      <c r="G279" s="144">
        <f t="shared" si="20"/>
        <v>15184.981281191296</v>
      </c>
      <c r="H279" s="145">
        <f t="shared" si="21"/>
        <v>771799.60504648008</v>
      </c>
    </row>
    <row r="280" spans="2:9">
      <c r="B280" s="46">
        <v>22</v>
      </c>
      <c r="C280" s="147">
        <v>264</v>
      </c>
      <c r="D280" s="157">
        <f t="shared" si="24"/>
        <v>771799.60504648008</v>
      </c>
      <c r="E280" s="157">
        <f t="shared" si="23"/>
        <v>19283.859334981251</v>
      </c>
      <c r="F280" s="157">
        <f t="shared" si="22"/>
        <v>4019.7896096170834</v>
      </c>
      <c r="G280" s="157">
        <f t="shared" si="20"/>
        <v>15264.069725364167</v>
      </c>
      <c r="H280" s="158">
        <f t="shared" si="21"/>
        <v>756535.53532111587</v>
      </c>
      <c r="I280" s="148">
        <f>+SUM(G269:G280)+SUM(F269:F280)</f>
        <v>231406.31201977498</v>
      </c>
    </row>
    <row r="281" spans="2:9">
      <c r="B281" s="187"/>
      <c r="C281" s="188">
        <v>265</v>
      </c>
      <c r="D281" s="189">
        <f t="shared" si="24"/>
        <v>756535.53532111587</v>
      </c>
      <c r="E281" s="189">
        <f t="shared" si="23"/>
        <v>19283.859334981251</v>
      </c>
      <c r="F281" s="189">
        <f t="shared" si="22"/>
        <v>3940.289246464145</v>
      </c>
      <c r="G281" s="189">
        <f t="shared" si="20"/>
        <v>15343.570088517106</v>
      </c>
      <c r="H281" s="190">
        <f t="shared" si="21"/>
        <v>741191.96523259871</v>
      </c>
    </row>
    <row r="282" spans="2:9">
      <c r="B282" s="40"/>
      <c r="C282" s="58">
        <v>266</v>
      </c>
      <c r="D282" s="144">
        <f t="shared" si="24"/>
        <v>741191.96523259871</v>
      </c>
      <c r="E282" s="144">
        <f t="shared" si="23"/>
        <v>19283.859334981251</v>
      </c>
      <c r="F282" s="144">
        <f t="shared" si="22"/>
        <v>3860.374818919785</v>
      </c>
      <c r="G282" s="144">
        <f t="shared" si="20"/>
        <v>15423.484516061466</v>
      </c>
      <c r="H282" s="145">
        <f t="shared" si="21"/>
        <v>725768.48071653722</v>
      </c>
    </row>
    <row r="283" spans="2:9">
      <c r="B283" s="40"/>
      <c r="C283" s="58">
        <v>267</v>
      </c>
      <c r="D283" s="144">
        <f t="shared" si="24"/>
        <v>725768.48071653722</v>
      </c>
      <c r="E283" s="144">
        <f t="shared" si="23"/>
        <v>19283.859334981251</v>
      </c>
      <c r="F283" s="144">
        <f t="shared" si="22"/>
        <v>3780.0441703986312</v>
      </c>
      <c r="G283" s="144">
        <f t="shared" si="20"/>
        <v>15503.81516458262</v>
      </c>
      <c r="H283" s="145">
        <f t="shared" si="21"/>
        <v>710264.66555195465</v>
      </c>
    </row>
    <row r="284" spans="2:9">
      <c r="B284" s="40"/>
      <c r="C284" s="58">
        <v>268</v>
      </c>
      <c r="D284" s="144">
        <f t="shared" si="24"/>
        <v>710264.66555195465</v>
      </c>
      <c r="E284" s="144">
        <f t="shared" si="23"/>
        <v>19283.859334981251</v>
      </c>
      <c r="F284" s="144">
        <f t="shared" si="22"/>
        <v>3699.295133083097</v>
      </c>
      <c r="G284" s="144">
        <f t="shared" si="20"/>
        <v>15584.564201898154</v>
      </c>
      <c r="H284" s="145">
        <f t="shared" si="21"/>
        <v>694680.10135005647</v>
      </c>
    </row>
    <row r="285" spans="2:9">
      <c r="B285" s="40"/>
      <c r="C285" s="58">
        <v>269</v>
      </c>
      <c r="D285" s="144">
        <f t="shared" si="24"/>
        <v>694680.10135005647</v>
      </c>
      <c r="E285" s="144">
        <f t="shared" si="23"/>
        <v>19283.859334981251</v>
      </c>
      <c r="F285" s="144">
        <f t="shared" si="22"/>
        <v>3618.1255278648773</v>
      </c>
      <c r="G285" s="144">
        <f t="shared" si="20"/>
        <v>15665.733807116374</v>
      </c>
      <c r="H285" s="145">
        <f t="shared" si="21"/>
        <v>679014.36754294008</v>
      </c>
    </row>
    <row r="286" spans="2:9">
      <c r="B286" s="40"/>
      <c r="C286" s="58">
        <v>270</v>
      </c>
      <c r="D286" s="144">
        <f t="shared" si="24"/>
        <v>679014.36754294008</v>
      </c>
      <c r="E286" s="144">
        <f t="shared" si="23"/>
        <v>19283.859334981251</v>
      </c>
      <c r="F286" s="144">
        <f t="shared" si="22"/>
        <v>3536.5331642861461</v>
      </c>
      <c r="G286" s="144">
        <f t="shared" si="20"/>
        <v>15747.326170695105</v>
      </c>
      <c r="H286" s="145">
        <f t="shared" si="21"/>
        <v>663267.04137224494</v>
      </c>
    </row>
    <row r="287" spans="2:9">
      <c r="B287" s="40"/>
      <c r="C287" s="58">
        <v>271</v>
      </c>
      <c r="D287" s="144">
        <f t="shared" si="24"/>
        <v>663267.04137224494</v>
      </c>
      <c r="E287" s="144">
        <f t="shared" si="23"/>
        <v>19283.859334981251</v>
      </c>
      <c r="F287" s="144">
        <f t="shared" si="22"/>
        <v>3454.5158404804424</v>
      </c>
      <c r="G287" s="144">
        <f t="shared" si="20"/>
        <v>15829.343494500808</v>
      </c>
      <c r="H287" s="145">
        <f t="shared" si="21"/>
        <v>647437.6978777441</v>
      </c>
    </row>
    <row r="288" spans="2:9">
      <c r="B288" s="40"/>
      <c r="C288" s="58">
        <v>272</v>
      </c>
      <c r="D288" s="144">
        <f t="shared" si="24"/>
        <v>647437.6978777441</v>
      </c>
      <c r="E288" s="144">
        <f t="shared" si="23"/>
        <v>19283.859334981251</v>
      </c>
      <c r="F288" s="144">
        <f t="shared" si="22"/>
        <v>3372.0713431132504</v>
      </c>
      <c r="G288" s="144">
        <f t="shared" si="20"/>
        <v>15911.787991868001</v>
      </c>
      <c r="H288" s="145">
        <f t="shared" si="21"/>
        <v>631525.90988587611</v>
      </c>
    </row>
    <row r="289" spans="2:9">
      <c r="B289" s="40"/>
      <c r="C289" s="58">
        <v>273</v>
      </c>
      <c r="D289" s="144">
        <f t="shared" si="24"/>
        <v>631525.90988587611</v>
      </c>
      <c r="E289" s="144">
        <f t="shared" si="23"/>
        <v>19283.859334981251</v>
      </c>
      <c r="F289" s="144">
        <f t="shared" si="22"/>
        <v>3289.1974473222713</v>
      </c>
      <c r="G289" s="144">
        <f t="shared" si="20"/>
        <v>15994.66188765898</v>
      </c>
      <c r="H289" s="145">
        <f t="shared" si="21"/>
        <v>615531.24799821712</v>
      </c>
    </row>
    <row r="290" spans="2:9">
      <c r="B290" s="40"/>
      <c r="C290" s="58">
        <v>274</v>
      </c>
      <c r="D290" s="144">
        <f t="shared" si="24"/>
        <v>615531.24799821712</v>
      </c>
      <c r="E290" s="144">
        <f t="shared" si="23"/>
        <v>19283.859334981251</v>
      </c>
      <c r="F290" s="144">
        <f t="shared" si="22"/>
        <v>3205.8919166573805</v>
      </c>
      <c r="G290" s="144">
        <f t="shared" si="20"/>
        <v>16077.967418323871</v>
      </c>
      <c r="H290" s="145">
        <f t="shared" si="21"/>
        <v>599453.28057989327</v>
      </c>
    </row>
    <row r="291" spans="2:9">
      <c r="B291" s="40"/>
      <c r="C291" s="58">
        <v>275</v>
      </c>
      <c r="D291" s="144">
        <f t="shared" si="24"/>
        <v>599453.28057989327</v>
      </c>
      <c r="E291" s="144">
        <f t="shared" si="23"/>
        <v>19283.859334981251</v>
      </c>
      <c r="F291" s="144">
        <f t="shared" si="22"/>
        <v>3122.1525030202774</v>
      </c>
      <c r="G291" s="144">
        <f t="shared" si="20"/>
        <v>16161.706831960973</v>
      </c>
      <c r="H291" s="145">
        <f t="shared" si="21"/>
        <v>583291.57374793233</v>
      </c>
    </row>
    <row r="292" spans="2:9">
      <c r="B292" s="46">
        <v>23</v>
      </c>
      <c r="C292" s="147">
        <v>276</v>
      </c>
      <c r="D292" s="157">
        <f t="shared" si="24"/>
        <v>583291.57374793233</v>
      </c>
      <c r="E292" s="157">
        <f t="shared" si="23"/>
        <v>19283.859334981251</v>
      </c>
      <c r="F292" s="157">
        <f t="shared" si="22"/>
        <v>3037.9769466038142</v>
      </c>
      <c r="G292" s="157">
        <f t="shared" si="20"/>
        <v>16245.882388377437</v>
      </c>
      <c r="H292" s="158">
        <f t="shared" si="21"/>
        <v>567045.69135955488</v>
      </c>
      <c r="I292" s="148">
        <f>+SUM(G281:G292)+SUM(F281:F292)</f>
        <v>231406.31201977501</v>
      </c>
    </row>
    <row r="293" spans="2:9">
      <c r="B293" s="187"/>
      <c r="C293" s="188">
        <v>277</v>
      </c>
      <c r="D293" s="189">
        <f t="shared" si="24"/>
        <v>567045.69135955488</v>
      </c>
      <c r="E293" s="189">
        <f t="shared" si="23"/>
        <v>19283.859334981251</v>
      </c>
      <c r="F293" s="189">
        <f t="shared" si="22"/>
        <v>2953.3629758310149</v>
      </c>
      <c r="G293" s="189">
        <f t="shared" si="20"/>
        <v>16330.496359150236</v>
      </c>
      <c r="H293" s="190">
        <f t="shared" si="21"/>
        <v>550715.19500040461</v>
      </c>
    </row>
    <row r="294" spans="2:9">
      <c r="B294" s="40"/>
      <c r="C294" s="58">
        <v>278</v>
      </c>
      <c r="D294" s="144">
        <f t="shared" si="24"/>
        <v>550715.19500040461</v>
      </c>
      <c r="E294" s="144">
        <f t="shared" si="23"/>
        <v>19283.859334981251</v>
      </c>
      <c r="F294" s="144">
        <f t="shared" si="22"/>
        <v>2868.3083072937739</v>
      </c>
      <c r="G294" s="144">
        <f t="shared" si="20"/>
        <v>16415.551027687477</v>
      </c>
      <c r="H294" s="145">
        <f t="shared" si="21"/>
        <v>534299.64397271711</v>
      </c>
    </row>
    <row r="295" spans="2:9">
      <c r="B295" s="40"/>
      <c r="C295" s="58">
        <v>279</v>
      </c>
      <c r="D295" s="144">
        <f t="shared" si="24"/>
        <v>534299.64397271711</v>
      </c>
      <c r="E295" s="144">
        <f t="shared" si="23"/>
        <v>19283.859334981251</v>
      </c>
      <c r="F295" s="144">
        <f t="shared" si="22"/>
        <v>2782.8106456912346</v>
      </c>
      <c r="G295" s="144">
        <f t="shared" si="20"/>
        <v>16501.048689290015</v>
      </c>
      <c r="H295" s="145">
        <f t="shared" si="21"/>
        <v>517798.5952834271</v>
      </c>
    </row>
    <row r="296" spans="2:9">
      <c r="B296" s="40"/>
      <c r="C296" s="58">
        <v>280</v>
      </c>
      <c r="D296" s="144">
        <f t="shared" si="24"/>
        <v>517798.5952834271</v>
      </c>
      <c r="E296" s="144">
        <f t="shared" si="23"/>
        <v>19283.859334981251</v>
      </c>
      <c r="F296" s="144">
        <f t="shared" si="22"/>
        <v>2696.8676837678495</v>
      </c>
      <c r="G296" s="144">
        <f t="shared" si="20"/>
        <v>16586.9916512134</v>
      </c>
      <c r="H296" s="145">
        <f t="shared" si="21"/>
        <v>501211.60363221372</v>
      </c>
    </row>
    <row r="297" spans="2:9">
      <c r="B297" s="40"/>
      <c r="C297" s="58">
        <v>281</v>
      </c>
      <c r="D297" s="144">
        <f t="shared" si="24"/>
        <v>501211.60363221372</v>
      </c>
      <c r="E297" s="144">
        <f t="shared" si="23"/>
        <v>19283.859334981251</v>
      </c>
      <c r="F297" s="144">
        <f t="shared" si="22"/>
        <v>2610.4771022511131</v>
      </c>
      <c r="G297" s="144">
        <f t="shared" si="20"/>
        <v>16673.382232730139</v>
      </c>
      <c r="H297" s="145">
        <f t="shared" si="21"/>
        <v>484538.22139948356</v>
      </c>
    </row>
    <row r="298" spans="2:9">
      <c r="B298" s="40"/>
      <c r="C298" s="58">
        <v>282</v>
      </c>
      <c r="D298" s="144">
        <f t="shared" si="24"/>
        <v>484538.22139948356</v>
      </c>
      <c r="E298" s="144">
        <f t="shared" si="23"/>
        <v>19283.859334981251</v>
      </c>
      <c r="F298" s="144">
        <f t="shared" si="22"/>
        <v>2523.6365697889769</v>
      </c>
      <c r="G298" s="144">
        <f t="shared" si="20"/>
        <v>16760.222765192273</v>
      </c>
      <c r="H298" s="145">
        <f t="shared" si="21"/>
        <v>467777.99863429129</v>
      </c>
    </row>
    <row r="299" spans="2:9">
      <c r="B299" s="40"/>
      <c r="C299" s="58">
        <v>283</v>
      </c>
      <c r="D299" s="144">
        <f t="shared" si="24"/>
        <v>467777.99863429129</v>
      </c>
      <c r="E299" s="144">
        <f t="shared" si="23"/>
        <v>19283.859334981251</v>
      </c>
      <c r="F299" s="144">
        <f t="shared" si="22"/>
        <v>2436.3437428869338</v>
      </c>
      <c r="G299" s="144">
        <f t="shared" si="20"/>
        <v>16847.515592094318</v>
      </c>
      <c r="H299" s="145">
        <f t="shared" si="21"/>
        <v>450930.48304219695</v>
      </c>
    </row>
    <row r="300" spans="2:9">
      <c r="B300" s="40"/>
      <c r="C300" s="58">
        <v>284</v>
      </c>
      <c r="D300" s="144">
        <f t="shared" si="24"/>
        <v>450930.48304219695</v>
      </c>
      <c r="E300" s="144">
        <f t="shared" si="23"/>
        <v>19283.859334981251</v>
      </c>
      <c r="F300" s="144">
        <f t="shared" si="22"/>
        <v>2348.5962658447756</v>
      </c>
      <c r="G300" s="144">
        <f t="shared" si="20"/>
        <v>16935.263069136476</v>
      </c>
      <c r="H300" s="145">
        <f t="shared" si="21"/>
        <v>433995.21997306048</v>
      </c>
    </row>
    <row r="301" spans="2:9">
      <c r="B301" s="40"/>
      <c r="C301" s="58">
        <v>285</v>
      </c>
      <c r="D301" s="144">
        <f t="shared" si="24"/>
        <v>433995.21997306048</v>
      </c>
      <c r="E301" s="144">
        <f t="shared" si="23"/>
        <v>19283.859334981251</v>
      </c>
      <c r="F301" s="144">
        <f t="shared" si="22"/>
        <v>2260.3917706930233</v>
      </c>
      <c r="G301" s="144">
        <f t="shared" si="20"/>
        <v>17023.467564288228</v>
      </c>
      <c r="H301" s="145">
        <f t="shared" si="21"/>
        <v>416971.75240877224</v>
      </c>
    </row>
    <row r="302" spans="2:9">
      <c r="B302" s="40"/>
      <c r="C302" s="58">
        <v>286</v>
      </c>
      <c r="D302" s="144">
        <f t="shared" si="24"/>
        <v>416971.75240877224</v>
      </c>
      <c r="E302" s="144">
        <f t="shared" si="23"/>
        <v>19283.859334981251</v>
      </c>
      <c r="F302" s="144">
        <f t="shared" si="22"/>
        <v>2171.7278771290221</v>
      </c>
      <c r="G302" s="144">
        <f t="shared" si="20"/>
        <v>17112.131457852229</v>
      </c>
      <c r="H302" s="145">
        <f t="shared" si="21"/>
        <v>399859.62095092004</v>
      </c>
    </row>
    <row r="303" spans="2:9">
      <c r="B303" s="40"/>
      <c r="C303" s="58">
        <v>287</v>
      </c>
      <c r="D303" s="144">
        <f t="shared" si="24"/>
        <v>399859.62095092004</v>
      </c>
      <c r="E303" s="144">
        <f t="shared" si="23"/>
        <v>19283.859334981251</v>
      </c>
      <c r="F303" s="144">
        <f t="shared" si="22"/>
        <v>2082.6021924527086</v>
      </c>
      <c r="G303" s="144">
        <f t="shared" si="20"/>
        <v>17201.257142528542</v>
      </c>
      <c r="H303" s="145">
        <f t="shared" si="21"/>
        <v>382658.3638083915</v>
      </c>
    </row>
    <row r="304" spans="2:9">
      <c r="B304" s="46">
        <v>24</v>
      </c>
      <c r="C304" s="147">
        <v>288</v>
      </c>
      <c r="D304" s="157">
        <f t="shared" si="24"/>
        <v>382658.3638083915</v>
      </c>
      <c r="E304" s="157">
        <f t="shared" si="23"/>
        <v>19283.859334981251</v>
      </c>
      <c r="F304" s="157">
        <f t="shared" si="22"/>
        <v>1993.012311502039</v>
      </c>
      <c r="G304" s="157">
        <f t="shared" si="20"/>
        <v>17290.847023479211</v>
      </c>
      <c r="H304" s="158">
        <f t="shared" si="21"/>
        <v>365367.51678491227</v>
      </c>
      <c r="I304" s="148">
        <f>+SUM(G293:G304)+SUM(F293:F304)</f>
        <v>231406.31201977501</v>
      </c>
    </row>
    <row r="305" spans="2:9">
      <c r="B305" s="187"/>
      <c r="C305" s="188">
        <v>289</v>
      </c>
      <c r="D305" s="189">
        <f t="shared" si="24"/>
        <v>365367.51678491227</v>
      </c>
      <c r="E305" s="189">
        <f t="shared" si="23"/>
        <v>19283.859334981251</v>
      </c>
      <c r="F305" s="189">
        <f t="shared" si="22"/>
        <v>1902.9558165880846</v>
      </c>
      <c r="G305" s="189">
        <f t="shared" si="20"/>
        <v>17380.903518393166</v>
      </c>
      <c r="H305" s="190">
        <f t="shared" si="21"/>
        <v>347986.6132665191</v>
      </c>
    </row>
    <row r="306" spans="2:9">
      <c r="B306" s="40"/>
      <c r="C306" s="58">
        <v>290</v>
      </c>
      <c r="D306" s="144">
        <f t="shared" si="24"/>
        <v>347986.6132665191</v>
      </c>
      <c r="E306" s="144">
        <f t="shared" si="23"/>
        <v>19283.859334981251</v>
      </c>
      <c r="F306" s="144">
        <f t="shared" si="22"/>
        <v>1812.4302774297869</v>
      </c>
      <c r="G306" s="144">
        <f t="shared" si="20"/>
        <v>17471.429057551464</v>
      </c>
      <c r="H306" s="145">
        <f t="shared" si="21"/>
        <v>330515.18420896761</v>
      </c>
    </row>
    <row r="307" spans="2:9">
      <c r="B307" s="40"/>
      <c r="C307" s="58">
        <v>291</v>
      </c>
      <c r="D307" s="144">
        <f t="shared" si="24"/>
        <v>330515.18420896761</v>
      </c>
      <c r="E307" s="144">
        <f t="shared" si="23"/>
        <v>19283.859334981251</v>
      </c>
      <c r="F307" s="144">
        <f t="shared" si="22"/>
        <v>1721.4332510883728</v>
      </c>
      <c r="G307" s="144">
        <f t="shared" si="20"/>
        <v>17562.426083892879</v>
      </c>
      <c r="H307" s="145">
        <f t="shared" si="21"/>
        <v>312952.75812507473</v>
      </c>
    </row>
    <row r="308" spans="2:9">
      <c r="B308" s="40"/>
      <c r="C308" s="58">
        <v>292</v>
      </c>
      <c r="D308" s="144">
        <f t="shared" si="24"/>
        <v>312952.75812507473</v>
      </c>
      <c r="E308" s="144">
        <f t="shared" si="23"/>
        <v>19283.859334981251</v>
      </c>
      <c r="F308" s="144">
        <f t="shared" si="22"/>
        <v>1629.9622819014307</v>
      </c>
      <c r="G308" s="144">
        <f t="shared" si="20"/>
        <v>17653.897053079821</v>
      </c>
      <c r="H308" s="145">
        <f t="shared" si="21"/>
        <v>295298.86107199494</v>
      </c>
    </row>
    <row r="309" spans="2:9">
      <c r="B309" s="40"/>
      <c r="C309" s="58">
        <v>293</v>
      </c>
      <c r="D309" s="144">
        <f t="shared" si="24"/>
        <v>295298.86107199494</v>
      </c>
      <c r="E309" s="144">
        <f t="shared" si="23"/>
        <v>19283.859334981251</v>
      </c>
      <c r="F309" s="144">
        <f t="shared" si="22"/>
        <v>1538.0149014166402</v>
      </c>
      <c r="G309" s="144">
        <f t="shared" si="20"/>
        <v>17745.844433564609</v>
      </c>
      <c r="H309" s="145">
        <f t="shared" si="21"/>
        <v>277553.0166384303</v>
      </c>
    </row>
    <row r="310" spans="2:9">
      <c r="B310" s="40"/>
      <c r="C310" s="58">
        <v>294</v>
      </c>
      <c r="D310" s="144">
        <f t="shared" si="24"/>
        <v>277553.0166384303</v>
      </c>
      <c r="E310" s="144">
        <f t="shared" si="23"/>
        <v>19283.859334981251</v>
      </c>
      <c r="F310" s="144">
        <f t="shared" si="22"/>
        <v>1445.5886283251577</v>
      </c>
      <c r="G310" s="144">
        <f t="shared" si="20"/>
        <v>17838.270706656094</v>
      </c>
      <c r="H310" s="145">
        <f t="shared" si="21"/>
        <v>259714.7459317742</v>
      </c>
    </row>
    <row r="311" spans="2:9">
      <c r="B311" s="40"/>
      <c r="C311" s="58">
        <v>295</v>
      </c>
      <c r="D311" s="144">
        <f t="shared" si="24"/>
        <v>259714.7459317742</v>
      </c>
      <c r="E311" s="144">
        <f t="shared" si="23"/>
        <v>19283.859334981251</v>
      </c>
      <c r="F311" s="144">
        <f t="shared" si="22"/>
        <v>1352.6809683946572</v>
      </c>
      <c r="G311" s="144">
        <f t="shared" si="20"/>
        <v>17931.178366586595</v>
      </c>
      <c r="H311" s="145">
        <f t="shared" si="21"/>
        <v>241783.56756518761</v>
      </c>
    </row>
    <row r="312" spans="2:9">
      <c r="B312" s="40"/>
      <c r="C312" s="58">
        <v>296</v>
      </c>
      <c r="D312" s="144">
        <f t="shared" si="24"/>
        <v>241783.56756518761</v>
      </c>
      <c r="E312" s="144">
        <f t="shared" si="23"/>
        <v>19283.859334981251</v>
      </c>
      <c r="F312" s="144">
        <f t="shared" si="22"/>
        <v>1259.2894144020188</v>
      </c>
      <c r="G312" s="144">
        <f t="shared" si="20"/>
        <v>18024.569920579233</v>
      </c>
      <c r="H312" s="145">
        <f t="shared" si="21"/>
        <v>223758.99764460837</v>
      </c>
    </row>
    <row r="313" spans="2:9">
      <c r="B313" s="40"/>
      <c r="C313" s="58">
        <v>297</v>
      </c>
      <c r="D313" s="144">
        <f t="shared" si="24"/>
        <v>223758.99764460837</v>
      </c>
      <c r="E313" s="144">
        <f t="shared" si="23"/>
        <v>19283.859334981251</v>
      </c>
      <c r="F313" s="144">
        <f t="shared" si="22"/>
        <v>1165.4114460656685</v>
      </c>
      <c r="G313" s="144">
        <f t="shared" si="20"/>
        <v>18118.447888915583</v>
      </c>
      <c r="H313" s="145">
        <f t="shared" si="21"/>
        <v>205640.5497556928</v>
      </c>
    </row>
    <row r="314" spans="2:9">
      <c r="B314" s="40"/>
      <c r="C314" s="58">
        <v>298</v>
      </c>
      <c r="D314" s="144">
        <f t="shared" si="24"/>
        <v>205640.5497556928</v>
      </c>
      <c r="E314" s="144">
        <f t="shared" si="23"/>
        <v>19283.859334981251</v>
      </c>
      <c r="F314" s="144">
        <f t="shared" si="22"/>
        <v>1071.0445299775665</v>
      </c>
      <c r="G314" s="144">
        <f t="shared" si="20"/>
        <v>18212.814805003683</v>
      </c>
      <c r="H314" s="145">
        <f t="shared" si="21"/>
        <v>187427.73495068913</v>
      </c>
    </row>
    <row r="315" spans="2:9">
      <c r="B315" s="40"/>
      <c r="C315" s="58">
        <v>299</v>
      </c>
      <c r="D315" s="144">
        <f t="shared" si="24"/>
        <v>187427.73495068913</v>
      </c>
      <c r="E315" s="144">
        <f t="shared" si="23"/>
        <v>19283.859334981251</v>
      </c>
      <c r="F315" s="144">
        <f t="shared" si="22"/>
        <v>976.18611953483924</v>
      </c>
      <c r="G315" s="144">
        <f t="shared" si="20"/>
        <v>18307.673215446412</v>
      </c>
      <c r="H315" s="145">
        <f t="shared" si="21"/>
        <v>169120.06173524272</v>
      </c>
    </row>
    <row r="316" spans="2:9">
      <c r="B316" s="46">
        <v>25</v>
      </c>
      <c r="C316" s="147">
        <v>300</v>
      </c>
      <c r="D316" s="157">
        <f t="shared" si="24"/>
        <v>169120.06173524272</v>
      </c>
      <c r="E316" s="157">
        <f t="shared" si="23"/>
        <v>19283.859334981251</v>
      </c>
      <c r="F316" s="157">
        <f t="shared" si="22"/>
        <v>880.83365487105584</v>
      </c>
      <c r="G316" s="157">
        <f t="shared" si="20"/>
        <v>18403.025680110193</v>
      </c>
      <c r="H316" s="158">
        <f t="shared" si="21"/>
        <v>150717.03605513251</v>
      </c>
      <c r="I316" s="148">
        <f>+SUM(G305:G316)+SUM(F305:F316)</f>
        <v>231406.31201977504</v>
      </c>
    </row>
    <row r="317" spans="2:9">
      <c r="B317" s="187"/>
      <c r="C317" s="188">
        <v>301</v>
      </c>
      <c r="D317" s="189">
        <f t="shared" si="24"/>
        <v>150717.03605513251</v>
      </c>
      <c r="E317" s="189">
        <f t="shared" si="23"/>
        <v>19283.859334981251</v>
      </c>
      <c r="F317" s="189">
        <f t="shared" si="22"/>
        <v>784.98456278714843</v>
      </c>
      <c r="G317" s="189">
        <f t="shared" si="20"/>
        <v>18498.874772194104</v>
      </c>
      <c r="H317" s="190">
        <f t="shared" si="21"/>
        <v>132218.16128293841</v>
      </c>
    </row>
    <row r="318" spans="2:9">
      <c r="B318" s="40"/>
      <c r="C318" s="58">
        <v>302</v>
      </c>
      <c r="D318" s="144">
        <f t="shared" si="24"/>
        <v>132218.16128293841</v>
      </c>
      <c r="E318" s="144">
        <f t="shared" si="23"/>
        <v>19283.859334981251</v>
      </c>
      <c r="F318" s="144">
        <f t="shared" si="22"/>
        <v>688.63625668197085</v>
      </c>
      <c r="G318" s="144">
        <f t="shared" si="20"/>
        <v>18595.223078299281</v>
      </c>
      <c r="H318" s="145">
        <f t="shared" si="21"/>
        <v>113622.93820463913</v>
      </c>
    </row>
    <row r="319" spans="2:9">
      <c r="B319" s="40"/>
      <c r="C319" s="58">
        <v>303</v>
      </c>
      <c r="D319" s="144">
        <f t="shared" si="24"/>
        <v>113622.93820463913</v>
      </c>
      <c r="E319" s="144">
        <f t="shared" si="23"/>
        <v>19283.859334981251</v>
      </c>
      <c r="F319" s="144">
        <f t="shared" si="22"/>
        <v>591.78613648249541</v>
      </c>
      <c r="G319" s="144">
        <f t="shared" si="20"/>
        <v>18692.073198498754</v>
      </c>
      <c r="H319" s="145">
        <f t="shared" si="21"/>
        <v>94930.865006140375</v>
      </c>
    </row>
    <row r="320" spans="2:9">
      <c r="B320" s="40"/>
      <c r="C320" s="58">
        <v>304</v>
      </c>
      <c r="D320" s="144">
        <f t="shared" si="24"/>
        <v>94930.865006140375</v>
      </c>
      <c r="E320" s="144">
        <f t="shared" si="23"/>
        <v>19283.859334981251</v>
      </c>
      <c r="F320" s="144">
        <f t="shared" si="22"/>
        <v>494.43158857364779</v>
      </c>
      <c r="G320" s="144">
        <f t="shared" si="20"/>
        <v>18789.427746407604</v>
      </c>
      <c r="H320" s="145">
        <f t="shared" si="21"/>
        <v>76141.437259732775</v>
      </c>
    </row>
    <row r="321" spans="2:9">
      <c r="B321" s="40"/>
      <c r="C321" s="58">
        <v>305</v>
      </c>
      <c r="D321" s="144">
        <f t="shared" si="24"/>
        <v>76141.437259732775</v>
      </c>
      <c r="E321" s="144">
        <f t="shared" si="23"/>
        <v>19283.859334981251</v>
      </c>
      <c r="F321" s="144">
        <f t="shared" si="22"/>
        <v>396.56998572777485</v>
      </c>
      <c r="G321" s="144">
        <f t="shared" si="20"/>
        <v>18887.289349253475</v>
      </c>
      <c r="H321" s="145">
        <f t="shared" si="21"/>
        <v>57254.147910479296</v>
      </c>
    </row>
    <row r="322" spans="2:9">
      <c r="B322" s="40"/>
      <c r="C322" s="58">
        <v>306</v>
      </c>
      <c r="D322" s="144">
        <f t="shared" si="24"/>
        <v>57254.147910479296</v>
      </c>
      <c r="E322" s="144">
        <f t="shared" si="23"/>
        <v>19283.859334981251</v>
      </c>
      <c r="F322" s="144">
        <f t="shared" si="22"/>
        <v>298.1986870337463</v>
      </c>
      <c r="G322" s="144">
        <f t="shared" si="20"/>
        <v>18985.660647947505</v>
      </c>
      <c r="H322" s="145">
        <f t="shared" si="21"/>
        <v>38268.487262531795</v>
      </c>
    </row>
    <row r="323" spans="2:9">
      <c r="B323" s="40"/>
      <c r="C323" s="58">
        <v>307</v>
      </c>
      <c r="D323" s="144">
        <f t="shared" si="24"/>
        <v>38268.487262531795</v>
      </c>
      <c r="E323" s="144">
        <f t="shared" si="23"/>
        <v>19283.859334981251</v>
      </c>
      <c r="F323" s="144">
        <f t="shared" si="22"/>
        <v>199.31503782568643</v>
      </c>
      <c r="G323" s="144">
        <f t="shared" si="20"/>
        <v>19084.544297155564</v>
      </c>
      <c r="H323" s="145">
        <f t="shared" si="21"/>
        <v>19183.942965376231</v>
      </c>
    </row>
    <row r="324" spans="2:9">
      <c r="B324" s="40"/>
      <c r="C324" s="58">
        <v>308</v>
      </c>
      <c r="D324" s="144">
        <f t="shared" si="24"/>
        <v>19183.942965376231</v>
      </c>
      <c r="E324" s="144">
        <f t="shared" si="23"/>
        <v>19283.859334981251</v>
      </c>
      <c r="F324" s="144">
        <f t="shared" si="22"/>
        <v>99.916369611334531</v>
      </c>
      <c r="G324" s="144">
        <f t="shared" si="20"/>
        <v>19183.942965369915</v>
      </c>
      <c r="H324" s="145">
        <f t="shared" si="21"/>
        <v>6.3155312091112137E-9</v>
      </c>
    </row>
    <row r="325" spans="2:9">
      <c r="B325" s="40"/>
      <c r="C325" s="58">
        <v>309</v>
      </c>
      <c r="D325" s="144">
        <f t="shared" si="24"/>
        <v>0</v>
      </c>
      <c r="E325" s="144">
        <f t="shared" si="23"/>
        <v>0</v>
      </c>
      <c r="F325" s="144">
        <f t="shared" si="22"/>
        <v>0</v>
      </c>
      <c r="G325" s="144">
        <f t="shared" si="20"/>
        <v>0</v>
      </c>
      <c r="H325" s="145">
        <f t="shared" si="21"/>
        <v>0</v>
      </c>
    </row>
    <row r="326" spans="2:9">
      <c r="B326" s="40"/>
      <c r="C326" s="58">
        <v>310</v>
      </c>
      <c r="D326" s="144">
        <f t="shared" si="24"/>
        <v>0</v>
      </c>
      <c r="E326" s="144">
        <f t="shared" si="23"/>
        <v>0</v>
      </c>
      <c r="F326" s="144">
        <f t="shared" si="22"/>
        <v>0</v>
      </c>
      <c r="G326" s="144">
        <f t="shared" si="20"/>
        <v>0</v>
      </c>
      <c r="H326" s="145">
        <f t="shared" si="21"/>
        <v>0</v>
      </c>
    </row>
    <row r="327" spans="2:9">
      <c r="B327" s="40"/>
      <c r="C327" s="58">
        <v>311</v>
      </c>
      <c r="D327" s="144">
        <f t="shared" si="24"/>
        <v>0</v>
      </c>
      <c r="E327" s="144">
        <f t="shared" si="23"/>
        <v>0</v>
      </c>
      <c r="F327" s="144">
        <f t="shared" si="22"/>
        <v>0</v>
      </c>
      <c r="G327" s="144">
        <f t="shared" si="20"/>
        <v>0</v>
      </c>
      <c r="H327" s="145">
        <f t="shared" si="21"/>
        <v>0</v>
      </c>
    </row>
    <row r="328" spans="2:9">
      <c r="B328" s="46">
        <v>26</v>
      </c>
      <c r="C328" s="147">
        <v>312</v>
      </c>
      <c r="D328" s="157">
        <f t="shared" si="24"/>
        <v>0</v>
      </c>
      <c r="E328" s="157">
        <f t="shared" si="23"/>
        <v>0</v>
      </c>
      <c r="F328" s="157">
        <f t="shared" si="22"/>
        <v>0</v>
      </c>
      <c r="G328" s="157">
        <f t="shared" si="20"/>
        <v>0</v>
      </c>
      <c r="H328" s="158">
        <f t="shared" si="21"/>
        <v>0</v>
      </c>
      <c r="I328" s="148">
        <f>+SUM(G317:G328)+SUM(F317:F328)</f>
        <v>154270.87467985001</v>
      </c>
    </row>
    <row r="329" spans="2:9">
      <c r="B329" s="187"/>
      <c r="C329" s="188">
        <v>313</v>
      </c>
      <c r="D329" s="189">
        <f t="shared" si="24"/>
        <v>0</v>
      </c>
      <c r="E329" s="189">
        <f t="shared" si="23"/>
        <v>0</v>
      </c>
      <c r="F329" s="189">
        <f t="shared" si="22"/>
        <v>0</v>
      </c>
      <c r="G329" s="189">
        <f t="shared" si="20"/>
        <v>0</v>
      </c>
      <c r="H329" s="190">
        <f t="shared" si="21"/>
        <v>0</v>
      </c>
    </row>
    <row r="330" spans="2:9">
      <c r="B330" s="40"/>
      <c r="C330" s="58">
        <v>314</v>
      </c>
      <c r="D330" s="144">
        <f t="shared" si="24"/>
        <v>0</v>
      </c>
      <c r="E330" s="144">
        <f t="shared" si="23"/>
        <v>0</v>
      </c>
      <c r="F330" s="144">
        <f t="shared" si="22"/>
        <v>0</v>
      </c>
      <c r="G330" s="144">
        <f t="shared" si="20"/>
        <v>0</v>
      </c>
      <c r="H330" s="145">
        <f t="shared" si="21"/>
        <v>0</v>
      </c>
    </row>
    <row r="331" spans="2:9">
      <c r="B331" s="40"/>
      <c r="C331" s="58">
        <v>315</v>
      </c>
      <c r="D331" s="144">
        <f t="shared" si="24"/>
        <v>0</v>
      </c>
      <c r="E331" s="144">
        <f t="shared" si="23"/>
        <v>0</v>
      </c>
      <c r="F331" s="144">
        <f t="shared" si="22"/>
        <v>0</v>
      </c>
      <c r="G331" s="144">
        <f t="shared" si="20"/>
        <v>0</v>
      </c>
      <c r="H331" s="145">
        <f t="shared" si="21"/>
        <v>0</v>
      </c>
    </row>
    <row r="332" spans="2:9">
      <c r="B332" s="40"/>
      <c r="C332" s="58">
        <v>316</v>
      </c>
      <c r="D332" s="144">
        <f t="shared" si="24"/>
        <v>0</v>
      </c>
      <c r="E332" s="144">
        <f t="shared" si="23"/>
        <v>0</v>
      </c>
      <c r="F332" s="144">
        <f t="shared" si="22"/>
        <v>0</v>
      </c>
      <c r="G332" s="144">
        <f t="shared" si="20"/>
        <v>0</v>
      </c>
      <c r="H332" s="145">
        <f t="shared" si="21"/>
        <v>0</v>
      </c>
    </row>
    <row r="333" spans="2:9">
      <c r="B333" s="40"/>
      <c r="C333" s="58">
        <v>317</v>
      </c>
      <c r="D333" s="144">
        <f t="shared" si="24"/>
        <v>0</v>
      </c>
      <c r="E333" s="144">
        <f t="shared" si="23"/>
        <v>0</v>
      </c>
      <c r="F333" s="144">
        <f t="shared" si="22"/>
        <v>0</v>
      </c>
      <c r="G333" s="144">
        <f t="shared" si="20"/>
        <v>0</v>
      </c>
      <c r="H333" s="145">
        <f t="shared" si="21"/>
        <v>0</v>
      </c>
    </row>
    <row r="334" spans="2:9">
      <c r="B334" s="40"/>
      <c r="C334" s="58">
        <v>318</v>
      </c>
      <c r="D334" s="144">
        <f t="shared" si="24"/>
        <v>0</v>
      </c>
      <c r="E334" s="144">
        <f t="shared" si="23"/>
        <v>0</v>
      </c>
      <c r="F334" s="144">
        <f t="shared" si="22"/>
        <v>0</v>
      </c>
      <c r="G334" s="144">
        <f t="shared" si="20"/>
        <v>0</v>
      </c>
      <c r="H334" s="145">
        <f t="shared" si="21"/>
        <v>0</v>
      </c>
    </row>
    <row r="335" spans="2:9">
      <c r="B335" s="40"/>
      <c r="C335" s="58">
        <v>319</v>
      </c>
      <c r="D335" s="144">
        <f t="shared" si="24"/>
        <v>0</v>
      </c>
      <c r="E335" s="144">
        <f t="shared" si="23"/>
        <v>0</v>
      </c>
      <c r="F335" s="144">
        <f t="shared" si="22"/>
        <v>0</v>
      </c>
      <c r="G335" s="144">
        <f t="shared" si="20"/>
        <v>0</v>
      </c>
      <c r="H335" s="145">
        <f t="shared" si="21"/>
        <v>0</v>
      </c>
    </row>
    <row r="336" spans="2:9">
      <c r="B336" s="40"/>
      <c r="C336" s="58">
        <v>320</v>
      </c>
      <c r="D336" s="144">
        <f t="shared" si="24"/>
        <v>0</v>
      </c>
      <c r="E336" s="144">
        <f t="shared" si="23"/>
        <v>0</v>
      </c>
      <c r="F336" s="144">
        <f t="shared" si="22"/>
        <v>0</v>
      </c>
      <c r="G336" s="144">
        <f t="shared" si="20"/>
        <v>0</v>
      </c>
      <c r="H336" s="145">
        <f t="shared" si="21"/>
        <v>0</v>
      </c>
    </row>
    <row r="337" spans="2:9">
      <c r="B337" s="40"/>
      <c r="C337" s="58">
        <v>321</v>
      </c>
      <c r="D337" s="144">
        <f t="shared" si="24"/>
        <v>0</v>
      </c>
      <c r="E337" s="144">
        <f t="shared" si="23"/>
        <v>0</v>
      </c>
      <c r="F337" s="144">
        <f t="shared" si="22"/>
        <v>0</v>
      </c>
      <c r="G337" s="144">
        <f t="shared" ref="G337:G376" si="25">E337-F337</f>
        <v>0</v>
      </c>
      <c r="H337" s="145">
        <f t="shared" ref="H337:H376" si="26">D337-G337</f>
        <v>0</v>
      </c>
    </row>
    <row r="338" spans="2:9">
      <c r="B338" s="40"/>
      <c r="C338" s="58">
        <v>322</v>
      </c>
      <c r="D338" s="144">
        <f t="shared" si="24"/>
        <v>0</v>
      </c>
      <c r="E338" s="144">
        <f t="shared" si="23"/>
        <v>0</v>
      </c>
      <c r="F338" s="144">
        <f t="shared" ref="F338:F376" si="27">IF(C338&gt;$C$10,0,($C$6/12)*H337)</f>
        <v>0</v>
      </c>
      <c r="G338" s="144">
        <f t="shared" si="25"/>
        <v>0</v>
      </c>
      <c r="H338" s="145">
        <f t="shared" si="26"/>
        <v>0</v>
      </c>
    </row>
    <row r="339" spans="2:9">
      <c r="B339" s="40"/>
      <c r="C339" s="58">
        <v>323</v>
      </c>
      <c r="D339" s="144">
        <f t="shared" si="24"/>
        <v>0</v>
      </c>
      <c r="E339" s="144">
        <f t="shared" si="23"/>
        <v>0</v>
      </c>
      <c r="F339" s="144">
        <f t="shared" si="27"/>
        <v>0</v>
      </c>
      <c r="G339" s="144">
        <f t="shared" si="25"/>
        <v>0</v>
      </c>
      <c r="H339" s="145">
        <f t="shared" si="26"/>
        <v>0</v>
      </c>
    </row>
    <row r="340" spans="2:9">
      <c r="B340" s="46">
        <v>27</v>
      </c>
      <c r="C340" s="147">
        <v>324</v>
      </c>
      <c r="D340" s="157">
        <f t="shared" si="24"/>
        <v>0</v>
      </c>
      <c r="E340" s="157">
        <f t="shared" si="23"/>
        <v>0</v>
      </c>
      <c r="F340" s="157">
        <f t="shared" si="27"/>
        <v>0</v>
      </c>
      <c r="G340" s="157">
        <f t="shared" si="25"/>
        <v>0</v>
      </c>
      <c r="H340" s="158">
        <f t="shared" si="26"/>
        <v>0</v>
      </c>
      <c r="I340" s="148">
        <f>+SUM(G329:G340)+SUM(F329:F340)</f>
        <v>0</v>
      </c>
    </row>
    <row r="341" spans="2:9">
      <c r="B341" s="187"/>
      <c r="C341" s="188">
        <v>325</v>
      </c>
      <c r="D341" s="189">
        <f t="shared" si="24"/>
        <v>0</v>
      </c>
      <c r="E341" s="189">
        <f t="shared" ref="E341:E376" si="28">IF(C341&gt;$C$10,0,IF(C341&lt;=$C$8,F341,-PMT($C$6/12,$C$9,$C$5,0,0)))</f>
        <v>0</v>
      </c>
      <c r="F341" s="189">
        <f t="shared" si="27"/>
        <v>0</v>
      </c>
      <c r="G341" s="189">
        <f t="shared" si="25"/>
        <v>0</v>
      </c>
      <c r="H341" s="190">
        <f t="shared" si="26"/>
        <v>0</v>
      </c>
    </row>
    <row r="342" spans="2:9">
      <c r="B342" s="40"/>
      <c r="C342" s="58">
        <v>326</v>
      </c>
      <c r="D342" s="144">
        <f t="shared" ref="D342:D376" si="29">IF(C342&gt;$C$10,0,H341)</f>
        <v>0</v>
      </c>
      <c r="E342" s="144">
        <f t="shared" si="28"/>
        <v>0</v>
      </c>
      <c r="F342" s="144">
        <f t="shared" si="27"/>
        <v>0</v>
      </c>
      <c r="G342" s="144">
        <f t="shared" si="25"/>
        <v>0</v>
      </c>
      <c r="H342" s="145">
        <f t="shared" si="26"/>
        <v>0</v>
      </c>
    </row>
    <row r="343" spans="2:9">
      <c r="B343" s="40"/>
      <c r="C343" s="58">
        <v>327</v>
      </c>
      <c r="D343" s="144">
        <f t="shared" si="29"/>
        <v>0</v>
      </c>
      <c r="E343" s="144">
        <f t="shared" si="28"/>
        <v>0</v>
      </c>
      <c r="F343" s="144">
        <f t="shared" si="27"/>
        <v>0</v>
      </c>
      <c r="G343" s="144">
        <f t="shared" si="25"/>
        <v>0</v>
      </c>
      <c r="H343" s="145">
        <f t="shared" si="26"/>
        <v>0</v>
      </c>
    </row>
    <row r="344" spans="2:9">
      <c r="B344" s="40"/>
      <c r="C344" s="58">
        <v>328</v>
      </c>
      <c r="D344" s="144">
        <f t="shared" si="29"/>
        <v>0</v>
      </c>
      <c r="E344" s="144">
        <f t="shared" si="28"/>
        <v>0</v>
      </c>
      <c r="F344" s="144">
        <f t="shared" si="27"/>
        <v>0</v>
      </c>
      <c r="G344" s="144">
        <f t="shared" si="25"/>
        <v>0</v>
      </c>
      <c r="H344" s="145">
        <f t="shared" si="26"/>
        <v>0</v>
      </c>
    </row>
    <row r="345" spans="2:9">
      <c r="B345" s="40"/>
      <c r="C345" s="58">
        <v>329</v>
      </c>
      <c r="D345" s="144">
        <f t="shared" si="29"/>
        <v>0</v>
      </c>
      <c r="E345" s="144">
        <f t="shared" si="28"/>
        <v>0</v>
      </c>
      <c r="F345" s="144">
        <f t="shared" si="27"/>
        <v>0</v>
      </c>
      <c r="G345" s="144">
        <f t="shared" si="25"/>
        <v>0</v>
      </c>
      <c r="H345" s="145">
        <f t="shared" si="26"/>
        <v>0</v>
      </c>
    </row>
    <row r="346" spans="2:9">
      <c r="B346" s="40"/>
      <c r="C346" s="58">
        <v>330</v>
      </c>
      <c r="D346" s="144">
        <f t="shared" si="29"/>
        <v>0</v>
      </c>
      <c r="E346" s="144">
        <f t="shared" si="28"/>
        <v>0</v>
      </c>
      <c r="F346" s="144">
        <f t="shared" si="27"/>
        <v>0</v>
      </c>
      <c r="G346" s="144">
        <f t="shared" si="25"/>
        <v>0</v>
      </c>
      <c r="H346" s="145">
        <f t="shared" si="26"/>
        <v>0</v>
      </c>
    </row>
    <row r="347" spans="2:9">
      <c r="B347" s="40"/>
      <c r="C347" s="58">
        <v>331</v>
      </c>
      <c r="D347" s="144">
        <f t="shared" si="29"/>
        <v>0</v>
      </c>
      <c r="E347" s="144">
        <f t="shared" si="28"/>
        <v>0</v>
      </c>
      <c r="F347" s="144">
        <f t="shared" si="27"/>
        <v>0</v>
      </c>
      <c r="G347" s="144">
        <f t="shared" si="25"/>
        <v>0</v>
      </c>
      <c r="H347" s="145">
        <f t="shared" si="26"/>
        <v>0</v>
      </c>
    </row>
    <row r="348" spans="2:9">
      <c r="B348" s="40"/>
      <c r="C348" s="58">
        <v>332</v>
      </c>
      <c r="D348" s="144">
        <f t="shared" si="29"/>
        <v>0</v>
      </c>
      <c r="E348" s="144">
        <f t="shared" si="28"/>
        <v>0</v>
      </c>
      <c r="F348" s="144">
        <f t="shared" si="27"/>
        <v>0</v>
      </c>
      <c r="G348" s="144">
        <f t="shared" si="25"/>
        <v>0</v>
      </c>
      <c r="H348" s="145">
        <f t="shared" si="26"/>
        <v>0</v>
      </c>
    </row>
    <row r="349" spans="2:9">
      <c r="B349" s="40"/>
      <c r="C349" s="58">
        <v>333</v>
      </c>
      <c r="D349" s="144">
        <f t="shared" si="29"/>
        <v>0</v>
      </c>
      <c r="E349" s="144">
        <f t="shared" si="28"/>
        <v>0</v>
      </c>
      <c r="F349" s="144">
        <f t="shared" si="27"/>
        <v>0</v>
      </c>
      <c r="G349" s="144">
        <f t="shared" si="25"/>
        <v>0</v>
      </c>
      <c r="H349" s="145">
        <f t="shared" si="26"/>
        <v>0</v>
      </c>
    </row>
    <row r="350" spans="2:9">
      <c r="B350" s="40"/>
      <c r="C350" s="58">
        <v>334</v>
      </c>
      <c r="D350" s="144">
        <f t="shared" si="29"/>
        <v>0</v>
      </c>
      <c r="E350" s="144">
        <f t="shared" si="28"/>
        <v>0</v>
      </c>
      <c r="F350" s="144">
        <f t="shared" si="27"/>
        <v>0</v>
      </c>
      <c r="G350" s="144">
        <f t="shared" si="25"/>
        <v>0</v>
      </c>
      <c r="H350" s="145">
        <f t="shared" si="26"/>
        <v>0</v>
      </c>
    </row>
    <row r="351" spans="2:9">
      <c r="B351" s="40"/>
      <c r="C351" s="58">
        <v>335</v>
      </c>
      <c r="D351" s="144">
        <f t="shared" si="29"/>
        <v>0</v>
      </c>
      <c r="E351" s="144">
        <f t="shared" si="28"/>
        <v>0</v>
      </c>
      <c r="F351" s="144">
        <f t="shared" si="27"/>
        <v>0</v>
      </c>
      <c r="G351" s="144">
        <f t="shared" si="25"/>
        <v>0</v>
      </c>
      <c r="H351" s="145">
        <f t="shared" si="26"/>
        <v>0</v>
      </c>
    </row>
    <row r="352" spans="2:9">
      <c r="B352" s="46">
        <v>28</v>
      </c>
      <c r="C352" s="147">
        <v>336</v>
      </c>
      <c r="D352" s="157">
        <f t="shared" si="29"/>
        <v>0</v>
      </c>
      <c r="E352" s="157">
        <f t="shared" si="28"/>
        <v>0</v>
      </c>
      <c r="F352" s="157">
        <f t="shared" si="27"/>
        <v>0</v>
      </c>
      <c r="G352" s="157">
        <f t="shared" si="25"/>
        <v>0</v>
      </c>
      <c r="H352" s="158">
        <f t="shared" si="26"/>
        <v>0</v>
      </c>
      <c r="I352" s="148">
        <f>+SUM(G341:G352)+SUM(F341:F352)</f>
        <v>0</v>
      </c>
    </row>
    <row r="353" spans="2:9">
      <c r="B353" s="187"/>
      <c r="C353" s="188">
        <v>337</v>
      </c>
      <c r="D353" s="189">
        <f t="shared" si="29"/>
        <v>0</v>
      </c>
      <c r="E353" s="189">
        <f t="shared" si="28"/>
        <v>0</v>
      </c>
      <c r="F353" s="189">
        <f t="shared" si="27"/>
        <v>0</v>
      </c>
      <c r="G353" s="189">
        <f t="shared" si="25"/>
        <v>0</v>
      </c>
      <c r="H353" s="190">
        <f t="shared" si="26"/>
        <v>0</v>
      </c>
    </row>
    <row r="354" spans="2:9">
      <c r="B354" s="40"/>
      <c r="C354" s="58">
        <v>338</v>
      </c>
      <c r="D354" s="144">
        <f t="shared" si="29"/>
        <v>0</v>
      </c>
      <c r="E354" s="144">
        <f t="shared" si="28"/>
        <v>0</v>
      </c>
      <c r="F354" s="144">
        <f t="shared" si="27"/>
        <v>0</v>
      </c>
      <c r="G354" s="144">
        <f t="shared" si="25"/>
        <v>0</v>
      </c>
      <c r="H354" s="145">
        <f t="shared" si="26"/>
        <v>0</v>
      </c>
    </row>
    <row r="355" spans="2:9">
      <c r="B355" s="40"/>
      <c r="C355" s="58">
        <v>339</v>
      </c>
      <c r="D355" s="144">
        <f t="shared" si="29"/>
        <v>0</v>
      </c>
      <c r="E355" s="144">
        <f t="shared" si="28"/>
        <v>0</v>
      </c>
      <c r="F355" s="144">
        <f t="shared" si="27"/>
        <v>0</v>
      </c>
      <c r="G355" s="144">
        <f t="shared" si="25"/>
        <v>0</v>
      </c>
      <c r="H355" s="145">
        <f t="shared" si="26"/>
        <v>0</v>
      </c>
    </row>
    <row r="356" spans="2:9">
      <c r="B356" s="40"/>
      <c r="C356" s="58">
        <v>340</v>
      </c>
      <c r="D356" s="144">
        <f t="shared" si="29"/>
        <v>0</v>
      </c>
      <c r="E356" s="144">
        <f t="shared" si="28"/>
        <v>0</v>
      </c>
      <c r="F356" s="144">
        <f t="shared" si="27"/>
        <v>0</v>
      </c>
      <c r="G356" s="144">
        <f t="shared" si="25"/>
        <v>0</v>
      </c>
      <c r="H356" s="145">
        <f t="shared" si="26"/>
        <v>0</v>
      </c>
    </row>
    <row r="357" spans="2:9">
      <c r="B357" s="40"/>
      <c r="C357" s="58">
        <v>341</v>
      </c>
      <c r="D357" s="144">
        <f t="shared" si="29"/>
        <v>0</v>
      </c>
      <c r="E357" s="144">
        <f t="shared" si="28"/>
        <v>0</v>
      </c>
      <c r="F357" s="144">
        <f t="shared" si="27"/>
        <v>0</v>
      </c>
      <c r="G357" s="144">
        <f t="shared" si="25"/>
        <v>0</v>
      </c>
      <c r="H357" s="145">
        <f t="shared" si="26"/>
        <v>0</v>
      </c>
    </row>
    <row r="358" spans="2:9">
      <c r="B358" s="40"/>
      <c r="C358" s="58">
        <v>342</v>
      </c>
      <c r="D358" s="144">
        <f t="shared" si="29"/>
        <v>0</v>
      </c>
      <c r="E358" s="144">
        <f t="shared" si="28"/>
        <v>0</v>
      </c>
      <c r="F358" s="144">
        <f t="shared" si="27"/>
        <v>0</v>
      </c>
      <c r="G358" s="144">
        <f t="shared" si="25"/>
        <v>0</v>
      </c>
      <c r="H358" s="145">
        <f t="shared" si="26"/>
        <v>0</v>
      </c>
    </row>
    <row r="359" spans="2:9">
      <c r="B359" s="40"/>
      <c r="C359" s="58">
        <v>343</v>
      </c>
      <c r="D359" s="144">
        <f t="shared" si="29"/>
        <v>0</v>
      </c>
      <c r="E359" s="144">
        <f t="shared" si="28"/>
        <v>0</v>
      </c>
      <c r="F359" s="144">
        <f t="shared" si="27"/>
        <v>0</v>
      </c>
      <c r="G359" s="144">
        <f t="shared" si="25"/>
        <v>0</v>
      </c>
      <c r="H359" s="145">
        <f t="shared" si="26"/>
        <v>0</v>
      </c>
    </row>
    <row r="360" spans="2:9">
      <c r="B360" s="40"/>
      <c r="C360" s="58">
        <v>344</v>
      </c>
      <c r="D360" s="144">
        <f t="shared" si="29"/>
        <v>0</v>
      </c>
      <c r="E360" s="144">
        <f t="shared" si="28"/>
        <v>0</v>
      </c>
      <c r="F360" s="144">
        <f t="shared" si="27"/>
        <v>0</v>
      </c>
      <c r="G360" s="144">
        <f t="shared" si="25"/>
        <v>0</v>
      </c>
      <c r="H360" s="145">
        <f t="shared" si="26"/>
        <v>0</v>
      </c>
    </row>
    <row r="361" spans="2:9">
      <c r="B361" s="40"/>
      <c r="C361" s="58">
        <v>345</v>
      </c>
      <c r="D361" s="144">
        <f t="shared" si="29"/>
        <v>0</v>
      </c>
      <c r="E361" s="144">
        <f t="shared" si="28"/>
        <v>0</v>
      </c>
      <c r="F361" s="144">
        <f t="shared" si="27"/>
        <v>0</v>
      </c>
      <c r="G361" s="144">
        <f t="shared" si="25"/>
        <v>0</v>
      </c>
      <c r="H361" s="145">
        <f t="shared" si="26"/>
        <v>0</v>
      </c>
    </row>
    <row r="362" spans="2:9">
      <c r="B362" s="40"/>
      <c r="C362" s="58">
        <v>346</v>
      </c>
      <c r="D362" s="144">
        <f t="shared" si="29"/>
        <v>0</v>
      </c>
      <c r="E362" s="144">
        <f t="shared" si="28"/>
        <v>0</v>
      </c>
      <c r="F362" s="144">
        <f t="shared" si="27"/>
        <v>0</v>
      </c>
      <c r="G362" s="144">
        <f t="shared" si="25"/>
        <v>0</v>
      </c>
      <c r="H362" s="145">
        <f t="shared" si="26"/>
        <v>0</v>
      </c>
    </row>
    <row r="363" spans="2:9">
      <c r="B363" s="40"/>
      <c r="C363" s="58">
        <v>347</v>
      </c>
      <c r="D363" s="144">
        <f t="shared" si="29"/>
        <v>0</v>
      </c>
      <c r="E363" s="144">
        <f t="shared" si="28"/>
        <v>0</v>
      </c>
      <c r="F363" s="144">
        <f t="shared" si="27"/>
        <v>0</v>
      </c>
      <c r="G363" s="144">
        <f t="shared" si="25"/>
        <v>0</v>
      </c>
      <c r="H363" s="145">
        <f t="shared" si="26"/>
        <v>0</v>
      </c>
    </row>
    <row r="364" spans="2:9">
      <c r="B364" s="46">
        <v>29</v>
      </c>
      <c r="C364" s="147">
        <v>348</v>
      </c>
      <c r="D364" s="157">
        <f t="shared" si="29"/>
        <v>0</v>
      </c>
      <c r="E364" s="157">
        <f t="shared" si="28"/>
        <v>0</v>
      </c>
      <c r="F364" s="157">
        <f t="shared" si="27"/>
        <v>0</v>
      </c>
      <c r="G364" s="157">
        <f t="shared" si="25"/>
        <v>0</v>
      </c>
      <c r="H364" s="158">
        <f t="shared" si="26"/>
        <v>0</v>
      </c>
      <c r="I364" s="148">
        <f>+SUM(G353:G364)+SUM(F353:F364)</f>
        <v>0</v>
      </c>
    </row>
    <row r="365" spans="2:9">
      <c r="B365" s="40"/>
      <c r="C365" s="58">
        <v>349</v>
      </c>
      <c r="D365" s="144">
        <f t="shared" si="29"/>
        <v>0</v>
      </c>
      <c r="E365" s="144">
        <f t="shared" si="28"/>
        <v>0</v>
      </c>
      <c r="F365" s="144">
        <f t="shared" si="27"/>
        <v>0</v>
      </c>
      <c r="G365" s="144">
        <f t="shared" si="25"/>
        <v>0</v>
      </c>
      <c r="H365" s="145">
        <f t="shared" si="26"/>
        <v>0</v>
      </c>
    </row>
    <row r="366" spans="2:9">
      <c r="B366" s="40"/>
      <c r="C366" s="58">
        <v>350</v>
      </c>
      <c r="D366" s="144">
        <f t="shared" si="29"/>
        <v>0</v>
      </c>
      <c r="E366" s="144">
        <f t="shared" si="28"/>
        <v>0</v>
      </c>
      <c r="F366" s="144">
        <f t="shared" si="27"/>
        <v>0</v>
      </c>
      <c r="G366" s="144">
        <f t="shared" si="25"/>
        <v>0</v>
      </c>
      <c r="H366" s="145">
        <f t="shared" si="26"/>
        <v>0</v>
      </c>
    </row>
    <row r="367" spans="2:9">
      <c r="B367" s="40"/>
      <c r="C367" s="58">
        <v>351</v>
      </c>
      <c r="D367" s="144">
        <f t="shared" si="29"/>
        <v>0</v>
      </c>
      <c r="E367" s="144">
        <f t="shared" si="28"/>
        <v>0</v>
      </c>
      <c r="F367" s="144">
        <f t="shared" si="27"/>
        <v>0</v>
      </c>
      <c r="G367" s="144">
        <f t="shared" si="25"/>
        <v>0</v>
      </c>
      <c r="H367" s="145">
        <f t="shared" si="26"/>
        <v>0</v>
      </c>
    </row>
    <row r="368" spans="2:9">
      <c r="B368" s="40"/>
      <c r="C368" s="58">
        <v>352</v>
      </c>
      <c r="D368" s="144">
        <f t="shared" si="29"/>
        <v>0</v>
      </c>
      <c r="E368" s="144">
        <f t="shared" si="28"/>
        <v>0</v>
      </c>
      <c r="F368" s="144">
        <f t="shared" si="27"/>
        <v>0</v>
      </c>
      <c r="G368" s="144">
        <f t="shared" si="25"/>
        <v>0</v>
      </c>
      <c r="H368" s="145">
        <f t="shared" si="26"/>
        <v>0</v>
      </c>
    </row>
    <row r="369" spans="2:9">
      <c r="B369" s="40"/>
      <c r="C369" s="58">
        <v>353</v>
      </c>
      <c r="D369" s="144">
        <f t="shared" si="29"/>
        <v>0</v>
      </c>
      <c r="E369" s="144">
        <f t="shared" si="28"/>
        <v>0</v>
      </c>
      <c r="F369" s="144">
        <f t="shared" si="27"/>
        <v>0</v>
      </c>
      <c r="G369" s="144">
        <f t="shared" si="25"/>
        <v>0</v>
      </c>
      <c r="H369" s="145">
        <f t="shared" si="26"/>
        <v>0</v>
      </c>
    </row>
    <row r="370" spans="2:9">
      <c r="B370" s="40"/>
      <c r="C370" s="58">
        <v>354</v>
      </c>
      <c r="D370" s="144">
        <f t="shared" si="29"/>
        <v>0</v>
      </c>
      <c r="E370" s="144">
        <f t="shared" si="28"/>
        <v>0</v>
      </c>
      <c r="F370" s="144">
        <f t="shared" si="27"/>
        <v>0</v>
      </c>
      <c r="G370" s="144">
        <f t="shared" si="25"/>
        <v>0</v>
      </c>
      <c r="H370" s="145">
        <f t="shared" si="26"/>
        <v>0</v>
      </c>
    </row>
    <row r="371" spans="2:9">
      <c r="B371" s="40"/>
      <c r="C371" s="58">
        <v>355</v>
      </c>
      <c r="D371" s="144">
        <f t="shared" si="29"/>
        <v>0</v>
      </c>
      <c r="E371" s="144">
        <f t="shared" si="28"/>
        <v>0</v>
      </c>
      <c r="F371" s="144">
        <f t="shared" si="27"/>
        <v>0</v>
      </c>
      <c r="G371" s="144">
        <f t="shared" si="25"/>
        <v>0</v>
      </c>
      <c r="H371" s="145">
        <f t="shared" si="26"/>
        <v>0</v>
      </c>
    </row>
    <row r="372" spans="2:9">
      <c r="B372" s="40"/>
      <c r="C372" s="58">
        <v>356</v>
      </c>
      <c r="D372" s="144">
        <f t="shared" si="29"/>
        <v>0</v>
      </c>
      <c r="E372" s="144">
        <f t="shared" si="28"/>
        <v>0</v>
      </c>
      <c r="F372" s="144">
        <f t="shared" si="27"/>
        <v>0</v>
      </c>
      <c r="G372" s="144">
        <f t="shared" si="25"/>
        <v>0</v>
      </c>
      <c r="H372" s="145">
        <f t="shared" si="26"/>
        <v>0</v>
      </c>
    </row>
    <row r="373" spans="2:9">
      <c r="B373" s="40"/>
      <c r="C373" s="58">
        <v>357</v>
      </c>
      <c r="D373" s="144">
        <f t="shared" si="29"/>
        <v>0</v>
      </c>
      <c r="E373" s="144">
        <f t="shared" si="28"/>
        <v>0</v>
      </c>
      <c r="F373" s="144">
        <f t="shared" si="27"/>
        <v>0</v>
      </c>
      <c r="G373" s="144">
        <f t="shared" si="25"/>
        <v>0</v>
      </c>
      <c r="H373" s="145">
        <f t="shared" si="26"/>
        <v>0</v>
      </c>
    </row>
    <row r="374" spans="2:9">
      <c r="B374" s="40"/>
      <c r="C374" s="58">
        <v>358</v>
      </c>
      <c r="D374" s="144">
        <f t="shared" si="29"/>
        <v>0</v>
      </c>
      <c r="E374" s="144">
        <f t="shared" si="28"/>
        <v>0</v>
      </c>
      <c r="F374" s="144">
        <f t="shared" si="27"/>
        <v>0</v>
      </c>
      <c r="G374" s="144">
        <f t="shared" si="25"/>
        <v>0</v>
      </c>
      <c r="H374" s="145">
        <f t="shared" si="26"/>
        <v>0</v>
      </c>
    </row>
    <row r="375" spans="2:9">
      <c r="B375" s="40"/>
      <c r="C375" s="58">
        <v>359</v>
      </c>
      <c r="D375" s="144">
        <f t="shared" si="29"/>
        <v>0</v>
      </c>
      <c r="E375" s="144">
        <f t="shared" si="28"/>
        <v>0</v>
      </c>
      <c r="F375" s="144">
        <f t="shared" si="27"/>
        <v>0</v>
      </c>
      <c r="G375" s="144">
        <f t="shared" si="25"/>
        <v>0</v>
      </c>
      <c r="H375" s="145">
        <f t="shared" si="26"/>
        <v>0</v>
      </c>
    </row>
    <row r="376" spans="2:9" ht="16" thickBot="1">
      <c r="B376" s="149">
        <v>30</v>
      </c>
      <c r="C376" s="150">
        <v>360</v>
      </c>
      <c r="D376" s="151">
        <f t="shared" si="29"/>
        <v>0</v>
      </c>
      <c r="E376" s="151">
        <f t="shared" si="28"/>
        <v>0</v>
      </c>
      <c r="F376" s="151">
        <f t="shared" si="27"/>
        <v>0</v>
      </c>
      <c r="G376" s="151">
        <f t="shared" si="25"/>
        <v>0</v>
      </c>
      <c r="H376" s="152">
        <f t="shared" si="26"/>
        <v>0</v>
      </c>
      <c r="I376" s="148">
        <f>+SUM(G365:G376)+SUM(F365:F376)</f>
        <v>0</v>
      </c>
    </row>
  </sheetData>
  <sheetProtection formatCells="0" sort="0" autoFilter="0" pivotTables="0"/>
  <mergeCells count="3">
    <mergeCell ref="B4:C4"/>
    <mergeCell ref="D14:F14"/>
    <mergeCell ref="E4:F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1B589-B282-4964-AEB1-CB46C788E1E3}">
  <sheetPr codeName="Sheet7">
    <tabColor rgb="FFB4C4C1"/>
  </sheetPr>
  <dimension ref="B1:E22"/>
  <sheetViews>
    <sheetView showGridLines="0" workbookViewId="0">
      <selection activeCell="H19" sqref="H19"/>
    </sheetView>
  </sheetViews>
  <sheetFormatPr baseColWidth="10" defaultColWidth="8.83203125" defaultRowHeight="15"/>
  <cols>
    <col min="2" max="2" width="41.5" bestFit="1" customWidth="1"/>
    <col min="3" max="3" width="8.1640625" customWidth="1"/>
    <col min="4" max="4" width="17.5" customWidth="1"/>
  </cols>
  <sheetData>
    <row r="1" spans="2:4" ht="16" thickBot="1"/>
    <row r="2" spans="2:4">
      <c r="B2" s="348" t="s">
        <v>207</v>
      </c>
      <c r="C2" s="349"/>
      <c r="D2" s="350"/>
    </row>
    <row r="3" spans="2:4">
      <c r="B3" s="7" t="s">
        <v>208</v>
      </c>
      <c r="D3" s="8">
        <f>Costs!F36</f>
        <v>1200000</v>
      </c>
    </row>
    <row r="4" spans="2:4">
      <c r="B4" s="7" t="s">
        <v>146</v>
      </c>
      <c r="D4" s="8">
        <f>'Deal Summary'!D16</f>
        <v>20000</v>
      </c>
    </row>
    <row r="5" spans="2:4">
      <c r="B5" s="7" t="s">
        <v>209</v>
      </c>
      <c r="D5" s="8">
        <f>Costs!N10+Costs!N14</f>
        <v>0</v>
      </c>
    </row>
    <row r="6" spans="2:4">
      <c r="B6" s="7" t="s">
        <v>210</v>
      </c>
      <c r="D6" s="8">
        <f>'Deal Summary'!D18</f>
        <v>121802.55</v>
      </c>
    </row>
    <row r="7" spans="2:4">
      <c r="B7" s="7" t="s">
        <v>211</v>
      </c>
      <c r="D7" s="8">
        <f>'Deal Summary'!D18</f>
        <v>121802.55</v>
      </c>
    </row>
    <row r="8" spans="2:4">
      <c r="B8" s="7" t="s">
        <v>212</v>
      </c>
      <c r="D8" s="8">
        <f>'Deal Summary'!D29*0.15</f>
        <v>527030.27399999998</v>
      </c>
    </row>
    <row r="9" spans="2:4">
      <c r="B9" s="7"/>
      <c r="D9" s="8"/>
    </row>
    <row r="10" spans="2:4">
      <c r="B10" s="7"/>
      <c r="D10" s="8"/>
    </row>
    <row r="11" spans="2:4">
      <c r="B11" s="7"/>
      <c r="D11" s="10"/>
    </row>
    <row r="12" spans="2:4" ht="16" thickBot="1">
      <c r="B12" s="351" t="s">
        <v>213</v>
      </c>
      <c r="C12" s="91"/>
      <c r="D12" s="352">
        <f>SUM(D3:D11)</f>
        <v>1990635.3740000001</v>
      </c>
    </row>
    <row r="13" spans="2:4" ht="16" thickBot="1"/>
    <row r="14" spans="2:4">
      <c r="B14" s="26" t="s">
        <v>214</v>
      </c>
      <c r="C14" s="353">
        <v>0.25</v>
      </c>
      <c r="D14" s="354">
        <f>IF(D12&gt;250000, MIN(D12*C14, 700000), 0)</f>
        <v>497658.84350000002</v>
      </c>
    </row>
    <row r="15" spans="2:4">
      <c r="B15" s="7" t="s">
        <v>215</v>
      </c>
      <c r="C15" s="13">
        <v>0.2</v>
      </c>
      <c r="D15" s="8">
        <f>+$D$12*C15</f>
        <v>398127.07480000006</v>
      </c>
    </row>
    <row r="16" spans="2:4">
      <c r="B16" s="24" t="s">
        <v>216</v>
      </c>
      <c r="C16" s="355">
        <v>0.1</v>
      </c>
      <c r="D16" s="19">
        <f>+D12*C16</f>
        <v>199063.53740000003</v>
      </c>
    </row>
    <row r="17" spans="2:5" ht="16" thickBot="1">
      <c r="B17" s="16" t="s">
        <v>217</v>
      </c>
      <c r="C17" s="233"/>
      <c r="D17" s="125">
        <f>SUM(D15:D16)</f>
        <v>597190.61220000009</v>
      </c>
    </row>
    <row r="18" spans="2:5" ht="16" thickBot="1"/>
    <row r="19" spans="2:5">
      <c r="B19" s="26" t="s">
        <v>218</v>
      </c>
      <c r="C19" s="353">
        <v>0.68</v>
      </c>
      <c r="D19" s="354">
        <f>IF(E19=TRUE,D14*C19,0)</f>
        <v>0</v>
      </c>
      <c r="E19" s="400" t="b">
        <v>0</v>
      </c>
    </row>
    <row r="20" spans="2:5">
      <c r="B20" s="7" t="s">
        <v>219</v>
      </c>
      <c r="C20" s="13">
        <v>0.68</v>
      </c>
      <c r="D20" s="8">
        <f>IF(E20=TRUE,D15*C20,0)</f>
        <v>0</v>
      </c>
      <c r="E20" s="400" t="b">
        <v>0</v>
      </c>
    </row>
    <row r="21" spans="2:5">
      <c r="B21" s="24" t="s">
        <v>220</v>
      </c>
      <c r="C21" s="355">
        <v>0.68</v>
      </c>
      <c r="D21" s="19">
        <f>IF(E21=TRUE,D16*C21,0)</f>
        <v>0</v>
      </c>
      <c r="E21" s="400" t="b">
        <v>0</v>
      </c>
    </row>
    <row r="22" spans="2:5" ht="16" thickBot="1">
      <c r="B22" s="29" t="s">
        <v>221</v>
      </c>
      <c r="C22" s="116"/>
      <c r="D22" s="30">
        <f>SUM(D19:D21)</f>
        <v>0</v>
      </c>
    </row>
  </sheetData>
  <sheetProtection sheet="1" objects="1" scenarios="1" formatCells="0" sort="0" autoFilter="0" pivotTables="0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6A0F71-BC42-4D02-AFEB-78B6804D67E7}">
  <sheetPr codeName="Sheet9">
    <tabColor theme="4" tint="0.79998168889431442"/>
  </sheetPr>
  <dimension ref="C2:D12"/>
  <sheetViews>
    <sheetView showGridLines="0" workbookViewId="0">
      <selection activeCell="F18" sqref="F18"/>
    </sheetView>
  </sheetViews>
  <sheetFormatPr baseColWidth="10" defaultColWidth="8.83203125" defaultRowHeight="15"/>
  <cols>
    <col min="3" max="3" width="18.5" bestFit="1" customWidth="1"/>
  </cols>
  <sheetData>
    <row r="2" spans="3:4" ht="16" thickBot="1"/>
    <row r="3" spans="3:4">
      <c r="C3" s="419" t="s">
        <v>244</v>
      </c>
      <c r="D3" s="420"/>
    </row>
    <row r="4" spans="3:4">
      <c r="C4" s="7" t="s">
        <v>245</v>
      </c>
      <c r="D4" s="401"/>
    </row>
    <row r="5" spans="3:4">
      <c r="C5" s="7" t="s">
        <v>246</v>
      </c>
      <c r="D5" s="401"/>
    </row>
    <row r="6" spans="3:4">
      <c r="C6" s="7" t="s">
        <v>247</v>
      </c>
      <c r="D6" s="401"/>
    </row>
    <row r="7" spans="3:4">
      <c r="C7" s="7" t="s">
        <v>248</v>
      </c>
      <c r="D7" s="401"/>
    </row>
    <row r="8" spans="3:4">
      <c r="C8" s="7" t="s">
        <v>249</v>
      </c>
      <c r="D8" s="401"/>
    </row>
    <row r="9" spans="3:4">
      <c r="C9" s="7" t="s">
        <v>250</v>
      </c>
      <c r="D9" s="401"/>
    </row>
    <row r="10" spans="3:4">
      <c r="C10" s="7" t="s">
        <v>251</v>
      </c>
      <c r="D10" s="401"/>
    </row>
    <row r="11" spans="3:4">
      <c r="C11" s="7" t="s">
        <v>78</v>
      </c>
      <c r="D11" s="401"/>
    </row>
    <row r="12" spans="3:4">
      <c r="C12" t="s">
        <v>252</v>
      </c>
      <c r="D12" s="402"/>
    </row>
  </sheetData>
  <sheetProtection sheet="1" objects="1" scenarios="1" formatCells="0" sort="0" autoFilter="0" pivotTables="0"/>
  <mergeCells count="1">
    <mergeCell ref="C3:D3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FF1A09-4880-40EA-A7F2-63D04FE20182}">
  <sheetPr codeName="Sheet8">
    <tabColor theme="0" tint="-0.14999847407452621"/>
  </sheetPr>
  <dimension ref="C1:T376"/>
  <sheetViews>
    <sheetView showGridLines="0" topLeftCell="A38" zoomScale="80" zoomScaleNormal="80" workbookViewId="0">
      <selection activeCell="K33" sqref="K33"/>
    </sheetView>
  </sheetViews>
  <sheetFormatPr baseColWidth="10" defaultColWidth="8.83203125" defaultRowHeight="15"/>
  <cols>
    <col min="3" max="3" width="30.1640625" bestFit="1" customWidth="1"/>
    <col min="4" max="5" width="19.1640625" bestFit="1" customWidth="1"/>
    <col min="6" max="7" width="17.5" bestFit="1" customWidth="1"/>
    <col min="8" max="8" width="17.1640625" bestFit="1" customWidth="1"/>
    <col min="9" max="9" width="21.6640625" customWidth="1"/>
    <col min="10" max="10" width="16.33203125" customWidth="1"/>
    <col min="11" max="11" width="14.33203125" bestFit="1" customWidth="1"/>
    <col min="12" max="12" width="12.5" bestFit="1" customWidth="1"/>
    <col min="13" max="13" width="12" bestFit="1" customWidth="1"/>
    <col min="14" max="14" width="12.33203125" bestFit="1" customWidth="1"/>
    <col min="15" max="15" width="10.1640625" bestFit="1" customWidth="1"/>
    <col min="16" max="16" width="14.33203125" bestFit="1" customWidth="1"/>
    <col min="18" max="18" width="10.1640625" bestFit="1" customWidth="1"/>
    <col min="20" max="20" width="11.5" bestFit="1" customWidth="1"/>
  </cols>
  <sheetData>
    <row r="1" spans="3:11">
      <c r="C1" s="52"/>
    </row>
    <row r="2" spans="3:11">
      <c r="C2" s="52"/>
    </row>
    <row r="3" spans="3:11" ht="16" thickBot="1"/>
    <row r="4" spans="3:11">
      <c r="C4" s="459" t="s">
        <v>76</v>
      </c>
      <c r="D4" s="460"/>
      <c r="F4" s="126" t="s">
        <v>2</v>
      </c>
      <c r="G4" s="127"/>
    </row>
    <row r="5" spans="3:11">
      <c r="C5" s="128" t="s">
        <v>77</v>
      </c>
      <c r="D5" s="129">
        <f>+Financing!H76</f>
        <v>2681591.4382222421</v>
      </c>
      <c r="F5" s="128" t="s">
        <v>78</v>
      </c>
      <c r="G5" s="130">
        <f>+'Deal Summary'!D32</f>
        <v>3654076.5664000004</v>
      </c>
      <c r="J5" s="153"/>
    </row>
    <row r="6" spans="3:11">
      <c r="C6" s="128" t="s">
        <v>11</v>
      </c>
      <c r="D6" s="131">
        <v>0.06</v>
      </c>
      <c r="F6" s="128" t="s">
        <v>7</v>
      </c>
      <c r="G6" s="131">
        <f>+'Deal Summary'!G34</f>
        <v>0.8</v>
      </c>
      <c r="J6" s="153"/>
    </row>
    <row r="7" spans="3:11">
      <c r="C7" s="128" t="s">
        <v>79</v>
      </c>
      <c r="D7" s="132">
        <f>+'Deal Summary'!G37</f>
        <v>25</v>
      </c>
      <c r="F7" s="128" t="s">
        <v>80</v>
      </c>
      <c r="G7" s="130">
        <f>G5*(100%-G6)</f>
        <v>730815.31327999989</v>
      </c>
      <c r="J7" s="153"/>
      <c r="K7" s="14"/>
    </row>
    <row r="8" spans="3:11" ht="16" thickBot="1">
      <c r="C8" s="128" t="s">
        <v>81</v>
      </c>
      <c r="D8" s="133">
        <f>2*12</f>
        <v>24</v>
      </c>
      <c r="F8" s="134" t="s">
        <v>82</v>
      </c>
      <c r="G8" s="135">
        <f>G5-G7-I8</f>
        <v>2923261.2531200005</v>
      </c>
      <c r="I8" s="2"/>
      <c r="J8" s="153"/>
    </row>
    <row r="9" spans="3:11">
      <c r="C9" s="128" t="s">
        <v>83</v>
      </c>
      <c r="D9" s="136">
        <f>(D7*12)</f>
        <v>300</v>
      </c>
      <c r="J9" s="21"/>
    </row>
    <row r="10" spans="3:11">
      <c r="C10" s="128" t="s">
        <v>84</v>
      </c>
      <c r="D10" s="136">
        <f>D8+D9</f>
        <v>324</v>
      </c>
      <c r="J10" s="154"/>
    </row>
    <row r="11" spans="3:11">
      <c r="C11" s="128" t="s">
        <v>85</v>
      </c>
      <c r="D11" s="130">
        <f>PMT(D6/12,$D$7*12,$D$5,0,0)*-1</f>
        <v>17277.531218581313</v>
      </c>
    </row>
    <row r="12" spans="3:11" ht="16" thickBot="1">
      <c r="C12" s="134" t="s">
        <v>86</v>
      </c>
      <c r="D12" s="135">
        <f>D11*12</f>
        <v>207330.37462297577</v>
      </c>
    </row>
    <row r="14" spans="3:11" ht="16" thickBot="1">
      <c r="C14" s="105"/>
      <c r="E14" s="458" t="s">
        <v>87</v>
      </c>
      <c r="F14" s="458"/>
      <c r="G14" s="458"/>
    </row>
    <row r="15" spans="3:11" ht="16" thickBot="1">
      <c r="C15" s="137" t="s">
        <v>88</v>
      </c>
      <c r="D15" s="138" t="s">
        <v>89</v>
      </c>
      <c r="E15" s="138" t="s">
        <v>90</v>
      </c>
      <c r="F15" s="138" t="s">
        <v>91</v>
      </c>
      <c r="G15" s="138" t="s">
        <v>92</v>
      </c>
      <c r="H15" s="138" t="s">
        <v>8</v>
      </c>
      <c r="I15" s="139" t="s">
        <v>93</v>
      </c>
    </row>
    <row r="16" spans="3:11">
      <c r="C16" s="140">
        <v>0</v>
      </c>
      <c r="D16" s="141">
        <v>0</v>
      </c>
      <c r="E16" s="142"/>
      <c r="F16" s="142"/>
      <c r="G16" s="142"/>
      <c r="H16" s="142"/>
      <c r="I16" s="143">
        <f>D5</f>
        <v>2681591.4382222421</v>
      </c>
      <c r="J16" s="2"/>
      <c r="K16" s="2"/>
    </row>
    <row r="17" spans="3:20">
      <c r="C17" s="40"/>
      <c r="D17" s="58">
        <v>1</v>
      </c>
      <c r="E17" s="144">
        <f>I16</f>
        <v>2681591.4382222421</v>
      </c>
      <c r="F17" s="144">
        <f>IF(D17&gt;$D$10,0,IF(D17&lt;=$D$8,G17,-PMT($D$6/12,$D$9,$E$17,0,0)))</f>
        <v>13407.957191111211</v>
      </c>
      <c r="G17" s="144">
        <f>IF(D17&gt;$D$10,0,($D$6/12)*E17)</f>
        <v>13407.957191111211</v>
      </c>
      <c r="H17" s="144">
        <f t="shared" ref="H17:H80" si="0">F17-G17</f>
        <v>0</v>
      </c>
      <c r="I17" s="145">
        <f t="shared" ref="I17:I80" si="1">E17-H17</f>
        <v>2681591.4382222421</v>
      </c>
      <c r="J17" s="21"/>
      <c r="K17" s="21"/>
      <c r="L17" s="2"/>
      <c r="M17" s="146"/>
      <c r="N17" s="21"/>
      <c r="O17" s="146"/>
      <c r="P17" s="2"/>
      <c r="R17" s="146"/>
    </row>
    <row r="18" spans="3:20">
      <c r="C18" s="40"/>
      <c r="D18" s="58">
        <v>2</v>
      </c>
      <c r="E18" s="144">
        <f>I17</f>
        <v>2681591.4382222421</v>
      </c>
      <c r="F18" s="144">
        <f>IF(D18&gt;$D$10,0,IF(D18&lt;=$D$8,G18,-PMT($D$6/12,$D$9,$D$5,0,0)))</f>
        <v>13407.957191111211</v>
      </c>
      <c r="G18" s="144">
        <f t="shared" ref="G18:G81" si="2">IF(D18&gt;$D$10,0,($D$6/12)*I17)</f>
        <v>13407.957191111211</v>
      </c>
      <c r="H18" s="144">
        <f t="shared" si="0"/>
        <v>0</v>
      </c>
      <c r="I18" s="145">
        <f t="shared" si="1"/>
        <v>2681591.4382222421</v>
      </c>
      <c r="J18" s="21"/>
      <c r="K18" s="21"/>
      <c r="L18" s="2"/>
      <c r="M18" s="146"/>
      <c r="N18" s="21"/>
      <c r="O18" s="146"/>
      <c r="P18" s="2"/>
      <c r="R18" s="146"/>
    </row>
    <row r="19" spans="3:20">
      <c r="C19" s="40"/>
      <c r="D19" s="58">
        <v>3</v>
      </c>
      <c r="E19" s="144">
        <f>I18</f>
        <v>2681591.4382222421</v>
      </c>
      <c r="F19" s="144">
        <f>IF(D19&gt;$D$10,0,IF(D19&lt;=$D$8,G19,-PMT($D$6/12,$D$9,$D$5,0,0)))</f>
        <v>13407.957191111211</v>
      </c>
      <c r="G19" s="144">
        <f t="shared" si="2"/>
        <v>13407.957191111211</v>
      </c>
      <c r="H19" s="144">
        <f t="shared" si="0"/>
        <v>0</v>
      </c>
      <c r="I19" s="145">
        <f t="shared" si="1"/>
        <v>2681591.4382222421</v>
      </c>
      <c r="L19" s="2"/>
      <c r="M19" s="146"/>
      <c r="N19" s="21"/>
      <c r="O19" s="146"/>
      <c r="P19" s="2"/>
      <c r="R19" s="146"/>
    </row>
    <row r="20" spans="3:20">
      <c r="C20" s="40"/>
      <c r="D20" s="58">
        <v>4</v>
      </c>
      <c r="E20" s="144">
        <f>I19</f>
        <v>2681591.4382222421</v>
      </c>
      <c r="F20" s="144">
        <f>IF(D20&gt;$D$10,0,IF(D20&lt;=$D$8,G20,-PMT($D$6/12,$D$9,$E$17,0,0)))</f>
        <v>13407.957191111211</v>
      </c>
      <c r="G20" s="144">
        <f t="shared" si="2"/>
        <v>13407.957191111211</v>
      </c>
      <c r="H20" s="144">
        <f t="shared" si="0"/>
        <v>0</v>
      </c>
      <c r="I20" s="145">
        <f t="shared" si="1"/>
        <v>2681591.4382222421</v>
      </c>
      <c r="L20" s="2"/>
      <c r="M20" s="146"/>
      <c r="N20" s="21"/>
      <c r="O20" s="146"/>
      <c r="P20" s="2"/>
      <c r="R20" s="146"/>
      <c r="T20" s="21"/>
    </row>
    <row r="21" spans="3:20">
      <c r="C21" s="40"/>
      <c r="D21" s="58">
        <v>5</v>
      </c>
      <c r="E21" s="144">
        <f>I20</f>
        <v>2681591.4382222421</v>
      </c>
      <c r="F21" s="144">
        <f t="shared" ref="F21:F84" si="3">IF(D21&gt;$D$10,0,IF(D21&lt;=$D$8,G21,-PMT($D$6/12,$D$9,$D$5,0,0)))</f>
        <v>13407.957191111211</v>
      </c>
      <c r="G21" s="144">
        <f t="shared" si="2"/>
        <v>13407.957191111211</v>
      </c>
      <c r="H21" s="144">
        <f t="shared" si="0"/>
        <v>0</v>
      </c>
      <c r="I21" s="145">
        <f t="shared" si="1"/>
        <v>2681591.4382222421</v>
      </c>
      <c r="L21" s="2"/>
      <c r="M21" s="146"/>
      <c r="N21" s="21"/>
      <c r="O21" s="146"/>
      <c r="P21" s="2"/>
      <c r="R21" s="146"/>
    </row>
    <row r="22" spans="3:20">
      <c r="C22" s="40"/>
      <c r="D22" s="58">
        <v>6</v>
      </c>
      <c r="E22" s="144">
        <f t="shared" ref="E22:E85" si="4">IF(D22&gt;$D$10,0,I21)</f>
        <v>2681591.4382222421</v>
      </c>
      <c r="F22" s="144">
        <f t="shared" si="3"/>
        <v>13407.957191111211</v>
      </c>
      <c r="G22" s="144">
        <f t="shared" si="2"/>
        <v>13407.957191111211</v>
      </c>
      <c r="H22" s="144">
        <f t="shared" si="0"/>
        <v>0</v>
      </c>
      <c r="I22" s="145">
        <f t="shared" si="1"/>
        <v>2681591.4382222421</v>
      </c>
      <c r="L22" s="2"/>
      <c r="M22" s="146"/>
      <c r="N22" s="21"/>
      <c r="O22" s="146"/>
      <c r="P22" s="2"/>
      <c r="R22" s="146"/>
    </row>
    <row r="23" spans="3:20">
      <c r="C23" s="40"/>
      <c r="D23" s="58">
        <v>7</v>
      </c>
      <c r="E23" s="144">
        <f t="shared" si="4"/>
        <v>2681591.4382222421</v>
      </c>
      <c r="F23" s="144">
        <f t="shared" si="3"/>
        <v>13407.957191111211</v>
      </c>
      <c r="G23" s="144">
        <f t="shared" si="2"/>
        <v>13407.957191111211</v>
      </c>
      <c r="H23" s="144">
        <f t="shared" si="0"/>
        <v>0</v>
      </c>
      <c r="I23" s="145">
        <f t="shared" si="1"/>
        <v>2681591.4382222421</v>
      </c>
      <c r="L23" s="2"/>
      <c r="M23" s="146"/>
      <c r="N23" s="21"/>
      <c r="O23" s="146"/>
      <c r="P23" s="2"/>
      <c r="R23" s="146"/>
    </row>
    <row r="24" spans="3:20">
      <c r="C24" s="40"/>
      <c r="D24" s="58">
        <v>8</v>
      </c>
      <c r="E24" s="144">
        <f t="shared" si="4"/>
        <v>2681591.4382222421</v>
      </c>
      <c r="F24" s="144">
        <f t="shared" si="3"/>
        <v>13407.957191111211</v>
      </c>
      <c r="G24" s="144">
        <f t="shared" si="2"/>
        <v>13407.957191111211</v>
      </c>
      <c r="H24" s="144">
        <f t="shared" si="0"/>
        <v>0</v>
      </c>
      <c r="I24" s="145">
        <f t="shared" si="1"/>
        <v>2681591.4382222421</v>
      </c>
      <c r="L24" s="2"/>
      <c r="M24" s="146"/>
      <c r="N24" s="21"/>
      <c r="O24" s="146"/>
      <c r="P24" s="2"/>
      <c r="R24" s="146"/>
    </row>
    <row r="25" spans="3:20">
      <c r="C25" s="40"/>
      <c r="D25" s="58">
        <v>9</v>
      </c>
      <c r="E25" s="144">
        <f t="shared" si="4"/>
        <v>2681591.4382222421</v>
      </c>
      <c r="F25" s="144">
        <f t="shared" si="3"/>
        <v>13407.957191111211</v>
      </c>
      <c r="G25" s="144">
        <f t="shared" si="2"/>
        <v>13407.957191111211</v>
      </c>
      <c r="H25" s="144">
        <f t="shared" si="0"/>
        <v>0</v>
      </c>
      <c r="I25" s="145">
        <f t="shared" si="1"/>
        <v>2681591.4382222421</v>
      </c>
      <c r="L25" s="2"/>
      <c r="M25" s="146"/>
      <c r="N25" s="21"/>
      <c r="O25" s="146"/>
      <c r="P25" s="2"/>
      <c r="R25" s="146"/>
    </row>
    <row r="26" spans="3:20">
      <c r="C26" s="40"/>
      <c r="D26" s="58">
        <v>10</v>
      </c>
      <c r="E26" s="144">
        <f t="shared" si="4"/>
        <v>2681591.4382222421</v>
      </c>
      <c r="F26" s="144">
        <f t="shared" si="3"/>
        <v>13407.957191111211</v>
      </c>
      <c r="G26" s="144">
        <f t="shared" si="2"/>
        <v>13407.957191111211</v>
      </c>
      <c r="H26" s="144">
        <f t="shared" si="0"/>
        <v>0</v>
      </c>
      <c r="I26" s="145">
        <f t="shared" si="1"/>
        <v>2681591.4382222421</v>
      </c>
      <c r="L26" s="2"/>
      <c r="M26" s="146"/>
      <c r="N26" s="21"/>
      <c r="O26" s="146"/>
      <c r="P26" s="2"/>
      <c r="R26" s="146"/>
    </row>
    <row r="27" spans="3:20">
      <c r="C27" s="40"/>
      <c r="D27" s="58">
        <v>11</v>
      </c>
      <c r="E27" s="144">
        <f t="shared" si="4"/>
        <v>2681591.4382222421</v>
      </c>
      <c r="F27" s="144">
        <f t="shared" si="3"/>
        <v>13407.957191111211</v>
      </c>
      <c r="G27" s="144">
        <f t="shared" si="2"/>
        <v>13407.957191111211</v>
      </c>
      <c r="H27" s="144">
        <f t="shared" si="0"/>
        <v>0</v>
      </c>
      <c r="I27" s="145">
        <f t="shared" si="1"/>
        <v>2681591.4382222421</v>
      </c>
      <c r="L27" s="2"/>
      <c r="M27" s="146"/>
      <c r="N27" s="21"/>
      <c r="O27" s="146"/>
      <c r="P27" s="2"/>
      <c r="R27" s="146"/>
    </row>
    <row r="28" spans="3:20">
      <c r="C28" s="46">
        <v>1</v>
      </c>
      <c r="D28" s="147">
        <v>12</v>
      </c>
      <c r="E28" s="144">
        <f t="shared" si="4"/>
        <v>2681591.4382222421</v>
      </c>
      <c r="F28" s="144">
        <f t="shared" si="3"/>
        <v>13407.957191111211</v>
      </c>
      <c r="G28" s="144">
        <f t="shared" si="2"/>
        <v>13407.957191111211</v>
      </c>
      <c r="H28" s="144">
        <f t="shared" si="0"/>
        <v>0</v>
      </c>
      <c r="I28" s="145">
        <f t="shared" si="1"/>
        <v>2681591.4382222421</v>
      </c>
      <c r="J28" s="148">
        <f>+SUM(H17:H28)+SUM(G17:G28)</f>
        <v>160895.48629333451</v>
      </c>
      <c r="L28" s="2"/>
      <c r="M28" s="146"/>
      <c r="N28" s="21"/>
      <c r="O28" s="146"/>
      <c r="P28" s="2"/>
      <c r="R28" s="146"/>
    </row>
    <row r="29" spans="3:20">
      <c r="C29" s="40"/>
      <c r="D29" s="58">
        <v>13</v>
      </c>
      <c r="E29" s="144">
        <f t="shared" si="4"/>
        <v>2681591.4382222421</v>
      </c>
      <c r="F29" s="144">
        <f t="shared" si="3"/>
        <v>13407.957191111211</v>
      </c>
      <c r="G29" s="144">
        <f t="shared" si="2"/>
        <v>13407.957191111211</v>
      </c>
      <c r="H29" s="144">
        <f t="shared" si="0"/>
        <v>0</v>
      </c>
      <c r="I29" s="145">
        <f t="shared" si="1"/>
        <v>2681591.4382222421</v>
      </c>
      <c r="L29" s="2"/>
      <c r="M29" s="146"/>
      <c r="N29" s="21"/>
      <c r="O29" s="146"/>
      <c r="P29" s="2"/>
      <c r="R29" s="146"/>
    </row>
    <row r="30" spans="3:20">
      <c r="C30" s="40"/>
      <c r="D30" s="58">
        <v>14</v>
      </c>
      <c r="E30" s="144">
        <f t="shared" si="4"/>
        <v>2681591.4382222421</v>
      </c>
      <c r="F30" s="144">
        <f t="shared" si="3"/>
        <v>13407.957191111211</v>
      </c>
      <c r="G30" s="144">
        <f t="shared" si="2"/>
        <v>13407.957191111211</v>
      </c>
      <c r="H30" s="144">
        <f t="shared" si="0"/>
        <v>0</v>
      </c>
      <c r="I30" s="145">
        <f t="shared" si="1"/>
        <v>2681591.4382222421</v>
      </c>
      <c r="L30" s="2"/>
      <c r="M30" s="146"/>
      <c r="N30" s="21"/>
      <c r="O30" s="146"/>
      <c r="P30" s="2"/>
      <c r="R30" s="146"/>
    </row>
    <row r="31" spans="3:20">
      <c r="C31" s="40"/>
      <c r="D31" s="58">
        <v>15</v>
      </c>
      <c r="E31" s="144">
        <f t="shared" si="4"/>
        <v>2681591.4382222421</v>
      </c>
      <c r="F31" s="144">
        <f t="shared" si="3"/>
        <v>13407.957191111211</v>
      </c>
      <c r="G31" s="144">
        <f t="shared" si="2"/>
        <v>13407.957191111211</v>
      </c>
      <c r="H31" s="144">
        <f t="shared" si="0"/>
        <v>0</v>
      </c>
      <c r="I31" s="145">
        <f t="shared" si="1"/>
        <v>2681591.4382222421</v>
      </c>
      <c r="L31" s="2"/>
      <c r="M31" s="146"/>
      <c r="N31" s="21"/>
      <c r="O31" s="146"/>
      <c r="P31" s="2"/>
      <c r="R31" s="146"/>
    </row>
    <row r="32" spans="3:20">
      <c r="C32" s="40"/>
      <c r="D32" s="58">
        <v>16</v>
      </c>
      <c r="E32" s="144">
        <f t="shared" si="4"/>
        <v>2681591.4382222421</v>
      </c>
      <c r="F32" s="144">
        <f t="shared" si="3"/>
        <v>13407.957191111211</v>
      </c>
      <c r="G32" s="144">
        <f t="shared" si="2"/>
        <v>13407.957191111211</v>
      </c>
      <c r="H32" s="144">
        <f t="shared" si="0"/>
        <v>0</v>
      </c>
      <c r="I32" s="145">
        <f t="shared" si="1"/>
        <v>2681591.4382222421</v>
      </c>
      <c r="L32" s="2"/>
      <c r="M32" s="146"/>
      <c r="N32" s="21"/>
      <c r="O32" s="146"/>
      <c r="P32" s="2"/>
      <c r="R32" s="146"/>
    </row>
    <row r="33" spans="3:18">
      <c r="C33" s="40"/>
      <c r="D33" s="58">
        <v>17</v>
      </c>
      <c r="E33" s="144">
        <f t="shared" si="4"/>
        <v>2681591.4382222421</v>
      </c>
      <c r="F33" s="144">
        <f t="shared" si="3"/>
        <v>13407.957191111211</v>
      </c>
      <c r="G33" s="144">
        <f t="shared" si="2"/>
        <v>13407.957191111211</v>
      </c>
      <c r="H33" s="144">
        <f t="shared" si="0"/>
        <v>0</v>
      </c>
      <c r="I33" s="145">
        <f t="shared" si="1"/>
        <v>2681591.4382222421</v>
      </c>
      <c r="L33" s="2"/>
      <c r="M33" s="146"/>
      <c r="N33" s="21"/>
      <c r="O33" s="146"/>
      <c r="P33" s="2"/>
      <c r="R33" s="146"/>
    </row>
    <row r="34" spans="3:18">
      <c r="C34" s="40"/>
      <c r="D34" s="58">
        <v>18</v>
      </c>
      <c r="E34" s="144">
        <f t="shared" si="4"/>
        <v>2681591.4382222421</v>
      </c>
      <c r="F34" s="144">
        <f t="shared" si="3"/>
        <v>13407.957191111211</v>
      </c>
      <c r="G34" s="144">
        <f t="shared" si="2"/>
        <v>13407.957191111211</v>
      </c>
      <c r="H34" s="144">
        <f t="shared" si="0"/>
        <v>0</v>
      </c>
      <c r="I34" s="145">
        <f t="shared" si="1"/>
        <v>2681591.4382222421</v>
      </c>
      <c r="L34" s="2"/>
      <c r="M34" s="146"/>
      <c r="N34" s="21"/>
      <c r="O34" s="146"/>
      <c r="P34" s="2"/>
      <c r="R34" s="146"/>
    </row>
    <row r="35" spans="3:18">
      <c r="C35" s="40"/>
      <c r="D35" s="58">
        <v>19</v>
      </c>
      <c r="E35" s="144">
        <f t="shared" si="4"/>
        <v>2681591.4382222421</v>
      </c>
      <c r="F35" s="144">
        <f t="shared" si="3"/>
        <v>13407.957191111211</v>
      </c>
      <c r="G35" s="144">
        <f t="shared" si="2"/>
        <v>13407.957191111211</v>
      </c>
      <c r="H35" s="144">
        <f t="shared" si="0"/>
        <v>0</v>
      </c>
      <c r="I35" s="145">
        <f t="shared" si="1"/>
        <v>2681591.4382222421</v>
      </c>
      <c r="L35" s="2"/>
      <c r="M35" s="146"/>
      <c r="N35" s="21"/>
      <c r="O35" s="146"/>
      <c r="P35" s="2"/>
      <c r="R35" s="146"/>
    </row>
    <row r="36" spans="3:18">
      <c r="C36" s="40"/>
      <c r="D36" s="58">
        <v>20</v>
      </c>
      <c r="E36" s="144">
        <f t="shared" si="4"/>
        <v>2681591.4382222421</v>
      </c>
      <c r="F36" s="144">
        <f t="shared" si="3"/>
        <v>13407.957191111211</v>
      </c>
      <c r="G36" s="144">
        <f t="shared" si="2"/>
        <v>13407.957191111211</v>
      </c>
      <c r="H36" s="144">
        <f t="shared" si="0"/>
        <v>0</v>
      </c>
      <c r="I36" s="145">
        <f t="shared" si="1"/>
        <v>2681591.4382222421</v>
      </c>
      <c r="L36" s="2"/>
      <c r="M36" s="146"/>
      <c r="N36" s="21"/>
      <c r="O36" s="146"/>
      <c r="P36" s="2"/>
      <c r="R36" s="146"/>
    </row>
    <row r="37" spans="3:18">
      <c r="C37" s="40"/>
      <c r="D37" s="58">
        <v>21</v>
      </c>
      <c r="E37" s="144">
        <f t="shared" si="4"/>
        <v>2681591.4382222421</v>
      </c>
      <c r="F37" s="144">
        <f t="shared" si="3"/>
        <v>13407.957191111211</v>
      </c>
      <c r="G37" s="144">
        <f t="shared" si="2"/>
        <v>13407.957191111211</v>
      </c>
      <c r="H37" s="144">
        <f t="shared" si="0"/>
        <v>0</v>
      </c>
      <c r="I37" s="145">
        <f t="shared" si="1"/>
        <v>2681591.4382222421</v>
      </c>
      <c r="L37" s="2"/>
      <c r="M37" s="146"/>
      <c r="N37" s="21"/>
      <c r="O37" s="146"/>
      <c r="P37" s="2"/>
      <c r="R37" s="146"/>
    </row>
    <row r="38" spans="3:18">
      <c r="C38" s="40"/>
      <c r="D38" s="58">
        <v>22</v>
      </c>
      <c r="E38" s="144">
        <f t="shared" si="4"/>
        <v>2681591.4382222421</v>
      </c>
      <c r="F38" s="144">
        <f t="shared" si="3"/>
        <v>13407.957191111211</v>
      </c>
      <c r="G38" s="144">
        <f t="shared" si="2"/>
        <v>13407.957191111211</v>
      </c>
      <c r="H38" s="144">
        <f t="shared" si="0"/>
        <v>0</v>
      </c>
      <c r="I38" s="145">
        <f t="shared" si="1"/>
        <v>2681591.4382222421</v>
      </c>
      <c r="L38" s="2"/>
      <c r="M38" s="146"/>
      <c r="N38" s="21"/>
      <c r="O38" s="146"/>
      <c r="P38" s="2"/>
      <c r="R38" s="146"/>
    </row>
    <row r="39" spans="3:18">
      <c r="C39" s="40"/>
      <c r="D39" s="58">
        <v>23</v>
      </c>
      <c r="E39" s="144">
        <f t="shared" si="4"/>
        <v>2681591.4382222421</v>
      </c>
      <c r="F39" s="144">
        <f t="shared" si="3"/>
        <v>13407.957191111211</v>
      </c>
      <c r="G39" s="144">
        <f t="shared" si="2"/>
        <v>13407.957191111211</v>
      </c>
      <c r="H39" s="144">
        <f t="shared" si="0"/>
        <v>0</v>
      </c>
      <c r="I39" s="145">
        <f t="shared" si="1"/>
        <v>2681591.4382222421</v>
      </c>
      <c r="L39" s="2"/>
      <c r="M39" s="146"/>
      <c r="N39" s="21"/>
      <c r="O39" s="146"/>
      <c r="P39" s="2"/>
      <c r="R39" s="146"/>
    </row>
    <row r="40" spans="3:18">
      <c r="C40" s="46">
        <v>2</v>
      </c>
      <c r="D40" s="147">
        <v>24</v>
      </c>
      <c r="E40" s="144">
        <f t="shared" si="4"/>
        <v>2681591.4382222421</v>
      </c>
      <c r="F40" s="144">
        <f t="shared" si="3"/>
        <v>13407.957191111211</v>
      </c>
      <c r="G40" s="144">
        <f t="shared" si="2"/>
        <v>13407.957191111211</v>
      </c>
      <c r="H40" s="144">
        <f t="shared" si="0"/>
        <v>0</v>
      </c>
      <c r="I40" s="145">
        <f t="shared" si="1"/>
        <v>2681591.4382222421</v>
      </c>
      <c r="J40" s="148">
        <f>+SUM(H29:H40)+SUM(G29:G40)</f>
        <v>160895.48629333451</v>
      </c>
      <c r="L40" s="2"/>
      <c r="M40" s="146"/>
      <c r="N40" s="21"/>
      <c r="O40" s="146"/>
      <c r="P40" s="2"/>
      <c r="R40" s="146"/>
    </row>
    <row r="41" spans="3:18">
      <c r="C41" s="40"/>
      <c r="D41" s="58">
        <v>25</v>
      </c>
      <c r="E41" s="144">
        <f t="shared" si="4"/>
        <v>2681591.4382222421</v>
      </c>
      <c r="F41" s="144">
        <f t="shared" si="3"/>
        <v>17277.531218581313</v>
      </c>
      <c r="G41" s="144">
        <f t="shared" si="2"/>
        <v>13407.957191111211</v>
      </c>
      <c r="H41" s="144">
        <f t="shared" si="0"/>
        <v>3869.574027470102</v>
      </c>
      <c r="I41" s="145">
        <f t="shared" si="1"/>
        <v>2677721.8641947717</v>
      </c>
      <c r="L41" s="2"/>
      <c r="M41" s="146"/>
      <c r="N41" s="21"/>
      <c r="O41" s="146"/>
      <c r="P41" s="2"/>
      <c r="R41" s="146"/>
    </row>
    <row r="42" spans="3:18">
      <c r="C42" s="40"/>
      <c r="D42" s="58">
        <v>26</v>
      </c>
      <c r="E42" s="144">
        <f t="shared" si="4"/>
        <v>2677721.8641947717</v>
      </c>
      <c r="F42" s="144">
        <f t="shared" si="3"/>
        <v>17277.531218581313</v>
      </c>
      <c r="G42" s="144">
        <f t="shared" si="2"/>
        <v>13388.609320973859</v>
      </c>
      <c r="H42" s="144">
        <f t="shared" si="0"/>
        <v>3888.9218976074535</v>
      </c>
      <c r="I42" s="145">
        <f t="shared" si="1"/>
        <v>2673832.9422971644</v>
      </c>
    </row>
    <row r="43" spans="3:18">
      <c r="C43" s="40"/>
      <c r="D43" s="58">
        <v>27</v>
      </c>
      <c r="E43" s="144">
        <f t="shared" si="4"/>
        <v>2673832.9422971644</v>
      </c>
      <c r="F43" s="144">
        <f t="shared" si="3"/>
        <v>17277.531218581313</v>
      </c>
      <c r="G43" s="144">
        <f t="shared" si="2"/>
        <v>13369.164711485822</v>
      </c>
      <c r="H43" s="144">
        <f t="shared" si="0"/>
        <v>3908.3665070954903</v>
      </c>
      <c r="I43" s="145">
        <f t="shared" si="1"/>
        <v>2669924.5757900691</v>
      </c>
    </row>
    <row r="44" spans="3:18">
      <c r="C44" s="40"/>
      <c r="D44" s="58">
        <v>28</v>
      </c>
      <c r="E44" s="144">
        <f t="shared" si="4"/>
        <v>2669924.5757900691</v>
      </c>
      <c r="F44" s="144">
        <f t="shared" si="3"/>
        <v>17277.531218581313</v>
      </c>
      <c r="G44" s="144">
        <f t="shared" si="2"/>
        <v>13349.622878950346</v>
      </c>
      <c r="H44" s="144">
        <f t="shared" si="0"/>
        <v>3927.908339630967</v>
      </c>
      <c r="I44" s="145">
        <f t="shared" si="1"/>
        <v>2665996.6674504383</v>
      </c>
    </row>
    <row r="45" spans="3:18">
      <c r="C45" s="40"/>
      <c r="D45" s="58">
        <v>29</v>
      </c>
      <c r="E45" s="144">
        <f t="shared" si="4"/>
        <v>2665996.6674504383</v>
      </c>
      <c r="F45" s="144">
        <f t="shared" si="3"/>
        <v>17277.531218581313</v>
      </c>
      <c r="G45" s="144">
        <f t="shared" si="2"/>
        <v>13329.983337252192</v>
      </c>
      <c r="H45" s="144">
        <f t="shared" si="0"/>
        <v>3947.5478813291211</v>
      </c>
      <c r="I45" s="145">
        <f t="shared" si="1"/>
        <v>2662049.1195691093</v>
      </c>
    </row>
    <row r="46" spans="3:18">
      <c r="C46" s="40"/>
      <c r="D46" s="58">
        <v>30</v>
      </c>
      <c r="E46" s="144">
        <f t="shared" si="4"/>
        <v>2662049.1195691093</v>
      </c>
      <c r="F46" s="144">
        <f t="shared" si="3"/>
        <v>17277.531218581313</v>
      </c>
      <c r="G46" s="144">
        <f t="shared" si="2"/>
        <v>13310.245597845547</v>
      </c>
      <c r="H46" s="144">
        <f t="shared" si="0"/>
        <v>3967.2856207357654</v>
      </c>
      <c r="I46" s="145">
        <f t="shared" si="1"/>
        <v>2658081.8339483733</v>
      </c>
    </row>
    <row r="47" spans="3:18">
      <c r="C47" s="40"/>
      <c r="D47" s="58">
        <v>31</v>
      </c>
      <c r="E47" s="144">
        <f t="shared" si="4"/>
        <v>2658081.8339483733</v>
      </c>
      <c r="F47" s="144">
        <f t="shared" si="3"/>
        <v>17277.531218581313</v>
      </c>
      <c r="G47" s="144">
        <f t="shared" si="2"/>
        <v>13290.409169741866</v>
      </c>
      <c r="H47" s="144">
        <f t="shared" si="0"/>
        <v>3987.1220488394465</v>
      </c>
      <c r="I47" s="145">
        <f t="shared" si="1"/>
        <v>2654094.7118995339</v>
      </c>
    </row>
    <row r="48" spans="3:18">
      <c r="C48" s="40"/>
      <c r="D48" s="58">
        <v>32</v>
      </c>
      <c r="E48" s="144">
        <f t="shared" si="4"/>
        <v>2654094.7118995339</v>
      </c>
      <c r="F48" s="144">
        <f t="shared" si="3"/>
        <v>17277.531218581313</v>
      </c>
      <c r="G48" s="144">
        <f t="shared" si="2"/>
        <v>13270.47355949767</v>
      </c>
      <c r="H48" s="144">
        <f t="shared" si="0"/>
        <v>4007.0576590836426</v>
      </c>
      <c r="I48" s="145">
        <f t="shared" si="1"/>
        <v>2650087.6542404504</v>
      </c>
    </row>
    <row r="49" spans="3:10">
      <c r="C49" s="40"/>
      <c r="D49" s="58">
        <v>33</v>
      </c>
      <c r="E49" s="144">
        <f t="shared" si="4"/>
        <v>2650087.6542404504</v>
      </c>
      <c r="F49" s="144">
        <f t="shared" si="3"/>
        <v>17277.531218581313</v>
      </c>
      <c r="G49" s="144">
        <f t="shared" si="2"/>
        <v>13250.438271202253</v>
      </c>
      <c r="H49" s="144">
        <f t="shared" si="0"/>
        <v>4027.0929473790602</v>
      </c>
      <c r="I49" s="145">
        <f t="shared" si="1"/>
        <v>2646060.5612930711</v>
      </c>
    </row>
    <row r="50" spans="3:10">
      <c r="C50" s="40"/>
      <c r="D50" s="58">
        <v>34</v>
      </c>
      <c r="E50" s="144">
        <f t="shared" si="4"/>
        <v>2646060.5612930711</v>
      </c>
      <c r="F50" s="144">
        <f t="shared" si="3"/>
        <v>17277.531218581313</v>
      </c>
      <c r="G50" s="144">
        <f t="shared" si="2"/>
        <v>13230.302806465355</v>
      </c>
      <c r="H50" s="144">
        <f t="shared" si="0"/>
        <v>4047.2284121159573</v>
      </c>
      <c r="I50" s="145">
        <f t="shared" si="1"/>
        <v>2642013.3328809552</v>
      </c>
    </row>
    <row r="51" spans="3:10">
      <c r="C51" s="40"/>
      <c r="D51" s="58">
        <v>35</v>
      </c>
      <c r="E51" s="144">
        <f t="shared" si="4"/>
        <v>2642013.3328809552</v>
      </c>
      <c r="F51" s="144">
        <f t="shared" si="3"/>
        <v>17277.531218581313</v>
      </c>
      <c r="G51" s="144">
        <f t="shared" si="2"/>
        <v>13210.066664404776</v>
      </c>
      <c r="H51" s="144">
        <f t="shared" si="0"/>
        <v>4067.4645541765367</v>
      </c>
      <c r="I51" s="145">
        <f t="shared" si="1"/>
        <v>2637945.8683267785</v>
      </c>
    </row>
    <row r="52" spans="3:10">
      <c r="C52" s="46">
        <v>3</v>
      </c>
      <c r="D52" s="147">
        <v>36</v>
      </c>
      <c r="E52" s="144">
        <f t="shared" si="4"/>
        <v>2637945.8683267785</v>
      </c>
      <c r="F52" s="144">
        <f t="shared" si="3"/>
        <v>17277.531218581313</v>
      </c>
      <c r="G52" s="144">
        <f t="shared" si="2"/>
        <v>13189.729341633893</v>
      </c>
      <c r="H52" s="144">
        <f t="shared" si="0"/>
        <v>4087.8018769474202</v>
      </c>
      <c r="I52" s="145">
        <f t="shared" si="1"/>
        <v>2633858.0664498312</v>
      </c>
      <c r="J52" s="148">
        <f>+SUM(H41:H52)+SUM(G41:G52)</f>
        <v>207330.37462297574</v>
      </c>
    </row>
    <row r="53" spans="3:10">
      <c r="C53" s="40"/>
      <c r="D53" s="58">
        <v>37</v>
      </c>
      <c r="E53" s="144">
        <f t="shared" si="4"/>
        <v>2633858.0664498312</v>
      </c>
      <c r="F53" s="144">
        <f t="shared" si="3"/>
        <v>17277.531218581313</v>
      </c>
      <c r="G53" s="144">
        <f t="shared" si="2"/>
        <v>13169.290332249157</v>
      </c>
      <c r="H53" s="144">
        <f t="shared" si="0"/>
        <v>4108.2408863321562</v>
      </c>
      <c r="I53" s="145">
        <f t="shared" si="1"/>
        <v>2629749.8255634992</v>
      </c>
    </row>
    <row r="54" spans="3:10">
      <c r="C54" s="40"/>
      <c r="D54" s="58">
        <v>38</v>
      </c>
      <c r="E54" s="144">
        <f t="shared" si="4"/>
        <v>2629749.8255634992</v>
      </c>
      <c r="F54" s="144">
        <f t="shared" si="3"/>
        <v>17277.531218581313</v>
      </c>
      <c r="G54" s="144">
        <f t="shared" si="2"/>
        <v>13148.749127817497</v>
      </c>
      <c r="H54" s="144">
        <f t="shared" si="0"/>
        <v>4128.7820907638161</v>
      </c>
      <c r="I54" s="145">
        <f t="shared" si="1"/>
        <v>2625621.0434727352</v>
      </c>
    </row>
    <row r="55" spans="3:10">
      <c r="C55" s="40"/>
      <c r="D55" s="58">
        <v>39</v>
      </c>
      <c r="E55" s="144">
        <f t="shared" si="4"/>
        <v>2625621.0434727352</v>
      </c>
      <c r="F55" s="144">
        <f t="shared" si="3"/>
        <v>17277.531218581313</v>
      </c>
      <c r="G55" s="144">
        <f t="shared" si="2"/>
        <v>13128.105217363676</v>
      </c>
      <c r="H55" s="144">
        <f t="shared" si="0"/>
        <v>4149.4260012176364</v>
      </c>
      <c r="I55" s="145">
        <f t="shared" si="1"/>
        <v>2621471.6174715175</v>
      </c>
    </row>
    <row r="56" spans="3:10">
      <c r="C56" s="40"/>
      <c r="D56" s="58">
        <v>40</v>
      </c>
      <c r="E56" s="144">
        <f t="shared" si="4"/>
        <v>2621471.6174715175</v>
      </c>
      <c r="F56" s="144">
        <f t="shared" si="3"/>
        <v>17277.531218581313</v>
      </c>
      <c r="G56" s="144">
        <f t="shared" si="2"/>
        <v>13107.358087357588</v>
      </c>
      <c r="H56" s="144">
        <f t="shared" si="0"/>
        <v>4170.1731312237243</v>
      </c>
      <c r="I56" s="145">
        <f t="shared" si="1"/>
        <v>2617301.4443402938</v>
      </c>
    </row>
    <row r="57" spans="3:10">
      <c r="C57" s="40"/>
      <c r="D57" s="58">
        <v>41</v>
      </c>
      <c r="E57" s="144">
        <f t="shared" si="4"/>
        <v>2617301.4443402938</v>
      </c>
      <c r="F57" s="144">
        <f t="shared" si="3"/>
        <v>17277.531218581313</v>
      </c>
      <c r="G57" s="144">
        <f t="shared" si="2"/>
        <v>13086.507221701469</v>
      </c>
      <c r="H57" s="144">
        <f t="shared" si="0"/>
        <v>4191.0239968798433</v>
      </c>
      <c r="I57" s="145">
        <f t="shared" si="1"/>
        <v>2613110.4203434139</v>
      </c>
    </row>
    <row r="58" spans="3:10">
      <c r="C58" s="40"/>
      <c r="D58" s="58">
        <v>42</v>
      </c>
      <c r="E58" s="144">
        <f t="shared" si="4"/>
        <v>2613110.4203434139</v>
      </c>
      <c r="F58" s="144">
        <f t="shared" si="3"/>
        <v>17277.531218581313</v>
      </c>
      <c r="G58" s="144">
        <f t="shared" si="2"/>
        <v>13065.55210171707</v>
      </c>
      <c r="H58" s="144">
        <f t="shared" si="0"/>
        <v>4211.9791168642423</v>
      </c>
      <c r="I58" s="145">
        <f t="shared" si="1"/>
        <v>2608898.4412265499</v>
      </c>
    </row>
    <row r="59" spans="3:10">
      <c r="C59" s="40"/>
      <c r="D59" s="58">
        <v>43</v>
      </c>
      <c r="E59" s="144">
        <f t="shared" si="4"/>
        <v>2608898.4412265499</v>
      </c>
      <c r="F59" s="144">
        <f t="shared" si="3"/>
        <v>17277.531218581313</v>
      </c>
      <c r="G59" s="144">
        <f t="shared" si="2"/>
        <v>13044.492206132751</v>
      </c>
      <c r="H59" s="144">
        <f t="shared" si="0"/>
        <v>4233.0390124485621</v>
      </c>
      <c r="I59" s="145">
        <f t="shared" si="1"/>
        <v>2604665.4022141015</v>
      </c>
      <c r="J59" s="148"/>
    </row>
    <row r="60" spans="3:10">
      <c r="C60" s="40"/>
      <c r="D60" s="58">
        <v>44</v>
      </c>
      <c r="E60" s="144">
        <f t="shared" si="4"/>
        <v>2604665.4022141015</v>
      </c>
      <c r="F60" s="144">
        <f t="shared" si="3"/>
        <v>17277.531218581313</v>
      </c>
      <c r="G60" s="144">
        <f t="shared" si="2"/>
        <v>13023.327011070507</v>
      </c>
      <c r="H60" s="144">
        <f t="shared" si="0"/>
        <v>4254.2042075108056</v>
      </c>
      <c r="I60" s="145">
        <f t="shared" si="1"/>
        <v>2600411.1980065908</v>
      </c>
    </row>
    <row r="61" spans="3:10">
      <c r="C61" s="40"/>
      <c r="D61" s="58">
        <v>45</v>
      </c>
      <c r="E61" s="144">
        <f t="shared" si="4"/>
        <v>2600411.1980065908</v>
      </c>
      <c r="F61" s="144">
        <f t="shared" si="3"/>
        <v>17277.531218581313</v>
      </c>
      <c r="G61" s="144">
        <f t="shared" si="2"/>
        <v>13002.055990032954</v>
      </c>
      <c r="H61" s="144">
        <f t="shared" si="0"/>
        <v>4275.4752285483592</v>
      </c>
      <c r="I61" s="145">
        <f t="shared" si="1"/>
        <v>2596135.7227780423</v>
      </c>
    </row>
    <row r="62" spans="3:10">
      <c r="C62" s="40"/>
      <c r="D62" s="58">
        <v>46</v>
      </c>
      <c r="E62" s="144">
        <f t="shared" si="4"/>
        <v>2596135.7227780423</v>
      </c>
      <c r="F62" s="144">
        <f t="shared" si="3"/>
        <v>17277.531218581313</v>
      </c>
      <c r="G62" s="144">
        <f t="shared" si="2"/>
        <v>12980.678613890212</v>
      </c>
      <c r="H62" s="144">
        <f t="shared" si="0"/>
        <v>4296.8526046911011</v>
      </c>
      <c r="I62" s="145">
        <f t="shared" si="1"/>
        <v>2591838.8701733514</v>
      </c>
    </row>
    <row r="63" spans="3:10">
      <c r="C63" s="40"/>
      <c r="D63" s="58">
        <v>47</v>
      </c>
      <c r="E63" s="144">
        <f t="shared" si="4"/>
        <v>2591838.8701733514</v>
      </c>
      <c r="F63" s="144">
        <f t="shared" si="3"/>
        <v>17277.531218581313</v>
      </c>
      <c r="G63" s="144">
        <f t="shared" si="2"/>
        <v>12959.194350866757</v>
      </c>
      <c r="H63" s="144">
        <f t="shared" si="0"/>
        <v>4318.3368677145554</v>
      </c>
      <c r="I63" s="145">
        <f t="shared" si="1"/>
        <v>2587520.5333056366</v>
      </c>
    </row>
    <row r="64" spans="3:10">
      <c r="C64" s="46">
        <v>4</v>
      </c>
      <c r="D64" s="147">
        <v>48</v>
      </c>
      <c r="E64" s="144">
        <f t="shared" si="4"/>
        <v>2587520.5333056366</v>
      </c>
      <c r="F64" s="144">
        <f t="shared" si="3"/>
        <v>17277.531218581313</v>
      </c>
      <c r="G64" s="144">
        <f t="shared" si="2"/>
        <v>12937.602666528182</v>
      </c>
      <c r="H64" s="144">
        <f t="shared" si="0"/>
        <v>4339.9285520531303</v>
      </c>
      <c r="I64" s="145">
        <f t="shared" si="1"/>
        <v>2583180.6047535837</v>
      </c>
      <c r="J64" s="148">
        <f>+SUM(H53:H64)+SUM(G53:G64)</f>
        <v>207330.37462297571</v>
      </c>
    </row>
    <row r="65" spans="3:10">
      <c r="C65" s="40"/>
      <c r="D65" s="58">
        <v>49</v>
      </c>
      <c r="E65" s="144">
        <f t="shared" si="4"/>
        <v>2583180.6047535837</v>
      </c>
      <c r="F65" s="144">
        <f t="shared" si="3"/>
        <v>17277.531218581313</v>
      </c>
      <c r="G65" s="144">
        <f t="shared" si="2"/>
        <v>12915.903023767918</v>
      </c>
      <c r="H65" s="144">
        <f t="shared" si="0"/>
        <v>4361.6281948133947</v>
      </c>
      <c r="I65" s="145">
        <f t="shared" si="1"/>
        <v>2578818.9765587701</v>
      </c>
    </row>
    <row r="66" spans="3:10">
      <c r="C66" s="40"/>
      <c r="D66" s="58">
        <v>50</v>
      </c>
      <c r="E66" s="144">
        <f t="shared" si="4"/>
        <v>2578818.9765587701</v>
      </c>
      <c r="F66" s="144">
        <f t="shared" si="3"/>
        <v>17277.531218581313</v>
      </c>
      <c r="G66" s="144">
        <f t="shared" si="2"/>
        <v>12894.09488279385</v>
      </c>
      <c r="H66" s="144">
        <f t="shared" si="0"/>
        <v>4383.4363357874627</v>
      </c>
      <c r="I66" s="145">
        <f t="shared" si="1"/>
        <v>2574435.5402229824</v>
      </c>
    </row>
    <row r="67" spans="3:10">
      <c r="C67" s="40"/>
      <c r="D67" s="58">
        <v>51</v>
      </c>
      <c r="E67" s="144">
        <f t="shared" si="4"/>
        <v>2574435.5402229824</v>
      </c>
      <c r="F67" s="144">
        <f t="shared" si="3"/>
        <v>17277.531218581313</v>
      </c>
      <c r="G67" s="144">
        <f t="shared" si="2"/>
        <v>12872.177701114912</v>
      </c>
      <c r="H67" s="144">
        <f t="shared" si="0"/>
        <v>4405.3535174664012</v>
      </c>
      <c r="I67" s="145">
        <f t="shared" si="1"/>
        <v>2570030.1867055162</v>
      </c>
    </row>
    <row r="68" spans="3:10">
      <c r="C68" s="40"/>
      <c r="D68" s="58">
        <v>52</v>
      </c>
      <c r="E68" s="144">
        <f t="shared" si="4"/>
        <v>2570030.1867055162</v>
      </c>
      <c r="F68" s="144">
        <f t="shared" si="3"/>
        <v>17277.531218581313</v>
      </c>
      <c r="G68" s="144">
        <f t="shared" si="2"/>
        <v>12850.15093352758</v>
      </c>
      <c r="H68" s="144">
        <f t="shared" si="0"/>
        <v>4427.3802850537322</v>
      </c>
      <c r="I68" s="145">
        <f t="shared" si="1"/>
        <v>2565602.8064204627</v>
      </c>
    </row>
    <row r="69" spans="3:10">
      <c r="C69" s="40"/>
      <c r="D69" s="58">
        <v>53</v>
      </c>
      <c r="E69" s="144">
        <f t="shared" si="4"/>
        <v>2565602.8064204627</v>
      </c>
      <c r="F69" s="144">
        <f t="shared" si="3"/>
        <v>17277.531218581313</v>
      </c>
      <c r="G69" s="144">
        <f t="shared" si="2"/>
        <v>12828.014032102314</v>
      </c>
      <c r="H69" s="144">
        <f t="shared" si="0"/>
        <v>4449.5171864789991</v>
      </c>
      <c r="I69" s="145">
        <f t="shared" si="1"/>
        <v>2561153.2892339835</v>
      </c>
    </row>
    <row r="70" spans="3:10">
      <c r="C70" s="40"/>
      <c r="D70" s="58">
        <v>54</v>
      </c>
      <c r="E70" s="144">
        <f t="shared" si="4"/>
        <v>2561153.2892339835</v>
      </c>
      <c r="F70" s="144">
        <f t="shared" si="3"/>
        <v>17277.531218581313</v>
      </c>
      <c r="G70" s="144">
        <f t="shared" si="2"/>
        <v>12805.766446169917</v>
      </c>
      <c r="H70" s="144">
        <f t="shared" si="0"/>
        <v>4471.7647724113958</v>
      </c>
      <c r="I70" s="145">
        <f t="shared" si="1"/>
        <v>2556681.5244615721</v>
      </c>
      <c r="J70" s="148"/>
    </row>
    <row r="71" spans="3:10">
      <c r="C71" s="40"/>
      <c r="D71" s="58">
        <v>55</v>
      </c>
      <c r="E71" s="144">
        <f t="shared" si="4"/>
        <v>2556681.5244615721</v>
      </c>
      <c r="F71" s="144">
        <f t="shared" si="3"/>
        <v>17277.531218581313</v>
      </c>
      <c r="G71" s="144">
        <f t="shared" si="2"/>
        <v>12783.407622307861</v>
      </c>
      <c r="H71" s="144">
        <f t="shared" si="0"/>
        <v>4494.1235962734518</v>
      </c>
      <c r="I71" s="145">
        <f t="shared" si="1"/>
        <v>2552187.4008652987</v>
      </c>
      <c r="J71" s="148"/>
    </row>
    <row r="72" spans="3:10">
      <c r="C72" s="40"/>
      <c r="D72" s="58">
        <v>56</v>
      </c>
      <c r="E72" s="144">
        <f t="shared" si="4"/>
        <v>2552187.4008652987</v>
      </c>
      <c r="F72" s="144">
        <f t="shared" si="3"/>
        <v>17277.531218581313</v>
      </c>
      <c r="G72" s="144">
        <f t="shared" si="2"/>
        <v>12760.937004326493</v>
      </c>
      <c r="H72" s="144">
        <f t="shared" si="0"/>
        <v>4516.5942142548192</v>
      </c>
      <c r="I72" s="145">
        <f t="shared" si="1"/>
        <v>2547670.8066510437</v>
      </c>
    </row>
    <row r="73" spans="3:10">
      <c r="C73" s="40"/>
      <c r="D73" s="58">
        <v>57</v>
      </c>
      <c r="E73" s="144">
        <f t="shared" si="4"/>
        <v>2547670.8066510437</v>
      </c>
      <c r="F73" s="144">
        <f t="shared" si="3"/>
        <v>17277.531218581313</v>
      </c>
      <c r="G73" s="144">
        <f t="shared" si="2"/>
        <v>12738.354033255218</v>
      </c>
      <c r="H73" s="144">
        <f t="shared" si="0"/>
        <v>4539.1771853260943</v>
      </c>
      <c r="I73" s="145">
        <f t="shared" si="1"/>
        <v>2543131.6294657178</v>
      </c>
    </row>
    <row r="74" spans="3:10">
      <c r="C74" s="40"/>
      <c r="D74" s="58">
        <v>58</v>
      </c>
      <c r="E74" s="144">
        <f t="shared" si="4"/>
        <v>2543131.6294657178</v>
      </c>
      <c r="F74" s="144">
        <f t="shared" si="3"/>
        <v>17277.531218581313</v>
      </c>
      <c r="G74" s="144">
        <f t="shared" si="2"/>
        <v>12715.65814732859</v>
      </c>
      <c r="H74" s="144">
        <f t="shared" si="0"/>
        <v>4561.8730712527231</v>
      </c>
      <c r="I74" s="145">
        <f t="shared" si="1"/>
        <v>2538569.756394465</v>
      </c>
    </row>
    <row r="75" spans="3:10">
      <c r="C75" s="40"/>
      <c r="D75" s="58">
        <v>59</v>
      </c>
      <c r="E75" s="144">
        <f t="shared" si="4"/>
        <v>2538569.756394465</v>
      </c>
      <c r="F75" s="144">
        <f t="shared" si="3"/>
        <v>17277.531218581313</v>
      </c>
      <c r="G75" s="144">
        <f t="shared" si="2"/>
        <v>12692.848781972325</v>
      </c>
      <c r="H75" s="144">
        <f t="shared" si="0"/>
        <v>4584.6824366089877</v>
      </c>
      <c r="I75" s="145">
        <f t="shared" si="1"/>
        <v>2533985.0739578558</v>
      </c>
    </row>
    <row r="76" spans="3:10">
      <c r="C76" s="46">
        <v>5</v>
      </c>
      <c r="D76" s="147">
        <v>60</v>
      </c>
      <c r="E76" s="144">
        <f t="shared" si="4"/>
        <v>2533985.0739578558</v>
      </c>
      <c r="F76" s="144">
        <f t="shared" si="3"/>
        <v>17277.531218581313</v>
      </c>
      <c r="G76" s="144">
        <f t="shared" si="2"/>
        <v>12669.92536978928</v>
      </c>
      <c r="H76" s="144">
        <f t="shared" si="0"/>
        <v>4607.6058487920327</v>
      </c>
      <c r="I76" s="145">
        <f t="shared" si="1"/>
        <v>2529377.4681090638</v>
      </c>
      <c r="J76" s="148">
        <f>+SUM(H65:H76)+SUM(G65:G76)</f>
        <v>207330.37462297574</v>
      </c>
    </row>
    <row r="77" spans="3:10">
      <c r="C77" s="40"/>
      <c r="D77" s="58">
        <v>61</v>
      </c>
      <c r="E77" s="144">
        <f t="shared" si="4"/>
        <v>2529377.4681090638</v>
      </c>
      <c r="F77" s="144">
        <f t="shared" si="3"/>
        <v>17277.531218581313</v>
      </c>
      <c r="G77" s="144">
        <f t="shared" si="2"/>
        <v>12646.88734054532</v>
      </c>
      <c r="H77" s="144">
        <f t="shared" si="0"/>
        <v>4630.6438780359931</v>
      </c>
      <c r="I77" s="145">
        <f t="shared" si="1"/>
        <v>2524746.8242310276</v>
      </c>
    </row>
    <row r="78" spans="3:10">
      <c r="C78" s="40"/>
      <c r="D78" s="58">
        <v>62</v>
      </c>
      <c r="E78" s="144">
        <f t="shared" si="4"/>
        <v>2524746.8242310276</v>
      </c>
      <c r="F78" s="144">
        <f t="shared" si="3"/>
        <v>17277.531218581313</v>
      </c>
      <c r="G78" s="144">
        <f t="shared" si="2"/>
        <v>12623.734121155139</v>
      </c>
      <c r="H78" s="144">
        <f t="shared" si="0"/>
        <v>4653.7970974261734</v>
      </c>
      <c r="I78" s="145">
        <f t="shared" si="1"/>
        <v>2520093.0271336013</v>
      </c>
    </row>
    <row r="79" spans="3:10">
      <c r="C79" s="40"/>
      <c r="D79" s="58">
        <v>63</v>
      </c>
      <c r="E79" s="144">
        <f t="shared" si="4"/>
        <v>2520093.0271336013</v>
      </c>
      <c r="F79" s="144">
        <f t="shared" si="3"/>
        <v>17277.531218581313</v>
      </c>
      <c r="G79" s="144">
        <f t="shared" si="2"/>
        <v>12600.465135668006</v>
      </c>
      <c r="H79" s="144">
        <f t="shared" si="0"/>
        <v>4677.0660829133067</v>
      </c>
      <c r="I79" s="145">
        <f t="shared" si="1"/>
        <v>2515415.9610506878</v>
      </c>
    </row>
    <row r="80" spans="3:10">
      <c r="C80" s="40"/>
      <c r="D80" s="58">
        <v>64</v>
      </c>
      <c r="E80" s="144">
        <f t="shared" si="4"/>
        <v>2515415.9610506878</v>
      </c>
      <c r="F80" s="144">
        <f t="shared" si="3"/>
        <v>17277.531218581313</v>
      </c>
      <c r="G80" s="144">
        <f t="shared" si="2"/>
        <v>12577.079805253439</v>
      </c>
      <c r="H80" s="144">
        <f t="shared" si="0"/>
        <v>4700.4514133278735</v>
      </c>
      <c r="I80" s="145">
        <f t="shared" si="1"/>
        <v>2510715.50963736</v>
      </c>
    </row>
    <row r="81" spans="3:10">
      <c r="C81" s="40"/>
      <c r="D81" s="58">
        <v>65</v>
      </c>
      <c r="E81" s="144">
        <f t="shared" si="4"/>
        <v>2510715.50963736</v>
      </c>
      <c r="F81" s="144">
        <f t="shared" si="3"/>
        <v>17277.531218581313</v>
      </c>
      <c r="G81" s="144">
        <f t="shared" si="2"/>
        <v>12553.5775481868</v>
      </c>
      <c r="H81" s="144">
        <f t="shared" ref="H81:H144" si="5">F81-G81</f>
        <v>4723.9536703945123</v>
      </c>
      <c r="I81" s="145">
        <f t="shared" ref="I81:I144" si="6">E81-H81</f>
        <v>2505991.5559669654</v>
      </c>
    </row>
    <row r="82" spans="3:10">
      <c r="C82" s="40"/>
      <c r="D82" s="58">
        <v>66</v>
      </c>
      <c r="E82" s="144">
        <f t="shared" si="4"/>
        <v>2505991.5559669654</v>
      </c>
      <c r="F82" s="144">
        <f t="shared" si="3"/>
        <v>17277.531218581313</v>
      </c>
      <c r="G82" s="144">
        <f t="shared" ref="G82:G145" si="7">IF(D82&gt;$D$10,0,($D$6/12)*I81)</f>
        <v>12529.957779834827</v>
      </c>
      <c r="H82" s="144">
        <f t="shared" si="5"/>
        <v>4747.5734387464854</v>
      </c>
      <c r="I82" s="145">
        <f t="shared" si="6"/>
        <v>2501243.982528219</v>
      </c>
    </row>
    <row r="83" spans="3:10">
      <c r="C83" s="40"/>
      <c r="D83" s="58">
        <v>67</v>
      </c>
      <c r="E83" s="144">
        <f t="shared" si="4"/>
        <v>2501243.982528219</v>
      </c>
      <c r="F83" s="144">
        <f t="shared" si="3"/>
        <v>17277.531218581313</v>
      </c>
      <c r="G83" s="144">
        <f t="shared" si="7"/>
        <v>12506.219912641096</v>
      </c>
      <c r="H83" s="144">
        <f t="shared" si="5"/>
        <v>4771.3113059402167</v>
      </c>
      <c r="I83" s="145">
        <f t="shared" si="6"/>
        <v>2496472.6712222788</v>
      </c>
      <c r="J83" s="148"/>
    </row>
    <row r="84" spans="3:10">
      <c r="C84" s="40"/>
      <c r="D84" s="58">
        <v>68</v>
      </c>
      <c r="E84" s="144">
        <f t="shared" si="4"/>
        <v>2496472.6712222788</v>
      </c>
      <c r="F84" s="144">
        <f t="shared" si="3"/>
        <v>17277.531218581313</v>
      </c>
      <c r="G84" s="144">
        <f t="shared" si="7"/>
        <v>12482.363356111395</v>
      </c>
      <c r="H84" s="144">
        <f t="shared" si="5"/>
        <v>4795.167862469918</v>
      </c>
      <c r="I84" s="145">
        <f t="shared" si="6"/>
        <v>2491677.5033598091</v>
      </c>
    </row>
    <row r="85" spans="3:10">
      <c r="C85" s="40"/>
      <c r="D85" s="58">
        <v>69</v>
      </c>
      <c r="E85" s="144">
        <f t="shared" si="4"/>
        <v>2491677.5033598091</v>
      </c>
      <c r="F85" s="144">
        <f t="shared" ref="F85:F148" si="8">IF(D85&gt;$D$10,0,IF(D85&lt;=$D$8,G85,-PMT($D$6/12,$D$9,$D$5,0,0)))</f>
        <v>17277.531218581313</v>
      </c>
      <c r="G85" s="144">
        <f t="shared" si="7"/>
        <v>12458.387516799046</v>
      </c>
      <c r="H85" s="144">
        <f t="shared" si="5"/>
        <v>4819.1437017822664</v>
      </c>
      <c r="I85" s="145">
        <f t="shared" si="6"/>
        <v>2486858.3596580266</v>
      </c>
    </row>
    <row r="86" spans="3:10">
      <c r="C86" s="40"/>
      <c r="D86" s="58">
        <v>70</v>
      </c>
      <c r="E86" s="144">
        <f t="shared" ref="E86:E149" si="9">IF(D86&gt;$D$10,0,I85)</f>
        <v>2486858.3596580266</v>
      </c>
      <c r="F86" s="144">
        <f t="shared" si="8"/>
        <v>17277.531218581313</v>
      </c>
      <c r="G86" s="144">
        <f t="shared" si="7"/>
        <v>12434.291798290133</v>
      </c>
      <c r="H86" s="144">
        <f t="shared" si="5"/>
        <v>4843.2394202911801</v>
      </c>
      <c r="I86" s="145">
        <f t="shared" si="6"/>
        <v>2482015.1202377356</v>
      </c>
    </row>
    <row r="87" spans="3:10">
      <c r="C87" s="40"/>
      <c r="D87" s="58">
        <v>71</v>
      </c>
      <c r="E87" s="144">
        <f t="shared" si="9"/>
        <v>2482015.1202377356</v>
      </c>
      <c r="F87" s="144">
        <f t="shared" si="8"/>
        <v>17277.531218581313</v>
      </c>
      <c r="G87" s="144">
        <f t="shared" si="7"/>
        <v>12410.075601188679</v>
      </c>
      <c r="H87" s="144">
        <f t="shared" si="5"/>
        <v>4867.4556173926339</v>
      </c>
      <c r="I87" s="145">
        <f t="shared" si="6"/>
        <v>2477147.6646203431</v>
      </c>
    </row>
    <row r="88" spans="3:10">
      <c r="C88" s="46">
        <v>6</v>
      </c>
      <c r="D88" s="147">
        <v>72</v>
      </c>
      <c r="E88" s="144">
        <f t="shared" si="9"/>
        <v>2477147.6646203431</v>
      </c>
      <c r="F88" s="144">
        <f t="shared" si="8"/>
        <v>17277.531218581313</v>
      </c>
      <c r="G88" s="144">
        <f t="shared" si="7"/>
        <v>12385.738323101716</v>
      </c>
      <c r="H88" s="144">
        <f t="shared" si="5"/>
        <v>4891.7928954795971</v>
      </c>
      <c r="I88" s="145">
        <f t="shared" si="6"/>
        <v>2472255.8717248635</v>
      </c>
      <c r="J88" s="148">
        <f>+SUM(H77:H88)+SUM(G77:G88)</f>
        <v>207330.37462297577</v>
      </c>
    </row>
    <row r="89" spans="3:10">
      <c r="C89" s="40"/>
      <c r="D89" s="58">
        <v>73</v>
      </c>
      <c r="E89" s="144">
        <f t="shared" si="9"/>
        <v>2472255.8717248635</v>
      </c>
      <c r="F89" s="144">
        <f t="shared" si="8"/>
        <v>17277.531218581313</v>
      </c>
      <c r="G89" s="144">
        <f t="shared" si="7"/>
        <v>12361.279358624319</v>
      </c>
      <c r="H89" s="144">
        <f t="shared" si="5"/>
        <v>4916.2518599569939</v>
      </c>
      <c r="I89" s="145">
        <f t="shared" si="6"/>
        <v>2467339.6198649067</v>
      </c>
    </row>
    <row r="90" spans="3:10">
      <c r="C90" s="40"/>
      <c r="D90" s="58">
        <v>74</v>
      </c>
      <c r="E90" s="144">
        <f t="shared" si="9"/>
        <v>2467339.6198649067</v>
      </c>
      <c r="F90" s="144">
        <f t="shared" si="8"/>
        <v>17277.531218581313</v>
      </c>
      <c r="G90" s="144">
        <f t="shared" si="7"/>
        <v>12336.698099324534</v>
      </c>
      <c r="H90" s="144">
        <f t="shared" si="5"/>
        <v>4940.8331192567784</v>
      </c>
      <c r="I90" s="145">
        <f t="shared" si="6"/>
        <v>2462398.7867456498</v>
      </c>
    </row>
    <row r="91" spans="3:10">
      <c r="C91" s="40"/>
      <c r="D91" s="58">
        <v>75</v>
      </c>
      <c r="E91" s="144">
        <f t="shared" si="9"/>
        <v>2462398.7867456498</v>
      </c>
      <c r="F91" s="144">
        <f t="shared" si="8"/>
        <v>17277.531218581313</v>
      </c>
      <c r="G91" s="144">
        <f t="shared" si="7"/>
        <v>12311.993933728249</v>
      </c>
      <c r="H91" s="144">
        <f t="shared" si="5"/>
        <v>4965.5372848530642</v>
      </c>
      <c r="I91" s="145">
        <f t="shared" si="6"/>
        <v>2457433.2494607968</v>
      </c>
    </row>
    <row r="92" spans="3:10">
      <c r="C92" s="40"/>
      <c r="D92" s="58">
        <v>76</v>
      </c>
      <c r="E92" s="144">
        <f t="shared" si="9"/>
        <v>2457433.2494607968</v>
      </c>
      <c r="F92" s="144">
        <f t="shared" si="8"/>
        <v>17277.531218581313</v>
      </c>
      <c r="G92" s="144">
        <f t="shared" si="7"/>
        <v>12287.166247303985</v>
      </c>
      <c r="H92" s="144">
        <f t="shared" si="5"/>
        <v>4990.3649712773276</v>
      </c>
      <c r="I92" s="145">
        <f t="shared" si="6"/>
        <v>2452442.8844895195</v>
      </c>
    </row>
    <row r="93" spans="3:10">
      <c r="C93" s="40"/>
      <c r="D93" s="58">
        <v>77</v>
      </c>
      <c r="E93" s="144">
        <f t="shared" si="9"/>
        <v>2452442.8844895195</v>
      </c>
      <c r="F93" s="144">
        <f t="shared" si="8"/>
        <v>17277.531218581313</v>
      </c>
      <c r="G93" s="144">
        <f t="shared" si="7"/>
        <v>12262.214422447598</v>
      </c>
      <c r="H93" s="144">
        <f t="shared" si="5"/>
        <v>5015.3167961337149</v>
      </c>
      <c r="I93" s="145">
        <f t="shared" si="6"/>
        <v>2447427.5676933858</v>
      </c>
    </row>
    <row r="94" spans="3:10">
      <c r="C94" s="40"/>
      <c r="D94" s="58">
        <v>78</v>
      </c>
      <c r="E94" s="144">
        <f t="shared" si="9"/>
        <v>2447427.5676933858</v>
      </c>
      <c r="F94" s="144">
        <f t="shared" si="8"/>
        <v>17277.531218581313</v>
      </c>
      <c r="G94" s="144">
        <f t="shared" si="7"/>
        <v>12237.13783846693</v>
      </c>
      <c r="H94" s="144">
        <f t="shared" si="5"/>
        <v>5040.393380114383</v>
      </c>
      <c r="I94" s="145">
        <f t="shared" si="6"/>
        <v>2442387.1743132714</v>
      </c>
    </row>
    <row r="95" spans="3:10">
      <c r="C95" s="40"/>
      <c r="D95" s="58">
        <v>79</v>
      </c>
      <c r="E95" s="144">
        <f t="shared" si="9"/>
        <v>2442387.1743132714</v>
      </c>
      <c r="F95" s="144">
        <f t="shared" si="8"/>
        <v>17277.531218581313</v>
      </c>
      <c r="G95" s="144">
        <f t="shared" si="7"/>
        <v>12211.935871566357</v>
      </c>
      <c r="H95" s="144">
        <f t="shared" si="5"/>
        <v>5065.5953470149561</v>
      </c>
      <c r="I95" s="145">
        <f t="shared" si="6"/>
        <v>2437321.5789662562</v>
      </c>
      <c r="J95" s="148"/>
    </row>
    <row r="96" spans="3:10">
      <c r="C96" s="40"/>
      <c r="D96" s="58">
        <v>80</v>
      </c>
      <c r="E96" s="144">
        <f t="shared" si="9"/>
        <v>2437321.5789662562</v>
      </c>
      <c r="F96" s="144">
        <f t="shared" si="8"/>
        <v>17277.531218581313</v>
      </c>
      <c r="G96" s="144">
        <f t="shared" si="7"/>
        <v>12186.607894831281</v>
      </c>
      <c r="H96" s="144">
        <f t="shared" si="5"/>
        <v>5090.9233237500321</v>
      </c>
      <c r="I96" s="145">
        <f t="shared" si="6"/>
        <v>2432230.6556425062</v>
      </c>
    </row>
    <row r="97" spans="3:10">
      <c r="C97" s="40"/>
      <c r="D97" s="58">
        <v>81</v>
      </c>
      <c r="E97" s="144">
        <f t="shared" si="9"/>
        <v>2432230.6556425062</v>
      </c>
      <c r="F97" s="144">
        <f t="shared" si="8"/>
        <v>17277.531218581313</v>
      </c>
      <c r="G97" s="144">
        <f t="shared" si="7"/>
        <v>12161.15327821253</v>
      </c>
      <c r="H97" s="144">
        <f t="shared" si="5"/>
        <v>5116.3779403687822</v>
      </c>
      <c r="I97" s="145">
        <f t="shared" si="6"/>
        <v>2427114.2777021374</v>
      </c>
    </row>
    <row r="98" spans="3:10">
      <c r="C98" s="40"/>
      <c r="D98" s="58">
        <v>82</v>
      </c>
      <c r="E98" s="144">
        <f t="shared" si="9"/>
        <v>2427114.2777021374</v>
      </c>
      <c r="F98" s="144">
        <f t="shared" si="8"/>
        <v>17277.531218581313</v>
      </c>
      <c r="G98" s="144">
        <f t="shared" si="7"/>
        <v>12135.571388510687</v>
      </c>
      <c r="H98" s="144">
        <f t="shared" si="5"/>
        <v>5141.9598300706257</v>
      </c>
      <c r="I98" s="145">
        <f t="shared" si="6"/>
        <v>2421972.3178720665</v>
      </c>
    </row>
    <row r="99" spans="3:10">
      <c r="C99" s="40"/>
      <c r="D99" s="58">
        <v>83</v>
      </c>
      <c r="E99" s="144">
        <f t="shared" si="9"/>
        <v>2421972.3178720665</v>
      </c>
      <c r="F99" s="144">
        <f t="shared" si="8"/>
        <v>17277.531218581313</v>
      </c>
      <c r="G99" s="144">
        <f t="shared" si="7"/>
        <v>12109.861589360333</v>
      </c>
      <c r="H99" s="144">
        <f t="shared" si="5"/>
        <v>5167.6696292209799</v>
      </c>
      <c r="I99" s="145">
        <f t="shared" si="6"/>
        <v>2416804.6482428457</v>
      </c>
    </row>
    <row r="100" spans="3:10">
      <c r="C100" s="46">
        <v>7</v>
      </c>
      <c r="D100" s="147">
        <v>84</v>
      </c>
      <c r="E100" s="144">
        <f t="shared" si="9"/>
        <v>2416804.6482428457</v>
      </c>
      <c r="F100" s="144">
        <f t="shared" si="8"/>
        <v>17277.531218581313</v>
      </c>
      <c r="G100" s="144">
        <f t="shared" si="7"/>
        <v>12084.023241214229</v>
      </c>
      <c r="H100" s="144">
        <f t="shared" si="5"/>
        <v>5193.5079773670841</v>
      </c>
      <c r="I100" s="145">
        <f t="shared" si="6"/>
        <v>2411611.1402654788</v>
      </c>
      <c r="J100" s="148">
        <f>+SUM(H89:H100)+SUM(G89:G100)</f>
        <v>207330.37462297574</v>
      </c>
    </row>
    <row r="101" spans="3:10">
      <c r="C101" s="40"/>
      <c r="D101" s="58">
        <v>85</v>
      </c>
      <c r="E101" s="144">
        <f t="shared" si="9"/>
        <v>2411611.1402654788</v>
      </c>
      <c r="F101" s="144">
        <f t="shared" si="8"/>
        <v>17277.531218581313</v>
      </c>
      <c r="G101" s="144">
        <f t="shared" si="7"/>
        <v>12058.055701327394</v>
      </c>
      <c r="H101" s="144">
        <f t="shared" si="5"/>
        <v>5219.475517253919</v>
      </c>
      <c r="I101" s="145">
        <f t="shared" si="6"/>
        <v>2406391.6647482249</v>
      </c>
    </row>
    <row r="102" spans="3:10">
      <c r="C102" s="40"/>
      <c r="D102" s="58">
        <v>86</v>
      </c>
      <c r="E102" s="144">
        <f t="shared" si="9"/>
        <v>2406391.6647482249</v>
      </c>
      <c r="F102" s="144">
        <f t="shared" si="8"/>
        <v>17277.531218581313</v>
      </c>
      <c r="G102" s="144">
        <f t="shared" si="7"/>
        <v>12031.958323741124</v>
      </c>
      <c r="H102" s="144">
        <f t="shared" si="5"/>
        <v>5245.5728948401884</v>
      </c>
      <c r="I102" s="145">
        <f t="shared" si="6"/>
        <v>2401146.0918533849</v>
      </c>
    </row>
    <row r="103" spans="3:10">
      <c r="C103" s="40"/>
      <c r="D103" s="58">
        <v>87</v>
      </c>
      <c r="E103" s="144">
        <f t="shared" si="9"/>
        <v>2401146.0918533849</v>
      </c>
      <c r="F103" s="144">
        <f t="shared" si="8"/>
        <v>17277.531218581313</v>
      </c>
      <c r="G103" s="144">
        <f t="shared" si="7"/>
        <v>12005.730459266924</v>
      </c>
      <c r="H103" s="144">
        <f t="shared" si="5"/>
        <v>5271.8007593143884</v>
      </c>
      <c r="I103" s="145">
        <f t="shared" si="6"/>
        <v>2395874.2910940703</v>
      </c>
    </row>
    <row r="104" spans="3:10">
      <c r="C104" s="40"/>
      <c r="D104" s="58">
        <v>88</v>
      </c>
      <c r="E104" s="144">
        <f t="shared" si="9"/>
        <v>2395874.2910940703</v>
      </c>
      <c r="F104" s="144">
        <f t="shared" si="8"/>
        <v>17277.531218581313</v>
      </c>
      <c r="G104" s="144">
        <f t="shared" si="7"/>
        <v>11979.371455470351</v>
      </c>
      <c r="H104" s="144">
        <f t="shared" si="5"/>
        <v>5298.1597631109616</v>
      </c>
      <c r="I104" s="145">
        <f t="shared" si="6"/>
        <v>2390576.1313309595</v>
      </c>
    </row>
    <row r="105" spans="3:10">
      <c r="C105" s="40"/>
      <c r="D105" s="58">
        <v>89</v>
      </c>
      <c r="E105" s="144">
        <f t="shared" si="9"/>
        <v>2390576.1313309595</v>
      </c>
      <c r="F105" s="144">
        <f t="shared" si="8"/>
        <v>17277.531218581313</v>
      </c>
      <c r="G105" s="144">
        <f t="shared" si="7"/>
        <v>11952.880656654797</v>
      </c>
      <c r="H105" s="144">
        <f t="shared" si="5"/>
        <v>5324.6505619265154</v>
      </c>
      <c r="I105" s="145">
        <f t="shared" si="6"/>
        <v>2385251.4807690331</v>
      </c>
    </row>
    <row r="106" spans="3:10">
      <c r="C106" s="40"/>
      <c r="D106" s="58">
        <v>90</v>
      </c>
      <c r="E106" s="144">
        <f t="shared" si="9"/>
        <v>2385251.4807690331</v>
      </c>
      <c r="F106" s="144">
        <f t="shared" si="8"/>
        <v>17277.531218581313</v>
      </c>
      <c r="G106" s="144">
        <f t="shared" si="7"/>
        <v>11926.257403845166</v>
      </c>
      <c r="H106" s="144">
        <f t="shared" si="5"/>
        <v>5351.273814736147</v>
      </c>
      <c r="I106" s="145">
        <f t="shared" si="6"/>
        <v>2379900.2069542971</v>
      </c>
    </row>
    <row r="107" spans="3:10">
      <c r="C107" s="40"/>
      <c r="D107" s="58">
        <v>91</v>
      </c>
      <c r="E107" s="144">
        <f t="shared" si="9"/>
        <v>2379900.2069542971</v>
      </c>
      <c r="F107" s="144">
        <f t="shared" si="8"/>
        <v>17277.531218581313</v>
      </c>
      <c r="G107" s="144">
        <f t="shared" si="7"/>
        <v>11899.501034771485</v>
      </c>
      <c r="H107" s="144">
        <f t="shared" si="5"/>
        <v>5378.0301838098276</v>
      </c>
      <c r="I107" s="145">
        <f t="shared" si="6"/>
        <v>2374522.1767704873</v>
      </c>
    </row>
    <row r="108" spans="3:10">
      <c r="C108" s="40"/>
      <c r="D108" s="58">
        <v>92</v>
      </c>
      <c r="E108" s="144">
        <f t="shared" si="9"/>
        <v>2374522.1767704873</v>
      </c>
      <c r="F108" s="144">
        <f t="shared" si="8"/>
        <v>17277.531218581313</v>
      </c>
      <c r="G108" s="144">
        <f t="shared" si="7"/>
        <v>11872.610883852436</v>
      </c>
      <c r="H108" s="144">
        <f t="shared" si="5"/>
        <v>5404.9203347288767</v>
      </c>
      <c r="I108" s="145">
        <f t="shared" si="6"/>
        <v>2369117.2564357584</v>
      </c>
    </row>
    <row r="109" spans="3:10">
      <c r="C109" s="40"/>
      <c r="D109" s="58">
        <v>93</v>
      </c>
      <c r="E109" s="144">
        <f t="shared" si="9"/>
        <v>2369117.2564357584</v>
      </c>
      <c r="F109" s="144">
        <f t="shared" si="8"/>
        <v>17277.531218581313</v>
      </c>
      <c r="G109" s="144">
        <f t="shared" si="7"/>
        <v>11845.586282178792</v>
      </c>
      <c r="H109" s="144">
        <f t="shared" si="5"/>
        <v>5431.9449364025204</v>
      </c>
      <c r="I109" s="145">
        <f t="shared" si="6"/>
        <v>2363685.3114993558</v>
      </c>
    </row>
    <row r="110" spans="3:10">
      <c r="C110" s="40"/>
      <c r="D110" s="58">
        <v>94</v>
      </c>
      <c r="E110" s="144">
        <f t="shared" si="9"/>
        <v>2363685.3114993558</v>
      </c>
      <c r="F110" s="144">
        <f t="shared" si="8"/>
        <v>17277.531218581313</v>
      </c>
      <c r="G110" s="144">
        <f t="shared" si="7"/>
        <v>11818.426557496779</v>
      </c>
      <c r="H110" s="144">
        <f t="shared" si="5"/>
        <v>5459.1046610845333</v>
      </c>
      <c r="I110" s="145">
        <f t="shared" si="6"/>
        <v>2358226.2068382711</v>
      </c>
    </row>
    <row r="111" spans="3:10">
      <c r="C111" s="40"/>
      <c r="D111" s="58">
        <v>95</v>
      </c>
      <c r="E111" s="144">
        <f t="shared" si="9"/>
        <v>2358226.2068382711</v>
      </c>
      <c r="F111" s="144">
        <f t="shared" si="8"/>
        <v>17277.531218581313</v>
      </c>
      <c r="G111" s="144">
        <f t="shared" si="7"/>
        <v>11791.131034191356</v>
      </c>
      <c r="H111" s="144">
        <f t="shared" si="5"/>
        <v>5486.4001843899568</v>
      </c>
      <c r="I111" s="145">
        <f t="shared" si="6"/>
        <v>2352739.806653881</v>
      </c>
    </row>
    <row r="112" spans="3:10">
      <c r="C112" s="46">
        <v>8</v>
      </c>
      <c r="D112" s="147">
        <v>96</v>
      </c>
      <c r="E112" s="144">
        <f t="shared" si="9"/>
        <v>2352739.806653881</v>
      </c>
      <c r="F112" s="144">
        <f t="shared" si="8"/>
        <v>17277.531218581313</v>
      </c>
      <c r="G112" s="144">
        <f t="shared" si="7"/>
        <v>11763.699033269406</v>
      </c>
      <c r="H112" s="144">
        <f t="shared" si="5"/>
        <v>5513.8321853119069</v>
      </c>
      <c r="I112" s="145">
        <f t="shared" si="6"/>
        <v>2347225.9744685693</v>
      </c>
      <c r="J112" s="148">
        <f>+SUM(H101:H112)+SUM(G101:G112)</f>
        <v>207330.37462297574</v>
      </c>
    </row>
    <row r="113" spans="3:10">
      <c r="C113" s="40"/>
      <c r="D113" s="58">
        <v>97</v>
      </c>
      <c r="E113" s="144">
        <f t="shared" si="9"/>
        <v>2347225.9744685693</v>
      </c>
      <c r="F113" s="144">
        <f t="shared" si="8"/>
        <v>17277.531218581313</v>
      </c>
      <c r="G113" s="144">
        <f t="shared" si="7"/>
        <v>11736.129872342846</v>
      </c>
      <c r="H113" s="144">
        <f t="shared" si="5"/>
        <v>5541.4013462384664</v>
      </c>
      <c r="I113" s="145">
        <f t="shared" si="6"/>
        <v>2341684.5731223309</v>
      </c>
    </row>
    <row r="114" spans="3:10">
      <c r="C114" s="40"/>
      <c r="D114" s="58">
        <v>98</v>
      </c>
      <c r="E114" s="144">
        <f t="shared" si="9"/>
        <v>2341684.5731223309</v>
      </c>
      <c r="F114" s="144">
        <f t="shared" si="8"/>
        <v>17277.531218581313</v>
      </c>
      <c r="G114" s="144">
        <f t="shared" si="7"/>
        <v>11708.422865611656</v>
      </c>
      <c r="H114" s="144">
        <f t="shared" si="5"/>
        <v>5569.1083529696571</v>
      </c>
      <c r="I114" s="145">
        <f t="shared" si="6"/>
        <v>2336115.4647693611</v>
      </c>
    </row>
    <row r="115" spans="3:10">
      <c r="C115" s="40"/>
      <c r="D115" s="58">
        <v>99</v>
      </c>
      <c r="E115" s="144">
        <f t="shared" si="9"/>
        <v>2336115.4647693611</v>
      </c>
      <c r="F115" s="144">
        <f t="shared" si="8"/>
        <v>17277.531218581313</v>
      </c>
      <c r="G115" s="144">
        <f t="shared" si="7"/>
        <v>11680.577323846806</v>
      </c>
      <c r="H115" s="144">
        <f t="shared" si="5"/>
        <v>5596.9538947345063</v>
      </c>
      <c r="I115" s="145">
        <f t="shared" si="6"/>
        <v>2330518.5108746267</v>
      </c>
    </row>
    <row r="116" spans="3:10">
      <c r="C116" s="40"/>
      <c r="D116" s="58">
        <v>100</v>
      </c>
      <c r="E116" s="144">
        <f t="shared" si="9"/>
        <v>2330518.5108746267</v>
      </c>
      <c r="F116" s="144">
        <f t="shared" si="8"/>
        <v>17277.531218581313</v>
      </c>
      <c r="G116" s="144">
        <f t="shared" si="7"/>
        <v>11652.592554373134</v>
      </c>
      <c r="H116" s="144">
        <f t="shared" si="5"/>
        <v>5624.938664208179</v>
      </c>
      <c r="I116" s="145">
        <f t="shared" si="6"/>
        <v>2324893.5722104185</v>
      </c>
    </row>
    <row r="117" spans="3:10">
      <c r="C117" s="40"/>
      <c r="D117" s="58">
        <v>101</v>
      </c>
      <c r="E117" s="144">
        <f t="shared" si="9"/>
        <v>2324893.5722104185</v>
      </c>
      <c r="F117" s="144">
        <f t="shared" si="8"/>
        <v>17277.531218581313</v>
      </c>
      <c r="G117" s="144">
        <f t="shared" si="7"/>
        <v>11624.467861052093</v>
      </c>
      <c r="H117" s="144">
        <f t="shared" si="5"/>
        <v>5653.0633575292195</v>
      </c>
      <c r="I117" s="145">
        <f t="shared" si="6"/>
        <v>2319240.5088528893</v>
      </c>
    </row>
    <row r="118" spans="3:10">
      <c r="C118" s="40"/>
      <c r="D118" s="58">
        <v>102</v>
      </c>
      <c r="E118" s="144">
        <f t="shared" si="9"/>
        <v>2319240.5088528893</v>
      </c>
      <c r="F118" s="144">
        <f t="shared" si="8"/>
        <v>17277.531218581313</v>
      </c>
      <c r="G118" s="144">
        <f t="shared" si="7"/>
        <v>11596.202544264446</v>
      </c>
      <c r="H118" s="144">
        <f t="shared" si="5"/>
        <v>5681.3286743168665</v>
      </c>
      <c r="I118" s="145">
        <f t="shared" si="6"/>
        <v>2313559.1801785724</v>
      </c>
    </row>
    <row r="119" spans="3:10">
      <c r="C119" s="40"/>
      <c r="D119" s="58">
        <v>103</v>
      </c>
      <c r="E119" s="144">
        <f t="shared" si="9"/>
        <v>2313559.1801785724</v>
      </c>
      <c r="F119" s="144">
        <f t="shared" si="8"/>
        <v>17277.531218581313</v>
      </c>
      <c r="G119" s="144">
        <f t="shared" si="7"/>
        <v>11567.795900892863</v>
      </c>
      <c r="H119" s="144">
        <f t="shared" si="5"/>
        <v>5709.7353176884499</v>
      </c>
      <c r="I119" s="145">
        <f t="shared" si="6"/>
        <v>2307849.444860884</v>
      </c>
    </row>
    <row r="120" spans="3:10">
      <c r="C120" s="40"/>
      <c r="D120" s="58">
        <v>104</v>
      </c>
      <c r="E120" s="144">
        <f t="shared" si="9"/>
        <v>2307849.444860884</v>
      </c>
      <c r="F120" s="144">
        <f t="shared" si="8"/>
        <v>17277.531218581313</v>
      </c>
      <c r="G120" s="144">
        <f t="shared" si="7"/>
        <v>11539.247224304419</v>
      </c>
      <c r="H120" s="144">
        <f t="shared" si="5"/>
        <v>5738.2839942768933</v>
      </c>
      <c r="I120" s="145">
        <f t="shared" si="6"/>
        <v>2302111.160866607</v>
      </c>
    </row>
    <row r="121" spans="3:10">
      <c r="C121" s="40"/>
      <c r="D121" s="58">
        <v>105</v>
      </c>
      <c r="E121" s="144">
        <f t="shared" si="9"/>
        <v>2302111.160866607</v>
      </c>
      <c r="F121" s="144">
        <f t="shared" si="8"/>
        <v>17277.531218581313</v>
      </c>
      <c r="G121" s="144">
        <f t="shared" si="7"/>
        <v>11510.555804333035</v>
      </c>
      <c r="H121" s="144">
        <f t="shared" si="5"/>
        <v>5766.975414248278</v>
      </c>
      <c r="I121" s="145">
        <f t="shared" si="6"/>
        <v>2296344.1854523588</v>
      </c>
    </row>
    <row r="122" spans="3:10">
      <c r="C122" s="40"/>
      <c r="D122" s="58">
        <v>106</v>
      </c>
      <c r="E122" s="144">
        <f t="shared" si="9"/>
        <v>2296344.1854523588</v>
      </c>
      <c r="F122" s="144">
        <f t="shared" si="8"/>
        <v>17277.531218581313</v>
      </c>
      <c r="G122" s="144">
        <f t="shared" si="7"/>
        <v>11481.720927261795</v>
      </c>
      <c r="H122" s="144">
        <f t="shared" si="5"/>
        <v>5795.810291319518</v>
      </c>
      <c r="I122" s="145">
        <f t="shared" si="6"/>
        <v>2290548.3751610392</v>
      </c>
    </row>
    <row r="123" spans="3:10">
      <c r="C123" s="40"/>
      <c r="D123" s="58">
        <v>107</v>
      </c>
      <c r="E123" s="144">
        <f t="shared" si="9"/>
        <v>2290548.3751610392</v>
      </c>
      <c r="F123" s="144">
        <f t="shared" si="8"/>
        <v>17277.531218581313</v>
      </c>
      <c r="G123" s="144">
        <f t="shared" si="7"/>
        <v>11452.741875805195</v>
      </c>
      <c r="H123" s="144">
        <f t="shared" si="5"/>
        <v>5824.7893427761173</v>
      </c>
      <c r="I123" s="145">
        <f t="shared" si="6"/>
        <v>2284723.5858182632</v>
      </c>
    </row>
    <row r="124" spans="3:10">
      <c r="C124" s="46">
        <v>9</v>
      </c>
      <c r="D124" s="147">
        <v>108</v>
      </c>
      <c r="E124" s="144">
        <f t="shared" si="9"/>
        <v>2284723.5858182632</v>
      </c>
      <c r="F124" s="144">
        <f t="shared" si="8"/>
        <v>17277.531218581313</v>
      </c>
      <c r="G124" s="144">
        <f t="shared" si="7"/>
        <v>11423.617929091317</v>
      </c>
      <c r="H124" s="144">
        <f t="shared" si="5"/>
        <v>5853.9132894899958</v>
      </c>
      <c r="I124" s="145">
        <f t="shared" si="6"/>
        <v>2278869.6725287731</v>
      </c>
      <c r="J124" s="148">
        <f>+SUM(H113:H124)+SUM(G113:G124)</f>
        <v>207330.37462297577</v>
      </c>
    </row>
    <row r="125" spans="3:10">
      <c r="C125" s="40"/>
      <c r="D125" s="58">
        <v>109</v>
      </c>
      <c r="E125" s="144">
        <f t="shared" si="9"/>
        <v>2278869.6725287731</v>
      </c>
      <c r="F125" s="144">
        <f t="shared" si="8"/>
        <v>17277.531218581313</v>
      </c>
      <c r="G125" s="144">
        <f t="shared" si="7"/>
        <v>11394.348362643866</v>
      </c>
      <c r="H125" s="144">
        <f t="shared" si="5"/>
        <v>5883.1828559374462</v>
      </c>
      <c r="I125" s="145">
        <f t="shared" si="6"/>
        <v>2272986.4896728355</v>
      </c>
    </row>
    <row r="126" spans="3:10">
      <c r="C126" s="40"/>
      <c r="D126" s="58">
        <v>110</v>
      </c>
      <c r="E126" s="144">
        <f t="shared" si="9"/>
        <v>2272986.4896728355</v>
      </c>
      <c r="F126" s="144">
        <f t="shared" si="8"/>
        <v>17277.531218581313</v>
      </c>
      <c r="G126" s="144">
        <f t="shared" si="7"/>
        <v>11364.932448364178</v>
      </c>
      <c r="H126" s="144">
        <f t="shared" si="5"/>
        <v>5912.5987702171351</v>
      </c>
      <c r="I126" s="145">
        <f t="shared" si="6"/>
        <v>2267073.8909026184</v>
      </c>
    </row>
    <row r="127" spans="3:10">
      <c r="C127" s="40"/>
      <c r="D127" s="58">
        <v>111</v>
      </c>
      <c r="E127" s="144">
        <f t="shared" si="9"/>
        <v>2267073.8909026184</v>
      </c>
      <c r="F127" s="144">
        <f t="shared" si="8"/>
        <v>17277.531218581313</v>
      </c>
      <c r="G127" s="144">
        <f t="shared" si="7"/>
        <v>11335.369454513093</v>
      </c>
      <c r="H127" s="144">
        <f t="shared" si="5"/>
        <v>5942.1617640682198</v>
      </c>
      <c r="I127" s="145">
        <f t="shared" si="6"/>
        <v>2261131.7291385503</v>
      </c>
    </row>
    <row r="128" spans="3:10">
      <c r="C128" s="40"/>
      <c r="D128" s="58">
        <v>112</v>
      </c>
      <c r="E128" s="144">
        <f t="shared" si="9"/>
        <v>2261131.7291385503</v>
      </c>
      <c r="F128" s="144">
        <f t="shared" si="8"/>
        <v>17277.531218581313</v>
      </c>
      <c r="G128" s="144">
        <f t="shared" si="7"/>
        <v>11305.658645692753</v>
      </c>
      <c r="H128" s="144">
        <f t="shared" si="5"/>
        <v>5971.8725728885602</v>
      </c>
      <c r="I128" s="145">
        <f t="shared" si="6"/>
        <v>2255159.8565656617</v>
      </c>
    </row>
    <row r="129" spans="3:10">
      <c r="C129" s="40"/>
      <c r="D129" s="58">
        <v>113</v>
      </c>
      <c r="E129" s="144">
        <f t="shared" si="9"/>
        <v>2255159.8565656617</v>
      </c>
      <c r="F129" s="144">
        <f t="shared" si="8"/>
        <v>17277.531218581313</v>
      </c>
      <c r="G129" s="144">
        <f t="shared" si="7"/>
        <v>11275.79928282831</v>
      </c>
      <c r="H129" s="144">
        <f t="shared" si="5"/>
        <v>6001.7319357530032</v>
      </c>
      <c r="I129" s="145">
        <f t="shared" si="6"/>
        <v>2249158.1246299087</v>
      </c>
    </row>
    <row r="130" spans="3:10">
      <c r="C130" s="40"/>
      <c r="D130" s="58">
        <v>114</v>
      </c>
      <c r="E130" s="144">
        <f t="shared" si="9"/>
        <v>2249158.1246299087</v>
      </c>
      <c r="F130" s="144">
        <f t="shared" si="8"/>
        <v>17277.531218581313</v>
      </c>
      <c r="G130" s="144">
        <f t="shared" si="7"/>
        <v>11245.790623149544</v>
      </c>
      <c r="H130" s="144">
        <f t="shared" si="5"/>
        <v>6031.7405954317692</v>
      </c>
      <c r="I130" s="145">
        <f t="shared" si="6"/>
        <v>2243126.3840344767</v>
      </c>
    </row>
    <row r="131" spans="3:10">
      <c r="C131" s="40"/>
      <c r="D131" s="58">
        <v>115</v>
      </c>
      <c r="E131" s="144">
        <f t="shared" si="9"/>
        <v>2243126.3840344767</v>
      </c>
      <c r="F131" s="144">
        <f t="shared" si="8"/>
        <v>17277.531218581313</v>
      </c>
      <c r="G131" s="144">
        <f t="shared" si="7"/>
        <v>11215.631920172384</v>
      </c>
      <c r="H131" s="144">
        <f t="shared" si="5"/>
        <v>6061.8992984089291</v>
      </c>
      <c r="I131" s="145">
        <f t="shared" si="6"/>
        <v>2237064.4847360677</v>
      </c>
    </row>
    <row r="132" spans="3:10">
      <c r="C132" s="40"/>
      <c r="D132" s="58">
        <v>116</v>
      </c>
      <c r="E132" s="144">
        <f t="shared" si="9"/>
        <v>2237064.4847360677</v>
      </c>
      <c r="F132" s="144">
        <f t="shared" si="8"/>
        <v>17277.531218581313</v>
      </c>
      <c r="G132" s="144">
        <f t="shared" si="7"/>
        <v>11185.322423680338</v>
      </c>
      <c r="H132" s="144">
        <f t="shared" si="5"/>
        <v>6092.2087949009747</v>
      </c>
      <c r="I132" s="145">
        <f t="shared" si="6"/>
        <v>2230972.2759411666</v>
      </c>
    </row>
    <row r="133" spans="3:10">
      <c r="C133" s="40"/>
      <c r="D133" s="58">
        <v>117</v>
      </c>
      <c r="E133" s="144">
        <f t="shared" si="9"/>
        <v>2230972.2759411666</v>
      </c>
      <c r="F133" s="144">
        <f t="shared" si="8"/>
        <v>17277.531218581313</v>
      </c>
      <c r="G133" s="144">
        <f t="shared" si="7"/>
        <v>11154.861379705833</v>
      </c>
      <c r="H133" s="144">
        <f t="shared" si="5"/>
        <v>6122.6698388754794</v>
      </c>
      <c r="I133" s="145">
        <f t="shared" si="6"/>
        <v>2224849.606102291</v>
      </c>
    </row>
    <row r="134" spans="3:10">
      <c r="C134" s="40"/>
      <c r="D134" s="58">
        <v>118</v>
      </c>
      <c r="E134" s="144">
        <f t="shared" si="9"/>
        <v>2224849.606102291</v>
      </c>
      <c r="F134" s="144">
        <f t="shared" si="8"/>
        <v>17277.531218581313</v>
      </c>
      <c r="G134" s="144">
        <f t="shared" si="7"/>
        <v>11124.248030511455</v>
      </c>
      <c r="H134" s="144">
        <f t="shared" si="5"/>
        <v>6153.2831880698577</v>
      </c>
      <c r="I134" s="145">
        <f t="shared" si="6"/>
        <v>2218696.3229142213</v>
      </c>
    </row>
    <row r="135" spans="3:10">
      <c r="C135" s="40"/>
      <c r="D135" s="58">
        <v>119</v>
      </c>
      <c r="E135" s="144">
        <f t="shared" si="9"/>
        <v>2218696.3229142213</v>
      </c>
      <c r="F135" s="144">
        <f t="shared" si="8"/>
        <v>17277.531218581313</v>
      </c>
      <c r="G135" s="144">
        <f t="shared" si="7"/>
        <v>11093.481614571107</v>
      </c>
      <c r="H135" s="144">
        <f t="shared" si="5"/>
        <v>6184.0496040102062</v>
      </c>
      <c r="I135" s="145">
        <f t="shared" si="6"/>
        <v>2212512.273310211</v>
      </c>
    </row>
    <row r="136" spans="3:10">
      <c r="C136" s="46">
        <v>10</v>
      </c>
      <c r="D136" s="147">
        <v>120</v>
      </c>
      <c r="E136" s="144">
        <f t="shared" si="9"/>
        <v>2212512.273310211</v>
      </c>
      <c r="F136" s="144">
        <f t="shared" si="8"/>
        <v>17277.531218581313</v>
      </c>
      <c r="G136" s="144">
        <f t="shared" si="7"/>
        <v>11062.561366551055</v>
      </c>
      <c r="H136" s="144">
        <f t="shared" si="5"/>
        <v>6214.9698520302572</v>
      </c>
      <c r="I136" s="145">
        <f t="shared" si="6"/>
        <v>2206297.3034581807</v>
      </c>
      <c r="J136" s="148">
        <f>+SUM(H125:H136)+SUM(G125:G136)</f>
        <v>207330.37462297577</v>
      </c>
    </row>
    <row r="137" spans="3:10">
      <c r="C137" s="40"/>
      <c r="D137" s="58">
        <v>121</v>
      </c>
      <c r="E137" s="144">
        <f t="shared" si="9"/>
        <v>2206297.3034581807</v>
      </c>
      <c r="F137" s="144">
        <f t="shared" si="8"/>
        <v>17277.531218581313</v>
      </c>
      <c r="G137" s="144">
        <f t="shared" si="7"/>
        <v>11031.486517290903</v>
      </c>
      <c r="H137" s="144">
        <f t="shared" si="5"/>
        <v>6246.0447012904096</v>
      </c>
      <c r="I137" s="145">
        <f t="shared" si="6"/>
        <v>2200051.2587568904</v>
      </c>
    </row>
    <row r="138" spans="3:10">
      <c r="C138" s="40"/>
      <c r="D138" s="58">
        <v>122</v>
      </c>
      <c r="E138" s="144">
        <f t="shared" si="9"/>
        <v>2200051.2587568904</v>
      </c>
      <c r="F138" s="144">
        <f t="shared" si="8"/>
        <v>17277.531218581313</v>
      </c>
      <c r="G138" s="144">
        <f t="shared" si="7"/>
        <v>11000.256293784452</v>
      </c>
      <c r="H138" s="144">
        <f t="shared" si="5"/>
        <v>6277.2749247968604</v>
      </c>
      <c r="I138" s="145">
        <f t="shared" si="6"/>
        <v>2193773.9838320934</v>
      </c>
    </row>
    <row r="139" spans="3:10">
      <c r="C139" s="40"/>
      <c r="D139" s="58">
        <v>123</v>
      </c>
      <c r="E139" s="144">
        <f t="shared" si="9"/>
        <v>2193773.9838320934</v>
      </c>
      <c r="F139" s="144">
        <f t="shared" si="8"/>
        <v>17277.531218581313</v>
      </c>
      <c r="G139" s="144">
        <f t="shared" si="7"/>
        <v>10968.869919160466</v>
      </c>
      <c r="H139" s="144">
        <f t="shared" si="5"/>
        <v>6308.6612994208463</v>
      </c>
      <c r="I139" s="145">
        <f t="shared" si="6"/>
        <v>2187465.3225326724</v>
      </c>
    </row>
    <row r="140" spans="3:10">
      <c r="C140" s="40"/>
      <c r="D140" s="58">
        <v>124</v>
      </c>
      <c r="E140" s="144">
        <f t="shared" si="9"/>
        <v>2187465.3225326724</v>
      </c>
      <c r="F140" s="144">
        <f t="shared" si="8"/>
        <v>17277.531218581313</v>
      </c>
      <c r="G140" s="144">
        <f t="shared" si="7"/>
        <v>10937.326612663363</v>
      </c>
      <c r="H140" s="144">
        <f t="shared" si="5"/>
        <v>6340.2046059179502</v>
      </c>
      <c r="I140" s="145">
        <f t="shared" si="6"/>
        <v>2181125.1179267545</v>
      </c>
    </row>
    <row r="141" spans="3:10">
      <c r="C141" s="40"/>
      <c r="D141" s="58">
        <v>125</v>
      </c>
      <c r="E141" s="144">
        <f t="shared" si="9"/>
        <v>2181125.1179267545</v>
      </c>
      <c r="F141" s="144">
        <f t="shared" si="8"/>
        <v>17277.531218581313</v>
      </c>
      <c r="G141" s="144">
        <f t="shared" si="7"/>
        <v>10905.625589633773</v>
      </c>
      <c r="H141" s="144">
        <f t="shared" si="5"/>
        <v>6371.9056289475393</v>
      </c>
      <c r="I141" s="145">
        <f t="shared" si="6"/>
        <v>2174753.212297807</v>
      </c>
    </row>
    <row r="142" spans="3:10">
      <c r="C142" s="40"/>
      <c r="D142" s="58">
        <v>126</v>
      </c>
      <c r="E142" s="144">
        <f t="shared" si="9"/>
        <v>2174753.212297807</v>
      </c>
      <c r="F142" s="144">
        <f t="shared" si="8"/>
        <v>17277.531218581313</v>
      </c>
      <c r="G142" s="144">
        <f t="shared" si="7"/>
        <v>10873.766061489036</v>
      </c>
      <c r="H142" s="144">
        <f t="shared" si="5"/>
        <v>6403.7651570922771</v>
      </c>
      <c r="I142" s="145">
        <f t="shared" si="6"/>
        <v>2168349.4471407146</v>
      </c>
    </row>
    <row r="143" spans="3:10">
      <c r="C143" s="40"/>
      <c r="D143" s="58">
        <v>127</v>
      </c>
      <c r="E143" s="144">
        <f t="shared" si="9"/>
        <v>2168349.4471407146</v>
      </c>
      <c r="F143" s="144">
        <f t="shared" si="8"/>
        <v>17277.531218581313</v>
      </c>
      <c r="G143" s="144">
        <f t="shared" si="7"/>
        <v>10841.747235703573</v>
      </c>
      <c r="H143" s="144">
        <f t="shared" si="5"/>
        <v>6435.7839828777396</v>
      </c>
      <c r="I143" s="145">
        <f t="shared" si="6"/>
        <v>2161913.663157837</v>
      </c>
    </row>
    <row r="144" spans="3:10">
      <c r="C144" s="40"/>
      <c r="D144" s="58">
        <v>128</v>
      </c>
      <c r="E144" s="144">
        <f t="shared" si="9"/>
        <v>2161913.663157837</v>
      </c>
      <c r="F144" s="144">
        <f t="shared" si="8"/>
        <v>17277.531218581313</v>
      </c>
      <c r="G144" s="144">
        <f t="shared" si="7"/>
        <v>10809.568315789185</v>
      </c>
      <c r="H144" s="144">
        <f t="shared" si="5"/>
        <v>6467.9629027921274</v>
      </c>
      <c r="I144" s="145">
        <f t="shared" si="6"/>
        <v>2155445.7002550447</v>
      </c>
    </row>
    <row r="145" spans="3:10">
      <c r="C145" s="40"/>
      <c r="D145" s="58">
        <v>129</v>
      </c>
      <c r="E145" s="144">
        <f t="shared" si="9"/>
        <v>2155445.7002550447</v>
      </c>
      <c r="F145" s="144">
        <f t="shared" si="8"/>
        <v>17277.531218581313</v>
      </c>
      <c r="G145" s="144">
        <f t="shared" si="7"/>
        <v>10777.228501275224</v>
      </c>
      <c r="H145" s="144">
        <f t="shared" ref="H145:H208" si="10">F145-G145</f>
        <v>6500.3027173060891</v>
      </c>
      <c r="I145" s="145">
        <f t="shared" ref="I145:I208" si="11">E145-H145</f>
        <v>2148945.3975377386</v>
      </c>
    </row>
    <row r="146" spans="3:10">
      <c r="C146" s="40"/>
      <c r="D146" s="58">
        <v>130</v>
      </c>
      <c r="E146" s="144">
        <f t="shared" si="9"/>
        <v>2148945.3975377386</v>
      </c>
      <c r="F146" s="144">
        <f t="shared" si="8"/>
        <v>17277.531218581313</v>
      </c>
      <c r="G146" s="144">
        <f t="shared" ref="G146:G209" si="12">IF(D146&gt;$D$10,0,($D$6/12)*I145)</f>
        <v>10744.726987688693</v>
      </c>
      <c r="H146" s="144">
        <f t="shared" si="10"/>
        <v>6532.8042308926197</v>
      </c>
      <c r="I146" s="145">
        <f t="shared" si="11"/>
        <v>2142412.593306846</v>
      </c>
    </row>
    <row r="147" spans="3:10">
      <c r="C147" s="40"/>
      <c r="D147" s="58">
        <v>131</v>
      </c>
      <c r="E147" s="144">
        <f t="shared" si="9"/>
        <v>2142412.593306846</v>
      </c>
      <c r="F147" s="144">
        <f t="shared" si="8"/>
        <v>17277.531218581313</v>
      </c>
      <c r="G147" s="144">
        <f t="shared" si="12"/>
        <v>10712.062966534229</v>
      </c>
      <c r="H147" s="144">
        <f t="shared" si="10"/>
        <v>6565.4682520470833</v>
      </c>
      <c r="I147" s="145">
        <f t="shared" si="11"/>
        <v>2135847.125054799</v>
      </c>
    </row>
    <row r="148" spans="3:10">
      <c r="C148" s="46">
        <v>11</v>
      </c>
      <c r="D148" s="147">
        <v>132</v>
      </c>
      <c r="E148" s="144">
        <f t="shared" si="9"/>
        <v>2135847.125054799</v>
      </c>
      <c r="F148" s="144">
        <f t="shared" si="8"/>
        <v>17277.531218581313</v>
      </c>
      <c r="G148" s="144">
        <f t="shared" si="12"/>
        <v>10679.235625273996</v>
      </c>
      <c r="H148" s="144">
        <f t="shared" si="10"/>
        <v>6598.2955933073172</v>
      </c>
      <c r="I148" s="145">
        <f t="shared" si="11"/>
        <v>2129248.8294614917</v>
      </c>
      <c r="J148" s="148">
        <f>+SUM(H137:H148)+SUM(G137:G148)</f>
        <v>207330.37462297577</v>
      </c>
    </row>
    <row r="149" spans="3:10">
      <c r="C149" s="40"/>
      <c r="D149" s="58">
        <v>133</v>
      </c>
      <c r="E149" s="144">
        <f t="shared" si="9"/>
        <v>2129248.8294614917</v>
      </c>
      <c r="F149" s="144">
        <f t="shared" ref="F149:F212" si="13">IF(D149&gt;$D$10,0,IF(D149&lt;=$D$8,G149,-PMT($D$6/12,$D$9,$D$5,0,0)))</f>
        <v>17277.531218581313</v>
      </c>
      <c r="G149" s="144">
        <f t="shared" si="12"/>
        <v>10646.244147307458</v>
      </c>
      <c r="H149" s="144">
        <f t="shared" si="10"/>
        <v>6631.287071273855</v>
      </c>
      <c r="I149" s="145">
        <f t="shared" si="11"/>
        <v>2122617.542390218</v>
      </c>
    </row>
    <row r="150" spans="3:10">
      <c r="C150" s="40"/>
      <c r="D150" s="58">
        <v>134</v>
      </c>
      <c r="E150" s="144">
        <f t="shared" ref="E150:E213" si="14">IF(D150&gt;$D$10,0,I149)</f>
        <v>2122617.542390218</v>
      </c>
      <c r="F150" s="144">
        <f t="shared" si="13"/>
        <v>17277.531218581313</v>
      </c>
      <c r="G150" s="144">
        <f t="shared" si="12"/>
        <v>10613.08771195109</v>
      </c>
      <c r="H150" s="144">
        <f t="shared" si="10"/>
        <v>6664.4435066302231</v>
      </c>
      <c r="I150" s="145">
        <f t="shared" si="11"/>
        <v>2115953.0988835879</v>
      </c>
    </row>
    <row r="151" spans="3:10">
      <c r="C151" s="40"/>
      <c r="D151" s="58">
        <v>135</v>
      </c>
      <c r="E151" s="144">
        <f t="shared" si="14"/>
        <v>2115953.0988835879</v>
      </c>
      <c r="F151" s="144">
        <f t="shared" si="13"/>
        <v>17277.531218581313</v>
      </c>
      <c r="G151" s="144">
        <f t="shared" si="12"/>
        <v>10579.765494417939</v>
      </c>
      <c r="H151" s="144">
        <f t="shared" si="10"/>
        <v>6697.7657241633733</v>
      </c>
      <c r="I151" s="145">
        <f t="shared" si="11"/>
        <v>2109255.3331594244</v>
      </c>
    </row>
    <row r="152" spans="3:10">
      <c r="C152" s="40"/>
      <c r="D152" s="58">
        <v>136</v>
      </c>
      <c r="E152" s="144">
        <f t="shared" si="14"/>
        <v>2109255.3331594244</v>
      </c>
      <c r="F152" s="144">
        <f t="shared" si="13"/>
        <v>17277.531218581313</v>
      </c>
      <c r="G152" s="144">
        <f t="shared" si="12"/>
        <v>10546.276665797122</v>
      </c>
      <c r="H152" s="144">
        <f t="shared" si="10"/>
        <v>6731.2545527841903</v>
      </c>
      <c r="I152" s="145">
        <f t="shared" si="11"/>
        <v>2102524.07860664</v>
      </c>
    </row>
    <row r="153" spans="3:10">
      <c r="C153" s="40"/>
      <c r="D153" s="58">
        <v>137</v>
      </c>
      <c r="E153" s="144">
        <f t="shared" si="14"/>
        <v>2102524.07860664</v>
      </c>
      <c r="F153" s="144">
        <f t="shared" si="13"/>
        <v>17277.531218581313</v>
      </c>
      <c r="G153" s="144">
        <f t="shared" si="12"/>
        <v>10512.620393033199</v>
      </c>
      <c r="H153" s="144">
        <f t="shared" si="10"/>
        <v>6764.9108255481133</v>
      </c>
      <c r="I153" s="145">
        <f t="shared" si="11"/>
        <v>2095759.1677810918</v>
      </c>
    </row>
    <row r="154" spans="3:10">
      <c r="C154" s="40"/>
      <c r="D154" s="58">
        <v>138</v>
      </c>
      <c r="E154" s="144">
        <f t="shared" si="14"/>
        <v>2095759.1677810918</v>
      </c>
      <c r="F154" s="144">
        <f t="shared" si="13"/>
        <v>17277.531218581313</v>
      </c>
      <c r="G154" s="144">
        <f t="shared" si="12"/>
        <v>10478.795838905458</v>
      </c>
      <c r="H154" s="144">
        <f t="shared" si="10"/>
        <v>6798.7353796758543</v>
      </c>
      <c r="I154" s="145">
        <f t="shared" si="11"/>
        <v>2088960.4324014159</v>
      </c>
    </row>
    <row r="155" spans="3:10">
      <c r="C155" s="40"/>
      <c r="D155" s="58">
        <v>139</v>
      </c>
      <c r="E155" s="144">
        <f t="shared" si="14"/>
        <v>2088960.4324014159</v>
      </c>
      <c r="F155" s="144">
        <f t="shared" si="13"/>
        <v>17277.531218581313</v>
      </c>
      <c r="G155" s="144">
        <f t="shared" si="12"/>
        <v>10444.802162007079</v>
      </c>
      <c r="H155" s="144">
        <f t="shared" si="10"/>
        <v>6832.7290565742333</v>
      </c>
      <c r="I155" s="145">
        <f t="shared" si="11"/>
        <v>2082127.7033448417</v>
      </c>
    </row>
    <row r="156" spans="3:10">
      <c r="C156" s="40"/>
      <c r="D156" s="58">
        <v>140</v>
      </c>
      <c r="E156" s="144">
        <f t="shared" si="14"/>
        <v>2082127.7033448417</v>
      </c>
      <c r="F156" s="144">
        <f t="shared" si="13"/>
        <v>17277.531218581313</v>
      </c>
      <c r="G156" s="144">
        <f t="shared" si="12"/>
        <v>10410.63851672421</v>
      </c>
      <c r="H156" s="144">
        <f t="shared" si="10"/>
        <v>6866.892701857103</v>
      </c>
      <c r="I156" s="145">
        <f t="shared" si="11"/>
        <v>2075260.8106429847</v>
      </c>
    </row>
    <row r="157" spans="3:10">
      <c r="C157" s="40"/>
      <c r="D157" s="58">
        <v>141</v>
      </c>
      <c r="E157" s="144">
        <f t="shared" si="14"/>
        <v>2075260.8106429847</v>
      </c>
      <c r="F157" s="144">
        <f t="shared" si="13"/>
        <v>17277.531218581313</v>
      </c>
      <c r="G157" s="144">
        <f t="shared" si="12"/>
        <v>10376.304053214924</v>
      </c>
      <c r="H157" s="144">
        <f t="shared" si="10"/>
        <v>6901.2271653663884</v>
      </c>
      <c r="I157" s="145">
        <f t="shared" si="11"/>
        <v>2068359.5834776184</v>
      </c>
    </row>
    <row r="158" spans="3:10">
      <c r="C158" s="40"/>
      <c r="D158" s="58">
        <v>142</v>
      </c>
      <c r="E158" s="144">
        <f t="shared" si="14"/>
        <v>2068359.5834776184</v>
      </c>
      <c r="F158" s="144">
        <f t="shared" si="13"/>
        <v>17277.531218581313</v>
      </c>
      <c r="G158" s="144">
        <f t="shared" si="12"/>
        <v>10341.797917388092</v>
      </c>
      <c r="H158" s="144">
        <f t="shared" si="10"/>
        <v>6935.7333011932205</v>
      </c>
      <c r="I158" s="145">
        <f t="shared" si="11"/>
        <v>2061423.8501764252</v>
      </c>
    </row>
    <row r="159" spans="3:10">
      <c r="C159" s="40"/>
      <c r="D159" s="58">
        <v>143</v>
      </c>
      <c r="E159" s="144">
        <f t="shared" si="14"/>
        <v>2061423.8501764252</v>
      </c>
      <c r="F159" s="144">
        <f t="shared" si="13"/>
        <v>17277.531218581313</v>
      </c>
      <c r="G159" s="144">
        <f t="shared" si="12"/>
        <v>10307.119250882126</v>
      </c>
      <c r="H159" s="144">
        <f t="shared" si="10"/>
        <v>6970.4119676991868</v>
      </c>
      <c r="I159" s="145">
        <f t="shared" si="11"/>
        <v>2054453.438208726</v>
      </c>
    </row>
    <row r="160" spans="3:10">
      <c r="C160" s="46">
        <v>12</v>
      </c>
      <c r="D160" s="147">
        <v>144</v>
      </c>
      <c r="E160" s="144">
        <f t="shared" si="14"/>
        <v>2054453.438208726</v>
      </c>
      <c r="F160" s="144">
        <f t="shared" si="13"/>
        <v>17277.531218581313</v>
      </c>
      <c r="G160" s="144">
        <f t="shared" si="12"/>
        <v>10272.267191043631</v>
      </c>
      <c r="H160" s="144">
        <f t="shared" si="10"/>
        <v>7005.2640275376816</v>
      </c>
      <c r="I160" s="145">
        <f t="shared" si="11"/>
        <v>2047448.1741811882</v>
      </c>
    </row>
    <row r="161" spans="3:9">
      <c r="C161" s="40"/>
      <c r="D161" s="58">
        <v>145</v>
      </c>
      <c r="E161" s="144">
        <f t="shared" si="14"/>
        <v>2047448.1741811882</v>
      </c>
      <c r="F161" s="144">
        <f t="shared" si="13"/>
        <v>17277.531218581313</v>
      </c>
      <c r="G161" s="144">
        <f t="shared" si="12"/>
        <v>10237.240870905942</v>
      </c>
      <c r="H161" s="144">
        <f t="shared" si="10"/>
        <v>7040.2903476753709</v>
      </c>
      <c r="I161" s="145">
        <f t="shared" si="11"/>
        <v>2040407.8838335129</v>
      </c>
    </row>
    <row r="162" spans="3:9">
      <c r="C162" s="40"/>
      <c r="D162" s="58">
        <v>146</v>
      </c>
      <c r="E162" s="144">
        <f t="shared" si="14"/>
        <v>2040407.8838335129</v>
      </c>
      <c r="F162" s="144">
        <f t="shared" si="13"/>
        <v>17277.531218581313</v>
      </c>
      <c r="G162" s="144">
        <f t="shared" si="12"/>
        <v>10202.039419167564</v>
      </c>
      <c r="H162" s="144">
        <f t="shared" si="10"/>
        <v>7075.4917994137486</v>
      </c>
      <c r="I162" s="145">
        <f t="shared" si="11"/>
        <v>2033332.3920340992</v>
      </c>
    </row>
    <row r="163" spans="3:9">
      <c r="C163" s="40"/>
      <c r="D163" s="58">
        <v>147</v>
      </c>
      <c r="E163" s="144">
        <f t="shared" si="14"/>
        <v>2033332.3920340992</v>
      </c>
      <c r="F163" s="144">
        <f t="shared" si="13"/>
        <v>17277.531218581313</v>
      </c>
      <c r="G163" s="144">
        <f t="shared" si="12"/>
        <v>10166.661960170497</v>
      </c>
      <c r="H163" s="144">
        <f t="shared" si="10"/>
        <v>7110.8692584108157</v>
      </c>
      <c r="I163" s="145">
        <f t="shared" si="11"/>
        <v>2026221.5227756884</v>
      </c>
    </row>
    <row r="164" spans="3:9">
      <c r="C164" s="40"/>
      <c r="D164" s="58">
        <v>148</v>
      </c>
      <c r="E164" s="144">
        <f t="shared" si="14"/>
        <v>2026221.5227756884</v>
      </c>
      <c r="F164" s="144">
        <f t="shared" si="13"/>
        <v>17277.531218581313</v>
      </c>
      <c r="G164" s="144">
        <f t="shared" si="12"/>
        <v>10131.107613878443</v>
      </c>
      <c r="H164" s="144">
        <f t="shared" si="10"/>
        <v>7146.4236047028699</v>
      </c>
      <c r="I164" s="145">
        <f t="shared" si="11"/>
        <v>2019075.0991709856</v>
      </c>
    </row>
    <row r="165" spans="3:9">
      <c r="C165" s="40"/>
      <c r="D165" s="58">
        <v>149</v>
      </c>
      <c r="E165" s="144">
        <f t="shared" si="14"/>
        <v>2019075.0991709856</v>
      </c>
      <c r="F165" s="144">
        <f t="shared" si="13"/>
        <v>17277.531218581313</v>
      </c>
      <c r="G165" s="144">
        <f t="shared" si="12"/>
        <v>10095.375495854929</v>
      </c>
      <c r="H165" s="144">
        <f t="shared" si="10"/>
        <v>7182.1557227263838</v>
      </c>
      <c r="I165" s="145">
        <f t="shared" si="11"/>
        <v>2011892.9434482593</v>
      </c>
    </row>
    <row r="166" spans="3:9">
      <c r="C166" s="40"/>
      <c r="D166" s="58">
        <v>150</v>
      </c>
      <c r="E166" s="144">
        <f t="shared" si="14"/>
        <v>2011892.9434482593</v>
      </c>
      <c r="F166" s="144">
        <f t="shared" si="13"/>
        <v>17277.531218581313</v>
      </c>
      <c r="G166" s="144">
        <f t="shared" si="12"/>
        <v>10059.464717241297</v>
      </c>
      <c r="H166" s="144">
        <f t="shared" si="10"/>
        <v>7218.0665013400157</v>
      </c>
      <c r="I166" s="145">
        <f t="shared" si="11"/>
        <v>2004674.8769469191</v>
      </c>
    </row>
    <row r="167" spans="3:9">
      <c r="C167" s="40"/>
      <c r="D167" s="58">
        <v>151</v>
      </c>
      <c r="E167" s="144">
        <f t="shared" si="14"/>
        <v>2004674.8769469191</v>
      </c>
      <c r="F167" s="144">
        <f t="shared" si="13"/>
        <v>17277.531218581313</v>
      </c>
      <c r="G167" s="144">
        <f t="shared" si="12"/>
        <v>10023.374384734596</v>
      </c>
      <c r="H167" s="144">
        <f t="shared" si="10"/>
        <v>7254.1568338467168</v>
      </c>
      <c r="I167" s="145">
        <f t="shared" si="11"/>
        <v>1997420.7201130723</v>
      </c>
    </row>
    <row r="168" spans="3:9">
      <c r="C168" s="40"/>
      <c r="D168" s="58">
        <v>152</v>
      </c>
      <c r="E168" s="144">
        <f t="shared" si="14"/>
        <v>1997420.7201130723</v>
      </c>
      <c r="F168" s="144">
        <f t="shared" si="13"/>
        <v>17277.531218581313</v>
      </c>
      <c r="G168" s="144">
        <f t="shared" si="12"/>
        <v>9987.1036005653623</v>
      </c>
      <c r="H168" s="144">
        <f t="shared" si="10"/>
        <v>7290.4276180159504</v>
      </c>
      <c r="I168" s="145">
        <f t="shared" si="11"/>
        <v>1990130.2924950563</v>
      </c>
    </row>
    <row r="169" spans="3:9">
      <c r="C169" s="40"/>
      <c r="D169" s="58">
        <v>153</v>
      </c>
      <c r="E169" s="144">
        <f t="shared" si="14"/>
        <v>1990130.2924950563</v>
      </c>
      <c r="F169" s="144">
        <f t="shared" si="13"/>
        <v>17277.531218581313</v>
      </c>
      <c r="G169" s="144">
        <f t="shared" si="12"/>
        <v>9950.6514624752817</v>
      </c>
      <c r="H169" s="144">
        <f t="shared" si="10"/>
        <v>7326.879756106031</v>
      </c>
      <c r="I169" s="145">
        <f t="shared" si="11"/>
        <v>1982803.4127389502</v>
      </c>
    </row>
    <row r="170" spans="3:9">
      <c r="C170" s="40"/>
      <c r="D170" s="58">
        <v>154</v>
      </c>
      <c r="E170" s="144">
        <f t="shared" si="14"/>
        <v>1982803.4127389502</v>
      </c>
      <c r="F170" s="144">
        <f t="shared" si="13"/>
        <v>17277.531218581313</v>
      </c>
      <c r="G170" s="144">
        <f t="shared" si="12"/>
        <v>9914.0170636947514</v>
      </c>
      <c r="H170" s="144">
        <f t="shared" si="10"/>
        <v>7363.5141548865613</v>
      </c>
      <c r="I170" s="145">
        <f t="shared" si="11"/>
        <v>1975439.8985840636</v>
      </c>
    </row>
    <row r="171" spans="3:9">
      <c r="C171" s="40"/>
      <c r="D171" s="58">
        <v>155</v>
      </c>
      <c r="E171" s="144">
        <f t="shared" si="14"/>
        <v>1975439.8985840636</v>
      </c>
      <c r="F171" s="144">
        <f t="shared" si="13"/>
        <v>17277.531218581313</v>
      </c>
      <c r="G171" s="144">
        <f t="shared" si="12"/>
        <v>9877.1994929203192</v>
      </c>
      <c r="H171" s="144">
        <f t="shared" si="10"/>
        <v>7400.3317256609935</v>
      </c>
      <c r="I171" s="145">
        <f t="shared" si="11"/>
        <v>1968039.5668584027</v>
      </c>
    </row>
    <row r="172" spans="3:9">
      <c r="C172" s="46">
        <v>13</v>
      </c>
      <c r="D172" s="147">
        <v>156</v>
      </c>
      <c r="E172" s="144">
        <f t="shared" si="14"/>
        <v>1968039.5668584027</v>
      </c>
      <c r="F172" s="144">
        <f t="shared" si="13"/>
        <v>17277.531218581313</v>
      </c>
      <c r="G172" s="144">
        <f t="shared" si="12"/>
        <v>9840.1978342920138</v>
      </c>
      <c r="H172" s="144">
        <f t="shared" si="10"/>
        <v>7437.3333842892989</v>
      </c>
      <c r="I172" s="145">
        <f t="shared" si="11"/>
        <v>1960602.2334741133</v>
      </c>
    </row>
    <row r="173" spans="3:9">
      <c r="C173" s="40"/>
      <c r="D173" s="58">
        <v>157</v>
      </c>
      <c r="E173" s="144">
        <f t="shared" si="14"/>
        <v>1960602.2334741133</v>
      </c>
      <c r="F173" s="144">
        <f t="shared" si="13"/>
        <v>17277.531218581313</v>
      </c>
      <c r="G173" s="144">
        <f t="shared" si="12"/>
        <v>9803.0111673705669</v>
      </c>
      <c r="H173" s="144">
        <f t="shared" si="10"/>
        <v>7474.5200512107458</v>
      </c>
      <c r="I173" s="145">
        <f t="shared" si="11"/>
        <v>1953127.7134229026</v>
      </c>
    </row>
    <row r="174" spans="3:9">
      <c r="C174" s="40"/>
      <c r="D174" s="58">
        <v>158</v>
      </c>
      <c r="E174" s="144">
        <f t="shared" si="14"/>
        <v>1953127.7134229026</v>
      </c>
      <c r="F174" s="144">
        <f t="shared" si="13"/>
        <v>17277.531218581313</v>
      </c>
      <c r="G174" s="144">
        <f t="shared" si="12"/>
        <v>9765.6385671145126</v>
      </c>
      <c r="H174" s="144">
        <f t="shared" si="10"/>
        <v>7511.8926514668001</v>
      </c>
      <c r="I174" s="145">
        <f t="shared" si="11"/>
        <v>1945615.8207714357</v>
      </c>
    </row>
    <row r="175" spans="3:9">
      <c r="C175" s="40"/>
      <c r="D175" s="58">
        <v>159</v>
      </c>
      <c r="E175" s="144">
        <f t="shared" si="14"/>
        <v>1945615.8207714357</v>
      </c>
      <c r="F175" s="144">
        <f t="shared" si="13"/>
        <v>17277.531218581313</v>
      </c>
      <c r="G175" s="144">
        <f t="shared" si="12"/>
        <v>9728.0791038571788</v>
      </c>
      <c r="H175" s="144">
        <f t="shared" si="10"/>
        <v>7549.4521147241339</v>
      </c>
      <c r="I175" s="145">
        <f t="shared" si="11"/>
        <v>1938066.3686567117</v>
      </c>
    </row>
    <row r="176" spans="3:9">
      <c r="C176" s="40"/>
      <c r="D176" s="58">
        <v>160</v>
      </c>
      <c r="E176" s="144">
        <f t="shared" si="14"/>
        <v>1938066.3686567117</v>
      </c>
      <c r="F176" s="144">
        <f t="shared" si="13"/>
        <v>17277.531218581313</v>
      </c>
      <c r="G176" s="144">
        <f t="shared" si="12"/>
        <v>9690.3318432835586</v>
      </c>
      <c r="H176" s="144">
        <f t="shared" si="10"/>
        <v>7587.1993752977542</v>
      </c>
      <c r="I176" s="145">
        <f t="shared" si="11"/>
        <v>1930479.169281414</v>
      </c>
    </row>
    <row r="177" spans="3:9">
      <c r="C177" s="40"/>
      <c r="D177" s="58">
        <v>161</v>
      </c>
      <c r="E177" s="144">
        <f t="shared" si="14"/>
        <v>1930479.169281414</v>
      </c>
      <c r="F177" s="144">
        <f t="shared" si="13"/>
        <v>17277.531218581313</v>
      </c>
      <c r="G177" s="144">
        <f t="shared" si="12"/>
        <v>9652.3958464070711</v>
      </c>
      <c r="H177" s="144">
        <f t="shared" si="10"/>
        <v>7625.1353721742416</v>
      </c>
      <c r="I177" s="145">
        <f t="shared" si="11"/>
        <v>1922854.0339092398</v>
      </c>
    </row>
    <row r="178" spans="3:9">
      <c r="C178" s="40"/>
      <c r="D178" s="58">
        <v>162</v>
      </c>
      <c r="E178" s="144">
        <f t="shared" si="14"/>
        <v>1922854.0339092398</v>
      </c>
      <c r="F178" s="144">
        <f t="shared" si="13"/>
        <v>17277.531218581313</v>
      </c>
      <c r="G178" s="144">
        <f t="shared" si="12"/>
        <v>9614.2701695462001</v>
      </c>
      <c r="H178" s="144">
        <f t="shared" si="10"/>
        <v>7663.2610490351126</v>
      </c>
      <c r="I178" s="145">
        <f t="shared" si="11"/>
        <v>1915190.7728602048</v>
      </c>
    </row>
    <row r="179" spans="3:9">
      <c r="C179" s="40"/>
      <c r="D179" s="58">
        <v>163</v>
      </c>
      <c r="E179" s="144">
        <f t="shared" si="14"/>
        <v>1915190.7728602048</v>
      </c>
      <c r="F179" s="144">
        <f t="shared" si="13"/>
        <v>17277.531218581313</v>
      </c>
      <c r="G179" s="144">
        <f t="shared" si="12"/>
        <v>9575.9538643010237</v>
      </c>
      <c r="H179" s="144">
        <f t="shared" si="10"/>
        <v>7701.577354280289</v>
      </c>
      <c r="I179" s="145">
        <f t="shared" si="11"/>
        <v>1907489.1955059245</v>
      </c>
    </row>
    <row r="180" spans="3:9">
      <c r="C180" s="40"/>
      <c r="D180" s="58">
        <v>164</v>
      </c>
      <c r="E180" s="144">
        <f t="shared" si="14"/>
        <v>1907489.1955059245</v>
      </c>
      <c r="F180" s="144">
        <f t="shared" si="13"/>
        <v>17277.531218581313</v>
      </c>
      <c r="G180" s="144">
        <f t="shared" si="12"/>
        <v>9537.4459775296236</v>
      </c>
      <c r="H180" s="144">
        <f t="shared" si="10"/>
        <v>7740.0852410516891</v>
      </c>
      <c r="I180" s="145">
        <f t="shared" si="11"/>
        <v>1899749.1102648729</v>
      </c>
    </row>
    <row r="181" spans="3:9">
      <c r="C181" s="40"/>
      <c r="D181" s="58">
        <v>165</v>
      </c>
      <c r="E181" s="144">
        <f t="shared" si="14"/>
        <v>1899749.1102648729</v>
      </c>
      <c r="F181" s="144">
        <f t="shared" si="13"/>
        <v>17277.531218581313</v>
      </c>
      <c r="G181" s="144">
        <f t="shared" si="12"/>
        <v>9498.745551324364</v>
      </c>
      <c r="H181" s="144">
        <f t="shared" si="10"/>
        <v>7778.7856672569487</v>
      </c>
      <c r="I181" s="145">
        <f t="shared" si="11"/>
        <v>1891970.324597616</v>
      </c>
    </row>
    <row r="182" spans="3:9">
      <c r="C182" s="40"/>
      <c r="D182" s="58">
        <v>166</v>
      </c>
      <c r="E182" s="144">
        <f t="shared" si="14"/>
        <v>1891970.324597616</v>
      </c>
      <c r="F182" s="144">
        <f t="shared" si="13"/>
        <v>17277.531218581313</v>
      </c>
      <c r="G182" s="144">
        <f t="shared" si="12"/>
        <v>9459.8516229880806</v>
      </c>
      <c r="H182" s="144">
        <f t="shared" si="10"/>
        <v>7817.6795955932321</v>
      </c>
      <c r="I182" s="145">
        <f t="shared" si="11"/>
        <v>1884152.6450020229</v>
      </c>
    </row>
    <row r="183" spans="3:9">
      <c r="C183" s="40"/>
      <c r="D183" s="58">
        <v>167</v>
      </c>
      <c r="E183" s="144">
        <f t="shared" si="14"/>
        <v>1884152.6450020229</v>
      </c>
      <c r="F183" s="144">
        <f t="shared" si="13"/>
        <v>17277.531218581313</v>
      </c>
      <c r="G183" s="144">
        <f t="shared" si="12"/>
        <v>9420.7632250101142</v>
      </c>
      <c r="H183" s="144">
        <f t="shared" si="10"/>
        <v>7856.7679935711985</v>
      </c>
      <c r="I183" s="145">
        <f t="shared" si="11"/>
        <v>1876295.8770084516</v>
      </c>
    </row>
    <row r="184" spans="3:9">
      <c r="C184" s="46">
        <v>14</v>
      </c>
      <c r="D184" s="147">
        <v>168</v>
      </c>
      <c r="E184" s="144">
        <f t="shared" si="14"/>
        <v>1876295.8770084516</v>
      </c>
      <c r="F184" s="144">
        <f t="shared" si="13"/>
        <v>17277.531218581313</v>
      </c>
      <c r="G184" s="144">
        <f t="shared" si="12"/>
        <v>9381.4793850422575</v>
      </c>
      <c r="H184" s="144">
        <f t="shared" si="10"/>
        <v>7896.0518335390552</v>
      </c>
      <c r="I184" s="145">
        <f t="shared" si="11"/>
        <v>1868399.8251749126</v>
      </c>
    </row>
    <row r="185" spans="3:9">
      <c r="C185" s="40"/>
      <c r="D185" s="58">
        <v>169</v>
      </c>
      <c r="E185" s="144">
        <f t="shared" si="14"/>
        <v>1868399.8251749126</v>
      </c>
      <c r="F185" s="144">
        <f t="shared" si="13"/>
        <v>17277.531218581313</v>
      </c>
      <c r="G185" s="144">
        <f t="shared" si="12"/>
        <v>9341.9991258745631</v>
      </c>
      <c r="H185" s="144">
        <f t="shared" si="10"/>
        <v>7935.5320927067496</v>
      </c>
      <c r="I185" s="145">
        <f t="shared" si="11"/>
        <v>1860464.2930822058</v>
      </c>
    </row>
    <row r="186" spans="3:9">
      <c r="C186" s="40"/>
      <c r="D186" s="58">
        <v>170</v>
      </c>
      <c r="E186" s="144">
        <f t="shared" si="14"/>
        <v>1860464.2930822058</v>
      </c>
      <c r="F186" s="144">
        <f t="shared" si="13"/>
        <v>17277.531218581313</v>
      </c>
      <c r="G186" s="144">
        <f t="shared" si="12"/>
        <v>9302.3214654110288</v>
      </c>
      <c r="H186" s="144">
        <f t="shared" si="10"/>
        <v>7975.2097531702839</v>
      </c>
      <c r="I186" s="145">
        <f t="shared" si="11"/>
        <v>1852489.0833290354</v>
      </c>
    </row>
    <row r="187" spans="3:9">
      <c r="C187" s="40"/>
      <c r="D187" s="58">
        <v>171</v>
      </c>
      <c r="E187" s="144">
        <f t="shared" si="14"/>
        <v>1852489.0833290354</v>
      </c>
      <c r="F187" s="144">
        <f t="shared" si="13"/>
        <v>17277.531218581313</v>
      </c>
      <c r="G187" s="144">
        <f t="shared" si="12"/>
        <v>9262.4454166451778</v>
      </c>
      <c r="H187" s="144">
        <f t="shared" si="10"/>
        <v>8015.0858019361349</v>
      </c>
      <c r="I187" s="145">
        <f t="shared" si="11"/>
        <v>1844473.9975270992</v>
      </c>
    </row>
    <row r="188" spans="3:9">
      <c r="C188" s="40"/>
      <c r="D188" s="58">
        <v>172</v>
      </c>
      <c r="E188" s="144">
        <f t="shared" si="14"/>
        <v>1844473.9975270992</v>
      </c>
      <c r="F188" s="144">
        <f t="shared" si="13"/>
        <v>17277.531218581313</v>
      </c>
      <c r="G188" s="144">
        <f t="shared" si="12"/>
        <v>9222.3699876354967</v>
      </c>
      <c r="H188" s="144">
        <f t="shared" si="10"/>
        <v>8055.161230945816</v>
      </c>
      <c r="I188" s="145">
        <f t="shared" si="11"/>
        <v>1836418.8362961535</v>
      </c>
    </row>
    <row r="189" spans="3:9">
      <c r="C189" s="40"/>
      <c r="D189" s="58">
        <v>173</v>
      </c>
      <c r="E189" s="144">
        <f t="shared" si="14"/>
        <v>1836418.8362961535</v>
      </c>
      <c r="F189" s="144">
        <f t="shared" si="13"/>
        <v>17277.531218581313</v>
      </c>
      <c r="G189" s="144">
        <f t="shared" si="12"/>
        <v>9182.0941814807684</v>
      </c>
      <c r="H189" s="144">
        <f t="shared" si="10"/>
        <v>8095.4370371005443</v>
      </c>
      <c r="I189" s="145">
        <f t="shared" si="11"/>
        <v>1828323.3992590529</v>
      </c>
    </row>
    <row r="190" spans="3:9">
      <c r="C190" s="40"/>
      <c r="D190" s="58">
        <v>174</v>
      </c>
      <c r="E190" s="144">
        <f t="shared" si="14"/>
        <v>1828323.3992590529</v>
      </c>
      <c r="F190" s="144">
        <f t="shared" si="13"/>
        <v>17277.531218581313</v>
      </c>
      <c r="G190" s="144">
        <f t="shared" si="12"/>
        <v>9141.6169962952645</v>
      </c>
      <c r="H190" s="144">
        <f t="shared" si="10"/>
        <v>8135.9142222860482</v>
      </c>
      <c r="I190" s="145">
        <f t="shared" si="11"/>
        <v>1820187.4850367669</v>
      </c>
    </row>
    <row r="191" spans="3:9">
      <c r="C191" s="40"/>
      <c r="D191" s="58">
        <v>175</v>
      </c>
      <c r="E191" s="144">
        <f t="shared" si="14"/>
        <v>1820187.4850367669</v>
      </c>
      <c r="F191" s="144">
        <f t="shared" si="13"/>
        <v>17277.531218581313</v>
      </c>
      <c r="G191" s="144">
        <f t="shared" si="12"/>
        <v>9100.9374251838344</v>
      </c>
      <c r="H191" s="144">
        <f t="shared" si="10"/>
        <v>8176.5937933974783</v>
      </c>
      <c r="I191" s="145">
        <f t="shared" si="11"/>
        <v>1812010.8912433693</v>
      </c>
    </row>
    <row r="192" spans="3:9">
      <c r="C192" s="40"/>
      <c r="D192" s="58">
        <v>176</v>
      </c>
      <c r="E192" s="144">
        <f t="shared" si="14"/>
        <v>1812010.8912433693</v>
      </c>
      <c r="F192" s="144">
        <f t="shared" si="13"/>
        <v>17277.531218581313</v>
      </c>
      <c r="G192" s="144">
        <f t="shared" si="12"/>
        <v>9060.054456216847</v>
      </c>
      <c r="H192" s="144">
        <f t="shared" si="10"/>
        <v>8217.4767623644657</v>
      </c>
      <c r="I192" s="145">
        <f t="shared" si="11"/>
        <v>1803793.4144810049</v>
      </c>
    </row>
    <row r="193" spans="3:9">
      <c r="C193" s="40"/>
      <c r="D193" s="58">
        <v>177</v>
      </c>
      <c r="E193" s="144">
        <f t="shared" si="14"/>
        <v>1803793.4144810049</v>
      </c>
      <c r="F193" s="144">
        <f t="shared" si="13"/>
        <v>17277.531218581313</v>
      </c>
      <c r="G193" s="144">
        <f t="shared" si="12"/>
        <v>9018.9670724050247</v>
      </c>
      <c r="H193" s="144">
        <f t="shared" si="10"/>
        <v>8258.564146176288</v>
      </c>
      <c r="I193" s="145">
        <f t="shared" si="11"/>
        <v>1795534.8503348287</v>
      </c>
    </row>
    <row r="194" spans="3:9">
      <c r="C194" s="40"/>
      <c r="D194" s="58">
        <v>178</v>
      </c>
      <c r="E194" s="144">
        <f t="shared" si="14"/>
        <v>1795534.8503348287</v>
      </c>
      <c r="F194" s="144">
        <f t="shared" si="13"/>
        <v>17277.531218581313</v>
      </c>
      <c r="G194" s="144">
        <f t="shared" si="12"/>
        <v>8977.6742516741433</v>
      </c>
      <c r="H194" s="144">
        <f t="shared" si="10"/>
        <v>8299.8569669071694</v>
      </c>
      <c r="I194" s="145">
        <f t="shared" si="11"/>
        <v>1787234.9933679216</v>
      </c>
    </row>
    <row r="195" spans="3:9">
      <c r="C195" s="40"/>
      <c r="D195" s="58">
        <v>179</v>
      </c>
      <c r="E195" s="144">
        <f t="shared" si="14"/>
        <v>1787234.9933679216</v>
      </c>
      <c r="F195" s="144">
        <f t="shared" si="13"/>
        <v>17277.531218581313</v>
      </c>
      <c r="G195" s="144">
        <f t="shared" si="12"/>
        <v>8936.1749668396078</v>
      </c>
      <c r="H195" s="144">
        <f t="shared" si="10"/>
        <v>8341.3562517417049</v>
      </c>
      <c r="I195" s="145">
        <f t="shared" si="11"/>
        <v>1778893.6371161798</v>
      </c>
    </row>
    <row r="196" spans="3:9">
      <c r="C196" s="46">
        <v>15</v>
      </c>
      <c r="D196" s="147">
        <v>180</v>
      </c>
      <c r="E196" s="144">
        <f t="shared" si="14"/>
        <v>1778893.6371161798</v>
      </c>
      <c r="F196" s="144">
        <f t="shared" si="13"/>
        <v>17277.531218581313</v>
      </c>
      <c r="G196" s="144">
        <f t="shared" si="12"/>
        <v>8894.4681855808994</v>
      </c>
      <c r="H196" s="144">
        <f t="shared" si="10"/>
        <v>8383.0630330004133</v>
      </c>
      <c r="I196" s="145">
        <f t="shared" si="11"/>
        <v>1770510.5740831795</v>
      </c>
    </row>
    <row r="197" spans="3:9">
      <c r="C197" s="40"/>
      <c r="D197" s="58">
        <v>181</v>
      </c>
      <c r="E197" s="144">
        <f t="shared" si="14"/>
        <v>1770510.5740831795</v>
      </c>
      <c r="F197" s="144">
        <f t="shared" si="13"/>
        <v>17277.531218581313</v>
      </c>
      <c r="G197" s="144">
        <f t="shared" si="12"/>
        <v>8852.5528704158969</v>
      </c>
      <c r="H197" s="144">
        <f t="shared" si="10"/>
        <v>8424.9783481654158</v>
      </c>
      <c r="I197" s="145">
        <f t="shared" si="11"/>
        <v>1762085.595735014</v>
      </c>
    </row>
    <row r="198" spans="3:9">
      <c r="C198" s="40"/>
      <c r="D198" s="58">
        <v>182</v>
      </c>
      <c r="E198" s="144">
        <f t="shared" si="14"/>
        <v>1762085.595735014</v>
      </c>
      <c r="F198" s="144">
        <f t="shared" si="13"/>
        <v>17277.531218581313</v>
      </c>
      <c r="G198" s="144">
        <f t="shared" si="12"/>
        <v>8810.4279786750703</v>
      </c>
      <c r="H198" s="144">
        <f t="shared" si="10"/>
        <v>8467.1032399062424</v>
      </c>
      <c r="I198" s="145">
        <f t="shared" si="11"/>
        <v>1753618.4924951077</v>
      </c>
    </row>
    <row r="199" spans="3:9">
      <c r="C199" s="40"/>
      <c r="D199" s="58">
        <v>183</v>
      </c>
      <c r="E199" s="144">
        <f t="shared" si="14"/>
        <v>1753618.4924951077</v>
      </c>
      <c r="F199" s="144">
        <f t="shared" si="13"/>
        <v>17277.531218581313</v>
      </c>
      <c r="G199" s="144">
        <f t="shared" si="12"/>
        <v>8768.0924624755389</v>
      </c>
      <c r="H199" s="144">
        <f t="shared" si="10"/>
        <v>8509.4387561057738</v>
      </c>
      <c r="I199" s="145">
        <f t="shared" si="11"/>
        <v>1745109.053739002</v>
      </c>
    </row>
    <row r="200" spans="3:9">
      <c r="C200" s="40"/>
      <c r="D200" s="58">
        <v>184</v>
      </c>
      <c r="E200" s="144">
        <f t="shared" si="14"/>
        <v>1745109.053739002</v>
      </c>
      <c r="F200" s="144">
        <f t="shared" si="13"/>
        <v>17277.531218581313</v>
      </c>
      <c r="G200" s="144">
        <f t="shared" si="12"/>
        <v>8725.5452686950102</v>
      </c>
      <c r="H200" s="144">
        <f t="shared" si="10"/>
        <v>8551.9859498863025</v>
      </c>
      <c r="I200" s="145">
        <f t="shared" si="11"/>
        <v>1736557.0677891157</v>
      </c>
    </row>
    <row r="201" spans="3:9">
      <c r="C201" s="40"/>
      <c r="D201" s="58">
        <v>185</v>
      </c>
      <c r="E201" s="144">
        <f t="shared" si="14"/>
        <v>1736557.0677891157</v>
      </c>
      <c r="F201" s="144">
        <f t="shared" si="13"/>
        <v>17277.531218581313</v>
      </c>
      <c r="G201" s="144">
        <f t="shared" si="12"/>
        <v>8682.7853389455795</v>
      </c>
      <c r="H201" s="144">
        <f t="shared" si="10"/>
        <v>8594.7458796357332</v>
      </c>
      <c r="I201" s="145">
        <f t="shared" si="11"/>
        <v>1727962.32190948</v>
      </c>
    </row>
    <row r="202" spans="3:9">
      <c r="C202" s="40"/>
      <c r="D202" s="58">
        <v>186</v>
      </c>
      <c r="E202" s="144">
        <f t="shared" si="14"/>
        <v>1727962.32190948</v>
      </c>
      <c r="F202" s="144">
        <f t="shared" si="13"/>
        <v>17277.531218581313</v>
      </c>
      <c r="G202" s="144">
        <f t="shared" si="12"/>
        <v>8639.8116095473997</v>
      </c>
      <c r="H202" s="144">
        <f t="shared" si="10"/>
        <v>8637.719609033913</v>
      </c>
      <c r="I202" s="145">
        <f t="shared" si="11"/>
        <v>1719324.602300446</v>
      </c>
    </row>
    <row r="203" spans="3:9">
      <c r="C203" s="40"/>
      <c r="D203" s="58">
        <v>187</v>
      </c>
      <c r="E203" s="144">
        <f t="shared" si="14"/>
        <v>1719324.602300446</v>
      </c>
      <c r="F203" s="144">
        <f t="shared" si="13"/>
        <v>17277.531218581313</v>
      </c>
      <c r="G203" s="144">
        <f t="shared" si="12"/>
        <v>8596.6230115022299</v>
      </c>
      <c r="H203" s="144">
        <f t="shared" si="10"/>
        <v>8680.9082070790828</v>
      </c>
      <c r="I203" s="145">
        <f t="shared" si="11"/>
        <v>1710643.6940933669</v>
      </c>
    </row>
    <row r="204" spans="3:9">
      <c r="C204" s="40"/>
      <c r="D204" s="58">
        <v>188</v>
      </c>
      <c r="E204" s="144">
        <f t="shared" si="14"/>
        <v>1710643.6940933669</v>
      </c>
      <c r="F204" s="144">
        <f t="shared" si="13"/>
        <v>17277.531218581313</v>
      </c>
      <c r="G204" s="144">
        <f t="shared" si="12"/>
        <v>8553.2184704668343</v>
      </c>
      <c r="H204" s="144">
        <f t="shared" si="10"/>
        <v>8724.3127481144784</v>
      </c>
      <c r="I204" s="145">
        <f t="shared" si="11"/>
        <v>1701919.3813452523</v>
      </c>
    </row>
    <row r="205" spans="3:9">
      <c r="C205" s="40"/>
      <c r="D205" s="58">
        <v>189</v>
      </c>
      <c r="E205" s="144">
        <f t="shared" si="14"/>
        <v>1701919.3813452523</v>
      </c>
      <c r="F205" s="144">
        <f t="shared" si="13"/>
        <v>17277.531218581313</v>
      </c>
      <c r="G205" s="144">
        <f t="shared" si="12"/>
        <v>8509.5969067262613</v>
      </c>
      <c r="H205" s="144">
        <f t="shared" si="10"/>
        <v>8767.9343118550514</v>
      </c>
      <c r="I205" s="145">
        <f t="shared" si="11"/>
        <v>1693151.4470333972</v>
      </c>
    </row>
    <row r="206" spans="3:9">
      <c r="C206" s="40"/>
      <c r="D206" s="58">
        <v>190</v>
      </c>
      <c r="E206" s="144">
        <f t="shared" si="14"/>
        <v>1693151.4470333972</v>
      </c>
      <c r="F206" s="144">
        <f t="shared" si="13"/>
        <v>17277.531218581313</v>
      </c>
      <c r="G206" s="144">
        <f t="shared" si="12"/>
        <v>8465.757235166986</v>
      </c>
      <c r="H206" s="144">
        <f t="shared" si="10"/>
        <v>8811.7739834143267</v>
      </c>
      <c r="I206" s="145">
        <f t="shared" si="11"/>
        <v>1684339.6730499829</v>
      </c>
    </row>
    <row r="207" spans="3:9">
      <c r="C207" s="40"/>
      <c r="D207" s="58">
        <v>191</v>
      </c>
      <c r="E207" s="144">
        <f t="shared" si="14"/>
        <v>1684339.6730499829</v>
      </c>
      <c r="F207" s="144">
        <f t="shared" si="13"/>
        <v>17277.531218581313</v>
      </c>
      <c r="G207" s="144">
        <f t="shared" si="12"/>
        <v>8421.6983652499148</v>
      </c>
      <c r="H207" s="144">
        <f t="shared" si="10"/>
        <v>8855.8328533313979</v>
      </c>
      <c r="I207" s="145">
        <f t="shared" si="11"/>
        <v>1675483.8401966514</v>
      </c>
    </row>
    <row r="208" spans="3:9">
      <c r="C208" s="46">
        <v>16</v>
      </c>
      <c r="D208" s="147">
        <v>192</v>
      </c>
      <c r="E208" s="144">
        <f t="shared" si="14"/>
        <v>1675483.8401966514</v>
      </c>
      <c r="F208" s="144">
        <f t="shared" si="13"/>
        <v>17277.531218581313</v>
      </c>
      <c r="G208" s="144">
        <f t="shared" si="12"/>
        <v>8377.4192009832568</v>
      </c>
      <c r="H208" s="144">
        <f t="shared" si="10"/>
        <v>8900.1120175980559</v>
      </c>
      <c r="I208" s="145">
        <f t="shared" si="11"/>
        <v>1666583.7281790534</v>
      </c>
    </row>
    <row r="209" spans="3:9">
      <c r="C209" s="40"/>
      <c r="D209" s="58">
        <v>193</v>
      </c>
      <c r="E209" s="144">
        <f t="shared" si="14"/>
        <v>1666583.7281790534</v>
      </c>
      <c r="F209" s="144">
        <f t="shared" si="13"/>
        <v>17277.531218581313</v>
      </c>
      <c r="G209" s="144">
        <f t="shared" si="12"/>
        <v>8332.9186408952664</v>
      </c>
      <c r="H209" s="144">
        <f t="shared" ref="H209:H272" si="15">F209-G209</f>
        <v>8944.6125776860463</v>
      </c>
      <c r="I209" s="145">
        <f t="shared" ref="I209:I272" si="16">E209-H209</f>
        <v>1657639.1156013673</v>
      </c>
    </row>
    <row r="210" spans="3:9">
      <c r="C210" s="40"/>
      <c r="D210" s="58">
        <v>194</v>
      </c>
      <c r="E210" s="144">
        <f t="shared" si="14"/>
        <v>1657639.1156013673</v>
      </c>
      <c r="F210" s="144">
        <f t="shared" si="13"/>
        <v>17277.531218581313</v>
      </c>
      <c r="G210" s="144">
        <f t="shared" ref="G210:G273" si="17">IF(D210&gt;$D$10,0,($D$6/12)*I209)</f>
        <v>8288.1955780068365</v>
      </c>
      <c r="H210" s="144">
        <f t="shared" si="15"/>
        <v>8989.3356405744762</v>
      </c>
      <c r="I210" s="145">
        <f t="shared" si="16"/>
        <v>1648649.7799607927</v>
      </c>
    </row>
    <row r="211" spans="3:9">
      <c r="C211" s="40"/>
      <c r="D211" s="58">
        <v>195</v>
      </c>
      <c r="E211" s="144">
        <f t="shared" si="14"/>
        <v>1648649.7799607927</v>
      </c>
      <c r="F211" s="144">
        <f t="shared" si="13"/>
        <v>17277.531218581313</v>
      </c>
      <c r="G211" s="144">
        <f t="shared" si="17"/>
        <v>8243.2488998039644</v>
      </c>
      <c r="H211" s="144">
        <f t="shared" si="15"/>
        <v>9034.2823187773483</v>
      </c>
      <c r="I211" s="145">
        <f t="shared" si="16"/>
        <v>1639615.4976420153</v>
      </c>
    </row>
    <row r="212" spans="3:9">
      <c r="C212" s="40"/>
      <c r="D212" s="58">
        <v>196</v>
      </c>
      <c r="E212" s="144">
        <f t="shared" si="14"/>
        <v>1639615.4976420153</v>
      </c>
      <c r="F212" s="144">
        <f t="shared" si="13"/>
        <v>17277.531218581313</v>
      </c>
      <c r="G212" s="144">
        <f t="shared" si="17"/>
        <v>8198.0774882100777</v>
      </c>
      <c r="H212" s="144">
        <f t="shared" si="15"/>
        <v>9079.453730371235</v>
      </c>
      <c r="I212" s="145">
        <f t="shared" si="16"/>
        <v>1630536.043911644</v>
      </c>
    </row>
    <row r="213" spans="3:9">
      <c r="C213" s="40"/>
      <c r="D213" s="58">
        <v>197</v>
      </c>
      <c r="E213" s="144">
        <f t="shared" si="14"/>
        <v>1630536.043911644</v>
      </c>
      <c r="F213" s="144">
        <f t="shared" ref="F213:F276" si="18">IF(D213&gt;$D$10,0,IF(D213&lt;=$D$8,G213,-PMT($D$6/12,$D$9,$D$5,0,0)))</f>
        <v>17277.531218581313</v>
      </c>
      <c r="G213" s="144">
        <f t="shared" si="17"/>
        <v>8152.6802195582204</v>
      </c>
      <c r="H213" s="144">
        <f t="shared" si="15"/>
        <v>9124.8509990230923</v>
      </c>
      <c r="I213" s="145">
        <f t="shared" si="16"/>
        <v>1621411.192912621</v>
      </c>
    </row>
    <row r="214" spans="3:9">
      <c r="C214" s="40"/>
      <c r="D214" s="58">
        <v>198</v>
      </c>
      <c r="E214" s="144">
        <f t="shared" ref="E214:E277" si="19">IF(D214&gt;$D$10,0,I213)</f>
        <v>1621411.192912621</v>
      </c>
      <c r="F214" s="144">
        <f t="shared" si="18"/>
        <v>17277.531218581313</v>
      </c>
      <c r="G214" s="144">
        <f t="shared" si="17"/>
        <v>8107.0559645631047</v>
      </c>
      <c r="H214" s="144">
        <f t="shared" si="15"/>
        <v>9170.4752540182089</v>
      </c>
      <c r="I214" s="145">
        <f t="shared" si="16"/>
        <v>1612240.7176586026</v>
      </c>
    </row>
    <row r="215" spans="3:9">
      <c r="C215" s="40"/>
      <c r="D215" s="58">
        <v>199</v>
      </c>
      <c r="E215" s="144">
        <f t="shared" si="19"/>
        <v>1612240.7176586026</v>
      </c>
      <c r="F215" s="144">
        <f t="shared" si="18"/>
        <v>17277.531218581313</v>
      </c>
      <c r="G215" s="144">
        <f t="shared" si="17"/>
        <v>8061.2035882930131</v>
      </c>
      <c r="H215" s="144">
        <f t="shared" si="15"/>
        <v>9216.3276302882987</v>
      </c>
      <c r="I215" s="145">
        <f t="shared" si="16"/>
        <v>1603024.3900283144</v>
      </c>
    </row>
    <row r="216" spans="3:9">
      <c r="C216" s="40"/>
      <c r="D216" s="58">
        <v>200</v>
      </c>
      <c r="E216" s="144">
        <f t="shared" si="19"/>
        <v>1603024.3900283144</v>
      </c>
      <c r="F216" s="144">
        <f t="shared" si="18"/>
        <v>17277.531218581313</v>
      </c>
      <c r="G216" s="144">
        <f t="shared" si="17"/>
        <v>8015.1219501415726</v>
      </c>
      <c r="H216" s="144">
        <f t="shared" si="15"/>
        <v>9262.4092684397401</v>
      </c>
      <c r="I216" s="145">
        <f t="shared" si="16"/>
        <v>1593761.9807598747</v>
      </c>
    </row>
    <row r="217" spans="3:9">
      <c r="C217" s="40"/>
      <c r="D217" s="58">
        <v>201</v>
      </c>
      <c r="E217" s="144">
        <f t="shared" si="19"/>
        <v>1593761.9807598747</v>
      </c>
      <c r="F217" s="144">
        <f t="shared" si="18"/>
        <v>17277.531218581313</v>
      </c>
      <c r="G217" s="144">
        <f t="shared" si="17"/>
        <v>7968.8099037993734</v>
      </c>
      <c r="H217" s="144">
        <f t="shared" si="15"/>
        <v>9308.7213147819384</v>
      </c>
      <c r="I217" s="145">
        <f t="shared" si="16"/>
        <v>1584453.2594450926</v>
      </c>
    </row>
    <row r="218" spans="3:9">
      <c r="C218" s="40"/>
      <c r="D218" s="58">
        <v>202</v>
      </c>
      <c r="E218" s="144">
        <f t="shared" si="19"/>
        <v>1584453.2594450926</v>
      </c>
      <c r="F218" s="144">
        <f t="shared" si="18"/>
        <v>17277.531218581313</v>
      </c>
      <c r="G218" s="144">
        <f t="shared" si="17"/>
        <v>7922.2662972254629</v>
      </c>
      <c r="H218" s="144">
        <f t="shared" si="15"/>
        <v>9355.2649213558507</v>
      </c>
      <c r="I218" s="145">
        <f t="shared" si="16"/>
        <v>1575097.9945237369</v>
      </c>
    </row>
    <row r="219" spans="3:9">
      <c r="C219" s="40"/>
      <c r="D219" s="58">
        <v>203</v>
      </c>
      <c r="E219" s="144">
        <f t="shared" si="19"/>
        <v>1575097.9945237369</v>
      </c>
      <c r="F219" s="144">
        <f t="shared" si="18"/>
        <v>17277.531218581313</v>
      </c>
      <c r="G219" s="144">
        <f t="shared" si="17"/>
        <v>7875.489972618685</v>
      </c>
      <c r="H219" s="144">
        <f t="shared" si="15"/>
        <v>9402.0412459626277</v>
      </c>
      <c r="I219" s="145">
        <f t="shared" si="16"/>
        <v>1565695.9532777742</v>
      </c>
    </row>
    <row r="220" spans="3:9">
      <c r="C220" s="46">
        <v>17</v>
      </c>
      <c r="D220" s="147">
        <v>204</v>
      </c>
      <c r="E220" s="144">
        <f t="shared" si="19"/>
        <v>1565695.9532777742</v>
      </c>
      <c r="F220" s="144">
        <f t="shared" si="18"/>
        <v>17277.531218581313</v>
      </c>
      <c r="G220" s="144">
        <f t="shared" si="17"/>
        <v>7828.4797663888712</v>
      </c>
      <c r="H220" s="144">
        <f t="shared" si="15"/>
        <v>9449.0514521924415</v>
      </c>
      <c r="I220" s="145">
        <f t="shared" si="16"/>
        <v>1556246.9018255817</v>
      </c>
    </row>
    <row r="221" spans="3:9">
      <c r="C221" s="40"/>
      <c r="D221" s="58">
        <v>205</v>
      </c>
      <c r="E221" s="144">
        <f t="shared" si="19"/>
        <v>1556246.9018255817</v>
      </c>
      <c r="F221" s="144">
        <f t="shared" si="18"/>
        <v>17277.531218581313</v>
      </c>
      <c r="G221" s="144">
        <f t="shared" si="17"/>
        <v>7781.2345091279085</v>
      </c>
      <c r="H221" s="144">
        <f t="shared" si="15"/>
        <v>9496.2967094534033</v>
      </c>
      <c r="I221" s="145">
        <f t="shared" si="16"/>
        <v>1546750.6051161282</v>
      </c>
    </row>
    <row r="222" spans="3:9">
      <c r="C222" s="40"/>
      <c r="D222" s="58">
        <v>206</v>
      </c>
      <c r="E222" s="144">
        <f t="shared" si="19"/>
        <v>1546750.6051161282</v>
      </c>
      <c r="F222" s="144">
        <f t="shared" si="18"/>
        <v>17277.531218581313</v>
      </c>
      <c r="G222" s="144">
        <f t="shared" si="17"/>
        <v>7733.7530255806414</v>
      </c>
      <c r="H222" s="144">
        <f t="shared" si="15"/>
        <v>9543.7781930006713</v>
      </c>
      <c r="I222" s="145">
        <f t="shared" si="16"/>
        <v>1537206.8269231275</v>
      </c>
    </row>
    <row r="223" spans="3:9">
      <c r="C223" s="40"/>
      <c r="D223" s="58">
        <v>207</v>
      </c>
      <c r="E223" s="144">
        <f t="shared" si="19"/>
        <v>1537206.8269231275</v>
      </c>
      <c r="F223" s="144">
        <f t="shared" si="18"/>
        <v>17277.531218581313</v>
      </c>
      <c r="G223" s="144">
        <f t="shared" si="17"/>
        <v>7686.0341346156374</v>
      </c>
      <c r="H223" s="144">
        <f t="shared" si="15"/>
        <v>9591.4970839656744</v>
      </c>
      <c r="I223" s="145">
        <f t="shared" si="16"/>
        <v>1527615.3298391618</v>
      </c>
    </row>
    <row r="224" spans="3:9">
      <c r="C224" s="40"/>
      <c r="D224" s="58">
        <v>208</v>
      </c>
      <c r="E224" s="144">
        <f t="shared" si="19"/>
        <v>1527615.3298391618</v>
      </c>
      <c r="F224" s="144">
        <f t="shared" si="18"/>
        <v>17277.531218581313</v>
      </c>
      <c r="G224" s="144">
        <f t="shared" si="17"/>
        <v>7638.0766491958093</v>
      </c>
      <c r="H224" s="144">
        <f t="shared" si="15"/>
        <v>9639.4545693855034</v>
      </c>
      <c r="I224" s="145">
        <f t="shared" si="16"/>
        <v>1517975.8752697762</v>
      </c>
    </row>
    <row r="225" spans="3:9">
      <c r="C225" s="40"/>
      <c r="D225" s="58">
        <v>209</v>
      </c>
      <c r="E225" s="144">
        <f t="shared" si="19"/>
        <v>1517975.8752697762</v>
      </c>
      <c r="F225" s="144">
        <f t="shared" si="18"/>
        <v>17277.531218581313</v>
      </c>
      <c r="G225" s="144">
        <f t="shared" si="17"/>
        <v>7589.8793763488811</v>
      </c>
      <c r="H225" s="144">
        <f t="shared" si="15"/>
        <v>9687.6518422324316</v>
      </c>
      <c r="I225" s="145">
        <f t="shared" si="16"/>
        <v>1508288.2234275439</v>
      </c>
    </row>
    <row r="226" spans="3:9">
      <c r="C226" s="40"/>
      <c r="D226" s="58">
        <v>210</v>
      </c>
      <c r="E226" s="144">
        <f t="shared" si="19"/>
        <v>1508288.2234275439</v>
      </c>
      <c r="F226" s="144">
        <f t="shared" si="18"/>
        <v>17277.531218581313</v>
      </c>
      <c r="G226" s="144">
        <f t="shared" si="17"/>
        <v>7541.4411171377196</v>
      </c>
      <c r="H226" s="144">
        <f t="shared" si="15"/>
        <v>9736.0901014435931</v>
      </c>
      <c r="I226" s="145">
        <f t="shared" si="16"/>
        <v>1498552.1333261002</v>
      </c>
    </row>
    <row r="227" spans="3:9">
      <c r="C227" s="40"/>
      <c r="D227" s="58">
        <v>211</v>
      </c>
      <c r="E227" s="144">
        <f t="shared" si="19"/>
        <v>1498552.1333261002</v>
      </c>
      <c r="F227" s="144">
        <f t="shared" si="18"/>
        <v>17277.531218581313</v>
      </c>
      <c r="G227" s="144">
        <f t="shared" si="17"/>
        <v>7492.760666630501</v>
      </c>
      <c r="H227" s="144">
        <f t="shared" si="15"/>
        <v>9784.7705519508127</v>
      </c>
      <c r="I227" s="145">
        <f t="shared" si="16"/>
        <v>1488767.3627741493</v>
      </c>
    </row>
    <row r="228" spans="3:9">
      <c r="C228" s="40"/>
      <c r="D228" s="58">
        <v>212</v>
      </c>
      <c r="E228" s="144">
        <f t="shared" si="19"/>
        <v>1488767.3627741493</v>
      </c>
      <c r="F228" s="144">
        <f t="shared" si="18"/>
        <v>17277.531218581313</v>
      </c>
      <c r="G228" s="144">
        <f t="shared" si="17"/>
        <v>7443.8368138707465</v>
      </c>
      <c r="H228" s="144">
        <f t="shared" si="15"/>
        <v>9833.6944047105662</v>
      </c>
      <c r="I228" s="145">
        <f t="shared" si="16"/>
        <v>1478933.6683694387</v>
      </c>
    </row>
    <row r="229" spans="3:9">
      <c r="C229" s="40"/>
      <c r="D229" s="58">
        <v>213</v>
      </c>
      <c r="E229" s="144">
        <f t="shared" si="19"/>
        <v>1478933.6683694387</v>
      </c>
      <c r="F229" s="144">
        <f t="shared" si="18"/>
        <v>17277.531218581313</v>
      </c>
      <c r="G229" s="144">
        <f t="shared" si="17"/>
        <v>7394.6683418471939</v>
      </c>
      <c r="H229" s="144">
        <f t="shared" si="15"/>
        <v>9882.8628767341179</v>
      </c>
      <c r="I229" s="145">
        <f t="shared" si="16"/>
        <v>1469050.8054927045</v>
      </c>
    </row>
    <row r="230" spans="3:9">
      <c r="C230" s="40"/>
      <c r="D230" s="58">
        <v>214</v>
      </c>
      <c r="E230" s="144">
        <f t="shared" si="19"/>
        <v>1469050.8054927045</v>
      </c>
      <c r="F230" s="144">
        <f t="shared" si="18"/>
        <v>17277.531218581313</v>
      </c>
      <c r="G230" s="144">
        <f t="shared" si="17"/>
        <v>7345.254027463523</v>
      </c>
      <c r="H230" s="144">
        <f t="shared" si="15"/>
        <v>9932.2771911177897</v>
      </c>
      <c r="I230" s="145">
        <f t="shared" si="16"/>
        <v>1459118.5283015866</v>
      </c>
    </row>
    <row r="231" spans="3:9">
      <c r="C231" s="40"/>
      <c r="D231" s="58">
        <v>215</v>
      </c>
      <c r="E231" s="144">
        <f t="shared" si="19"/>
        <v>1459118.5283015866</v>
      </c>
      <c r="F231" s="144">
        <f t="shared" si="18"/>
        <v>17277.531218581313</v>
      </c>
      <c r="G231" s="144">
        <f t="shared" si="17"/>
        <v>7295.592641507933</v>
      </c>
      <c r="H231" s="144">
        <f t="shared" si="15"/>
        <v>9981.9385770733788</v>
      </c>
      <c r="I231" s="145">
        <f t="shared" si="16"/>
        <v>1449136.5897245132</v>
      </c>
    </row>
    <row r="232" spans="3:9">
      <c r="C232" s="46">
        <v>18</v>
      </c>
      <c r="D232" s="147">
        <v>216</v>
      </c>
      <c r="E232" s="144">
        <f t="shared" si="19"/>
        <v>1449136.5897245132</v>
      </c>
      <c r="F232" s="144">
        <f t="shared" si="18"/>
        <v>17277.531218581313</v>
      </c>
      <c r="G232" s="144">
        <f t="shared" si="17"/>
        <v>7245.6829486225661</v>
      </c>
      <c r="H232" s="144">
        <f t="shared" si="15"/>
        <v>10031.848269958748</v>
      </c>
      <c r="I232" s="145">
        <f t="shared" si="16"/>
        <v>1439104.7414545545</v>
      </c>
    </row>
    <row r="233" spans="3:9">
      <c r="C233" s="40"/>
      <c r="D233" s="58">
        <v>217</v>
      </c>
      <c r="E233" s="144">
        <f t="shared" si="19"/>
        <v>1439104.7414545545</v>
      </c>
      <c r="F233" s="144">
        <f t="shared" si="18"/>
        <v>17277.531218581313</v>
      </c>
      <c r="G233" s="144">
        <f t="shared" si="17"/>
        <v>7195.5237072727723</v>
      </c>
      <c r="H233" s="144">
        <f t="shared" si="15"/>
        <v>10082.00751130854</v>
      </c>
      <c r="I233" s="145">
        <f t="shared" si="16"/>
        <v>1429022.7339432458</v>
      </c>
    </row>
    <row r="234" spans="3:9">
      <c r="C234" s="40"/>
      <c r="D234" s="58">
        <v>218</v>
      </c>
      <c r="E234" s="144">
        <f t="shared" si="19"/>
        <v>1429022.7339432458</v>
      </c>
      <c r="F234" s="144">
        <f t="shared" si="18"/>
        <v>17277.531218581313</v>
      </c>
      <c r="G234" s="144">
        <f t="shared" si="17"/>
        <v>7145.1136697162292</v>
      </c>
      <c r="H234" s="144">
        <f t="shared" si="15"/>
        <v>10132.417548865084</v>
      </c>
      <c r="I234" s="145">
        <f t="shared" si="16"/>
        <v>1418890.3163943808</v>
      </c>
    </row>
    <row r="235" spans="3:9">
      <c r="C235" s="40"/>
      <c r="D235" s="58">
        <v>219</v>
      </c>
      <c r="E235" s="144">
        <f t="shared" si="19"/>
        <v>1418890.3163943808</v>
      </c>
      <c r="F235" s="144">
        <f t="shared" si="18"/>
        <v>17277.531218581313</v>
      </c>
      <c r="G235" s="144">
        <f t="shared" si="17"/>
        <v>7094.4515819719036</v>
      </c>
      <c r="H235" s="144">
        <f t="shared" si="15"/>
        <v>10183.079636609409</v>
      </c>
      <c r="I235" s="145">
        <f t="shared" si="16"/>
        <v>1408707.2367577713</v>
      </c>
    </row>
    <row r="236" spans="3:9">
      <c r="C236" s="40"/>
      <c r="D236" s="58">
        <v>220</v>
      </c>
      <c r="E236" s="144">
        <f t="shared" si="19"/>
        <v>1408707.2367577713</v>
      </c>
      <c r="F236" s="144">
        <f t="shared" si="18"/>
        <v>17277.531218581313</v>
      </c>
      <c r="G236" s="144">
        <f t="shared" si="17"/>
        <v>7043.5361837888568</v>
      </c>
      <c r="H236" s="144">
        <f t="shared" si="15"/>
        <v>10233.995034792457</v>
      </c>
      <c r="I236" s="145">
        <f t="shared" si="16"/>
        <v>1398473.2417229789</v>
      </c>
    </row>
    <row r="237" spans="3:9">
      <c r="C237" s="40"/>
      <c r="D237" s="58">
        <v>221</v>
      </c>
      <c r="E237" s="144">
        <f t="shared" si="19"/>
        <v>1398473.2417229789</v>
      </c>
      <c r="F237" s="144">
        <f t="shared" si="18"/>
        <v>17277.531218581313</v>
      </c>
      <c r="G237" s="144">
        <f t="shared" si="17"/>
        <v>6992.3662086148943</v>
      </c>
      <c r="H237" s="144">
        <f t="shared" si="15"/>
        <v>10285.165009966418</v>
      </c>
      <c r="I237" s="145">
        <f t="shared" si="16"/>
        <v>1388188.0767130125</v>
      </c>
    </row>
    <row r="238" spans="3:9">
      <c r="C238" s="40"/>
      <c r="D238" s="58">
        <v>222</v>
      </c>
      <c r="E238" s="144">
        <f t="shared" si="19"/>
        <v>1388188.0767130125</v>
      </c>
      <c r="F238" s="144">
        <f t="shared" si="18"/>
        <v>17277.531218581313</v>
      </c>
      <c r="G238" s="144">
        <f t="shared" si="17"/>
        <v>6940.9403835650628</v>
      </c>
      <c r="H238" s="144">
        <f t="shared" si="15"/>
        <v>10336.59083501625</v>
      </c>
      <c r="I238" s="145">
        <f t="shared" si="16"/>
        <v>1377851.4858779963</v>
      </c>
    </row>
    <row r="239" spans="3:9">
      <c r="C239" s="40"/>
      <c r="D239" s="58">
        <v>223</v>
      </c>
      <c r="E239" s="144">
        <f t="shared" si="19"/>
        <v>1377851.4858779963</v>
      </c>
      <c r="F239" s="144">
        <f t="shared" si="18"/>
        <v>17277.531218581313</v>
      </c>
      <c r="G239" s="144">
        <f t="shared" si="17"/>
        <v>6889.2574293899816</v>
      </c>
      <c r="H239" s="144">
        <f t="shared" si="15"/>
        <v>10388.273789191331</v>
      </c>
      <c r="I239" s="145">
        <f t="shared" si="16"/>
        <v>1367463.2120888049</v>
      </c>
    </row>
    <row r="240" spans="3:9">
      <c r="C240" s="40"/>
      <c r="D240" s="58">
        <v>224</v>
      </c>
      <c r="E240" s="144">
        <f t="shared" si="19"/>
        <v>1367463.2120888049</v>
      </c>
      <c r="F240" s="144">
        <f t="shared" si="18"/>
        <v>17277.531218581313</v>
      </c>
      <c r="G240" s="144">
        <f t="shared" si="17"/>
        <v>6837.3160604440245</v>
      </c>
      <c r="H240" s="144">
        <f t="shared" si="15"/>
        <v>10440.215158137289</v>
      </c>
      <c r="I240" s="145">
        <f t="shared" si="16"/>
        <v>1357022.9969306677</v>
      </c>
    </row>
    <row r="241" spans="3:9">
      <c r="C241" s="40"/>
      <c r="D241" s="58">
        <v>225</v>
      </c>
      <c r="E241" s="144">
        <f t="shared" si="19"/>
        <v>1357022.9969306677</v>
      </c>
      <c r="F241" s="144">
        <f t="shared" si="18"/>
        <v>17277.531218581313</v>
      </c>
      <c r="G241" s="144">
        <f t="shared" si="17"/>
        <v>6785.1149846533381</v>
      </c>
      <c r="H241" s="144">
        <f t="shared" si="15"/>
        <v>10492.416233927976</v>
      </c>
      <c r="I241" s="145">
        <f t="shared" si="16"/>
        <v>1346530.5806967397</v>
      </c>
    </row>
    <row r="242" spans="3:9">
      <c r="C242" s="40"/>
      <c r="D242" s="58">
        <v>226</v>
      </c>
      <c r="E242" s="144">
        <f t="shared" si="19"/>
        <v>1346530.5806967397</v>
      </c>
      <c r="F242" s="144">
        <f t="shared" si="18"/>
        <v>17277.531218581313</v>
      </c>
      <c r="G242" s="144">
        <f t="shared" si="17"/>
        <v>6732.6529034836985</v>
      </c>
      <c r="H242" s="144">
        <f t="shared" si="15"/>
        <v>10544.878315097614</v>
      </c>
      <c r="I242" s="145">
        <f t="shared" si="16"/>
        <v>1335985.7023816421</v>
      </c>
    </row>
    <row r="243" spans="3:9">
      <c r="C243" s="40"/>
      <c r="D243" s="58">
        <v>227</v>
      </c>
      <c r="E243" s="144">
        <f t="shared" si="19"/>
        <v>1335985.7023816421</v>
      </c>
      <c r="F243" s="144">
        <f t="shared" si="18"/>
        <v>17277.531218581313</v>
      </c>
      <c r="G243" s="144">
        <f t="shared" si="17"/>
        <v>6679.9285119082106</v>
      </c>
      <c r="H243" s="144">
        <f t="shared" si="15"/>
        <v>10597.602706673102</v>
      </c>
      <c r="I243" s="145">
        <f t="shared" si="16"/>
        <v>1325388.099674969</v>
      </c>
    </row>
    <row r="244" spans="3:9">
      <c r="C244" s="46">
        <v>19</v>
      </c>
      <c r="D244" s="147">
        <v>228</v>
      </c>
      <c r="E244" s="144">
        <f t="shared" si="19"/>
        <v>1325388.099674969</v>
      </c>
      <c r="F244" s="144">
        <f t="shared" si="18"/>
        <v>17277.531218581313</v>
      </c>
      <c r="G244" s="144">
        <f t="shared" si="17"/>
        <v>6626.9404983748454</v>
      </c>
      <c r="H244" s="144">
        <f t="shared" si="15"/>
        <v>10650.590720206466</v>
      </c>
      <c r="I244" s="145">
        <f t="shared" si="16"/>
        <v>1314737.5089547625</v>
      </c>
    </row>
    <row r="245" spans="3:9">
      <c r="C245" s="40"/>
      <c r="D245" s="58">
        <v>229</v>
      </c>
      <c r="E245" s="144">
        <f t="shared" si="19"/>
        <v>1314737.5089547625</v>
      </c>
      <c r="F245" s="144">
        <f t="shared" si="18"/>
        <v>17277.531218581313</v>
      </c>
      <c r="G245" s="144">
        <f t="shared" si="17"/>
        <v>6573.687544773813</v>
      </c>
      <c r="H245" s="144">
        <f t="shared" si="15"/>
        <v>10703.8436738075</v>
      </c>
      <c r="I245" s="145">
        <f t="shared" si="16"/>
        <v>1304033.6652809549</v>
      </c>
    </row>
    <row r="246" spans="3:9">
      <c r="C246" s="40"/>
      <c r="D246" s="58">
        <v>230</v>
      </c>
      <c r="E246" s="144">
        <f t="shared" si="19"/>
        <v>1304033.6652809549</v>
      </c>
      <c r="F246" s="144">
        <f t="shared" si="18"/>
        <v>17277.531218581313</v>
      </c>
      <c r="G246" s="144">
        <f t="shared" si="17"/>
        <v>6520.1683264047751</v>
      </c>
      <c r="H246" s="144">
        <f t="shared" si="15"/>
        <v>10757.362892176538</v>
      </c>
      <c r="I246" s="145">
        <f t="shared" si="16"/>
        <v>1293276.3023887784</v>
      </c>
    </row>
    <row r="247" spans="3:9">
      <c r="C247" s="40"/>
      <c r="D247" s="58">
        <v>231</v>
      </c>
      <c r="E247" s="144">
        <f t="shared" si="19"/>
        <v>1293276.3023887784</v>
      </c>
      <c r="F247" s="144">
        <f t="shared" si="18"/>
        <v>17277.531218581313</v>
      </c>
      <c r="G247" s="144">
        <f t="shared" si="17"/>
        <v>6466.3815119438923</v>
      </c>
      <c r="H247" s="144">
        <f t="shared" si="15"/>
        <v>10811.149706637421</v>
      </c>
      <c r="I247" s="145">
        <f t="shared" si="16"/>
        <v>1282465.1526821409</v>
      </c>
    </row>
    <row r="248" spans="3:9">
      <c r="C248" s="40"/>
      <c r="D248" s="58">
        <v>232</v>
      </c>
      <c r="E248" s="144">
        <f t="shared" si="19"/>
        <v>1282465.1526821409</v>
      </c>
      <c r="F248" s="144">
        <f t="shared" si="18"/>
        <v>17277.531218581313</v>
      </c>
      <c r="G248" s="144">
        <f t="shared" si="17"/>
        <v>6412.3257634107049</v>
      </c>
      <c r="H248" s="144">
        <f t="shared" si="15"/>
        <v>10865.205455170608</v>
      </c>
      <c r="I248" s="145">
        <f t="shared" si="16"/>
        <v>1271599.9472269702</v>
      </c>
    </row>
    <row r="249" spans="3:9">
      <c r="C249" s="40"/>
      <c r="D249" s="58">
        <v>233</v>
      </c>
      <c r="E249" s="144">
        <f t="shared" si="19"/>
        <v>1271599.9472269702</v>
      </c>
      <c r="F249" s="144">
        <f t="shared" si="18"/>
        <v>17277.531218581313</v>
      </c>
      <c r="G249" s="144">
        <f t="shared" si="17"/>
        <v>6357.9997361348514</v>
      </c>
      <c r="H249" s="144">
        <f t="shared" si="15"/>
        <v>10919.531482446462</v>
      </c>
      <c r="I249" s="145">
        <f t="shared" si="16"/>
        <v>1260680.4157445238</v>
      </c>
    </row>
    <row r="250" spans="3:9">
      <c r="C250" s="40"/>
      <c r="D250" s="58">
        <v>234</v>
      </c>
      <c r="E250" s="144">
        <f t="shared" si="19"/>
        <v>1260680.4157445238</v>
      </c>
      <c r="F250" s="144">
        <f t="shared" si="18"/>
        <v>17277.531218581313</v>
      </c>
      <c r="G250" s="144">
        <f t="shared" si="17"/>
        <v>6303.4020787226191</v>
      </c>
      <c r="H250" s="144">
        <f t="shared" si="15"/>
        <v>10974.129139858695</v>
      </c>
      <c r="I250" s="145">
        <f t="shared" si="16"/>
        <v>1249706.286604665</v>
      </c>
    </row>
    <row r="251" spans="3:9">
      <c r="C251" s="40"/>
      <c r="D251" s="58">
        <v>235</v>
      </c>
      <c r="E251" s="144">
        <f t="shared" si="19"/>
        <v>1249706.286604665</v>
      </c>
      <c r="F251" s="144">
        <f t="shared" si="18"/>
        <v>17277.531218581313</v>
      </c>
      <c r="G251" s="144">
        <f t="shared" si="17"/>
        <v>6248.531433023325</v>
      </c>
      <c r="H251" s="144">
        <f t="shared" si="15"/>
        <v>11028.999785557988</v>
      </c>
      <c r="I251" s="145">
        <f t="shared" si="16"/>
        <v>1238677.2868191069</v>
      </c>
    </row>
    <row r="252" spans="3:9">
      <c r="C252" s="40"/>
      <c r="D252" s="58">
        <v>236</v>
      </c>
      <c r="E252" s="144">
        <f t="shared" si="19"/>
        <v>1238677.2868191069</v>
      </c>
      <c r="F252" s="144">
        <f t="shared" si="18"/>
        <v>17277.531218581313</v>
      </c>
      <c r="G252" s="144">
        <f t="shared" si="17"/>
        <v>6193.3864340955342</v>
      </c>
      <c r="H252" s="144">
        <f t="shared" si="15"/>
        <v>11084.144784485779</v>
      </c>
      <c r="I252" s="145">
        <f t="shared" si="16"/>
        <v>1227593.1420346212</v>
      </c>
    </row>
    <row r="253" spans="3:9">
      <c r="C253" s="40"/>
      <c r="D253" s="58">
        <v>237</v>
      </c>
      <c r="E253" s="144">
        <f t="shared" si="19"/>
        <v>1227593.1420346212</v>
      </c>
      <c r="F253" s="144">
        <f t="shared" si="18"/>
        <v>17277.531218581313</v>
      </c>
      <c r="G253" s="144">
        <f t="shared" si="17"/>
        <v>6137.9657101731063</v>
      </c>
      <c r="H253" s="144">
        <f t="shared" si="15"/>
        <v>11139.565508408206</v>
      </c>
      <c r="I253" s="145">
        <f t="shared" si="16"/>
        <v>1216453.576526213</v>
      </c>
    </row>
    <row r="254" spans="3:9">
      <c r="C254" s="40"/>
      <c r="D254" s="58">
        <v>238</v>
      </c>
      <c r="E254" s="144">
        <f t="shared" si="19"/>
        <v>1216453.576526213</v>
      </c>
      <c r="F254" s="144">
        <f t="shared" si="18"/>
        <v>17277.531218581313</v>
      </c>
      <c r="G254" s="144">
        <f t="shared" si="17"/>
        <v>6082.2678826310648</v>
      </c>
      <c r="H254" s="144">
        <f t="shared" si="15"/>
        <v>11195.263335950247</v>
      </c>
      <c r="I254" s="145">
        <f t="shared" si="16"/>
        <v>1205258.3131902628</v>
      </c>
    </row>
    <row r="255" spans="3:9">
      <c r="C255" s="40"/>
      <c r="D255" s="58">
        <v>239</v>
      </c>
      <c r="E255" s="144">
        <f t="shared" si="19"/>
        <v>1205258.3131902628</v>
      </c>
      <c r="F255" s="144">
        <f t="shared" si="18"/>
        <v>17277.531218581313</v>
      </c>
      <c r="G255" s="144">
        <f t="shared" si="17"/>
        <v>6026.2915659513137</v>
      </c>
      <c r="H255" s="144">
        <f t="shared" si="15"/>
        <v>11251.23965263</v>
      </c>
      <c r="I255" s="145">
        <f t="shared" si="16"/>
        <v>1194007.0735376328</v>
      </c>
    </row>
    <row r="256" spans="3:9">
      <c r="C256" s="46">
        <v>20</v>
      </c>
      <c r="D256" s="147">
        <v>240</v>
      </c>
      <c r="E256" s="144">
        <f t="shared" si="19"/>
        <v>1194007.0735376328</v>
      </c>
      <c r="F256" s="144">
        <f t="shared" si="18"/>
        <v>17277.531218581313</v>
      </c>
      <c r="G256" s="144">
        <f t="shared" si="17"/>
        <v>5970.0353676881641</v>
      </c>
      <c r="H256" s="144">
        <f t="shared" si="15"/>
        <v>11307.495850893149</v>
      </c>
      <c r="I256" s="145">
        <f t="shared" si="16"/>
        <v>1182699.5776867396</v>
      </c>
    </row>
    <row r="257" spans="3:9">
      <c r="C257" s="40"/>
      <c r="D257" s="58">
        <v>241</v>
      </c>
      <c r="E257" s="144">
        <f t="shared" si="19"/>
        <v>1182699.5776867396</v>
      </c>
      <c r="F257" s="144">
        <f t="shared" si="18"/>
        <v>17277.531218581313</v>
      </c>
      <c r="G257" s="144">
        <f t="shared" si="17"/>
        <v>5913.4978884336979</v>
      </c>
      <c r="H257" s="144">
        <f t="shared" si="15"/>
        <v>11364.033330147615</v>
      </c>
      <c r="I257" s="145">
        <f t="shared" si="16"/>
        <v>1171335.544356592</v>
      </c>
    </row>
    <row r="258" spans="3:9">
      <c r="C258" s="40"/>
      <c r="D258" s="58">
        <v>242</v>
      </c>
      <c r="E258" s="144">
        <f t="shared" si="19"/>
        <v>1171335.544356592</v>
      </c>
      <c r="F258" s="144">
        <f t="shared" si="18"/>
        <v>17277.531218581313</v>
      </c>
      <c r="G258" s="144">
        <f t="shared" si="17"/>
        <v>5856.6777217829604</v>
      </c>
      <c r="H258" s="144">
        <f t="shared" si="15"/>
        <v>11420.853496798352</v>
      </c>
      <c r="I258" s="145">
        <f t="shared" si="16"/>
        <v>1159914.6908597937</v>
      </c>
    </row>
    <row r="259" spans="3:9">
      <c r="C259" s="40"/>
      <c r="D259" s="58">
        <v>243</v>
      </c>
      <c r="E259" s="144">
        <f t="shared" si="19"/>
        <v>1159914.6908597937</v>
      </c>
      <c r="F259" s="144">
        <f t="shared" si="18"/>
        <v>17277.531218581313</v>
      </c>
      <c r="G259" s="144">
        <f t="shared" si="17"/>
        <v>5799.5734542989685</v>
      </c>
      <c r="H259" s="144">
        <f t="shared" si="15"/>
        <v>11477.957764282344</v>
      </c>
      <c r="I259" s="145">
        <f t="shared" si="16"/>
        <v>1148436.7330955113</v>
      </c>
    </row>
    <row r="260" spans="3:9">
      <c r="C260" s="40"/>
      <c r="D260" s="58">
        <v>244</v>
      </c>
      <c r="E260" s="144">
        <f t="shared" si="19"/>
        <v>1148436.7330955113</v>
      </c>
      <c r="F260" s="144">
        <f t="shared" si="18"/>
        <v>17277.531218581313</v>
      </c>
      <c r="G260" s="144">
        <f t="shared" si="17"/>
        <v>5742.183665477557</v>
      </c>
      <c r="H260" s="144">
        <f t="shared" si="15"/>
        <v>11535.347553103755</v>
      </c>
      <c r="I260" s="145">
        <f t="shared" si="16"/>
        <v>1136901.3855424076</v>
      </c>
    </row>
    <row r="261" spans="3:9">
      <c r="C261" s="40"/>
      <c r="D261" s="58">
        <v>245</v>
      </c>
      <c r="E261" s="144">
        <f t="shared" si="19"/>
        <v>1136901.3855424076</v>
      </c>
      <c r="F261" s="144">
        <f t="shared" si="18"/>
        <v>17277.531218581313</v>
      </c>
      <c r="G261" s="144">
        <f t="shared" si="17"/>
        <v>5684.5069277120383</v>
      </c>
      <c r="H261" s="144">
        <f t="shared" si="15"/>
        <v>11593.024290869274</v>
      </c>
      <c r="I261" s="145">
        <f t="shared" si="16"/>
        <v>1125308.3612515384</v>
      </c>
    </row>
    <row r="262" spans="3:9">
      <c r="C262" s="40"/>
      <c r="D262" s="58">
        <v>246</v>
      </c>
      <c r="E262" s="144">
        <f t="shared" si="19"/>
        <v>1125308.3612515384</v>
      </c>
      <c r="F262" s="144">
        <f t="shared" si="18"/>
        <v>17277.531218581313</v>
      </c>
      <c r="G262" s="144">
        <f t="shared" si="17"/>
        <v>5626.5418062576919</v>
      </c>
      <c r="H262" s="144">
        <f t="shared" si="15"/>
        <v>11650.989412323621</v>
      </c>
      <c r="I262" s="145">
        <f t="shared" si="16"/>
        <v>1113657.3718392148</v>
      </c>
    </row>
    <row r="263" spans="3:9">
      <c r="C263" s="40"/>
      <c r="D263" s="58">
        <v>247</v>
      </c>
      <c r="E263" s="144">
        <f t="shared" si="19"/>
        <v>1113657.3718392148</v>
      </c>
      <c r="F263" s="144">
        <f t="shared" si="18"/>
        <v>17277.531218581313</v>
      </c>
      <c r="G263" s="144">
        <f t="shared" si="17"/>
        <v>5568.2868591960741</v>
      </c>
      <c r="H263" s="144">
        <f t="shared" si="15"/>
        <v>11709.244359385239</v>
      </c>
      <c r="I263" s="145">
        <f t="shared" si="16"/>
        <v>1101948.1274798296</v>
      </c>
    </row>
    <row r="264" spans="3:9">
      <c r="C264" s="40"/>
      <c r="D264" s="58">
        <v>248</v>
      </c>
      <c r="E264" s="144">
        <f t="shared" si="19"/>
        <v>1101948.1274798296</v>
      </c>
      <c r="F264" s="144">
        <f t="shared" si="18"/>
        <v>17277.531218581313</v>
      </c>
      <c r="G264" s="144">
        <f t="shared" si="17"/>
        <v>5509.740637399148</v>
      </c>
      <c r="H264" s="144">
        <f t="shared" si="15"/>
        <v>11767.790581182166</v>
      </c>
      <c r="I264" s="145">
        <f t="shared" si="16"/>
        <v>1090180.3368986475</v>
      </c>
    </row>
    <row r="265" spans="3:9">
      <c r="C265" s="40"/>
      <c r="D265" s="58">
        <v>249</v>
      </c>
      <c r="E265" s="144">
        <f t="shared" si="19"/>
        <v>1090180.3368986475</v>
      </c>
      <c r="F265" s="144">
        <f t="shared" si="18"/>
        <v>17277.531218581313</v>
      </c>
      <c r="G265" s="144">
        <f t="shared" si="17"/>
        <v>5450.9016844932376</v>
      </c>
      <c r="H265" s="144">
        <f t="shared" si="15"/>
        <v>11826.629534088075</v>
      </c>
      <c r="I265" s="145">
        <f t="shared" si="16"/>
        <v>1078353.7073645594</v>
      </c>
    </row>
    <row r="266" spans="3:9">
      <c r="C266" s="40"/>
      <c r="D266" s="58">
        <v>250</v>
      </c>
      <c r="E266" s="144">
        <f t="shared" si="19"/>
        <v>1078353.7073645594</v>
      </c>
      <c r="F266" s="144">
        <f t="shared" si="18"/>
        <v>17277.531218581313</v>
      </c>
      <c r="G266" s="144">
        <f t="shared" si="17"/>
        <v>5391.7685368227967</v>
      </c>
      <c r="H266" s="144">
        <f t="shared" si="15"/>
        <v>11885.762681758515</v>
      </c>
      <c r="I266" s="145">
        <f t="shared" si="16"/>
        <v>1066467.9446828009</v>
      </c>
    </row>
    <row r="267" spans="3:9">
      <c r="C267" s="40"/>
      <c r="D267" s="58">
        <v>251</v>
      </c>
      <c r="E267" s="144">
        <f t="shared" si="19"/>
        <v>1066467.9446828009</v>
      </c>
      <c r="F267" s="144">
        <f t="shared" si="18"/>
        <v>17277.531218581313</v>
      </c>
      <c r="G267" s="144">
        <f t="shared" si="17"/>
        <v>5332.3397234140048</v>
      </c>
      <c r="H267" s="144">
        <f t="shared" si="15"/>
        <v>11945.191495167308</v>
      </c>
      <c r="I267" s="145">
        <f t="shared" si="16"/>
        <v>1054522.7531876336</v>
      </c>
    </row>
    <row r="268" spans="3:9">
      <c r="C268" s="46">
        <v>21</v>
      </c>
      <c r="D268" s="147">
        <v>252</v>
      </c>
      <c r="E268" s="144">
        <f t="shared" si="19"/>
        <v>1054522.7531876336</v>
      </c>
      <c r="F268" s="144">
        <f t="shared" si="18"/>
        <v>17277.531218581313</v>
      </c>
      <c r="G268" s="144">
        <f t="shared" si="17"/>
        <v>5272.6137659381684</v>
      </c>
      <c r="H268" s="144">
        <f t="shared" si="15"/>
        <v>12004.917452643145</v>
      </c>
      <c r="I268" s="145">
        <f t="shared" si="16"/>
        <v>1042517.8357349904</v>
      </c>
    </row>
    <row r="269" spans="3:9">
      <c r="C269" s="40"/>
      <c r="D269" s="58">
        <v>253</v>
      </c>
      <c r="E269" s="144">
        <f t="shared" si="19"/>
        <v>1042517.8357349904</v>
      </c>
      <c r="F269" s="144">
        <f t="shared" si="18"/>
        <v>17277.531218581313</v>
      </c>
      <c r="G269" s="144">
        <f t="shared" si="17"/>
        <v>5212.5891786749526</v>
      </c>
      <c r="H269" s="144">
        <f t="shared" si="15"/>
        <v>12064.94203990636</v>
      </c>
      <c r="I269" s="145">
        <f t="shared" si="16"/>
        <v>1030452.893695084</v>
      </c>
    </row>
    <row r="270" spans="3:9">
      <c r="C270" s="40"/>
      <c r="D270" s="58">
        <v>254</v>
      </c>
      <c r="E270" s="144">
        <f t="shared" si="19"/>
        <v>1030452.893695084</v>
      </c>
      <c r="F270" s="144">
        <f t="shared" si="18"/>
        <v>17277.531218581313</v>
      </c>
      <c r="G270" s="144">
        <f t="shared" si="17"/>
        <v>5152.2644684754205</v>
      </c>
      <c r="H270" s="144">
        <f t="shared" si="15"/>
        <v>12125.266750105893</v>
      </c>
      <c r="I270" s="145">
        <f t="shared" si="16"/>
        <v>1018327.6269449781</v>
      </c>
    </row>
    <row r="271" spans="3:9">
      <c r="C271" s="40"/>
      <c r="D271" s="58">
        <v>255</v>
      </c>
      <c r="E271" s="144">
        <f t="shared" si="19"/>
        <v>1018327.6269449781</v>
      </c>
      <c r="F271" s="144">
        <f t="shared" si="18"/>
        <v>17277.531218581313</v>
      </c>
      <c r="G271" s="144">
        <f t="shared" si="17"/>
        <v>5091.6381347248907</v>
      </c>
      <c r="H271" s="144">
        <f t="shared" si="15"/>
        <v>12185.893083856423</v>
      </c>
      <c r="I271" s="145">
        <f t="shared" si="16"/>
        <v>1006141.7338611217</v>
      </c>
    </row>
    <row r="272" spans="3:9">
      <c r="C272" s="40"/>
      <c r="D272" s="58">
        <v>256</v>
      </c>
      <c r="E272" s="144">
        <f t="shared" si="19"/>
        <v>1006141.7338611217</v>
      </c>
      <c r="F272" s="144">
        <f t="shared" si="18"/>
        <v>17277.531218581313</v>
      </c>
      <c r="G272" s="144">
        <f t="shared" si="17"/>
        <v>5030.708669305609</v>
      </c>
      <c r="H272" s="144">
        <f t="shared" si="15"/>
        <v>12246.822549275705</v>
      </c>
      <c r="I272" s="145">
        <f t="shared" si="16"/>
        <v>993894.91131184599</v>
      </c>
    </row>
    <row r="273" spans="3:9">
      <c r="C273" s="40"/>
      <c r="D273" s="58">
        <v>257</v>
      </c>
      <c r="E273" s="144">
        <f t="shared" si="19"/>
        <v>993894.91131184599</v>
      </c>
      <c r="F273" s="144">
        <f t="shared" si="18"/>
        <v>17277.531218581313</v>
      </c>
      <c r="G273" s="144">
        <f t="shared" si="17"/>
        <v>4969.4745565592302</v>
      </c>
      <c r="H273" s="144">
        <f t="shared" ref="H273:H336" si="20">F273-G273</f>
        <v>12308.056662022082</v>
      </c>
      <c r="I273" s="145">
        <f t="shared" ref="I273:I336" si="21">E273-H273</f>
        <v>981586.85464982386</v>
      </c>
    </row>
    <row r="274" spans="3:9">
      <c r="C274" s="40"/>
      <c r="D274" s="58">
        <v>258</v>
      </c>
      <c r="E274" s="144">
        <f t="shared" si="19"/>
        <v>981586.85464982386</v>
      </c>
      <c r="F274" s="144">
        <f t="shared" si="18"/>
        <v>17277.531218581313</v>
      </c>
      <c r="G274" s="144">
        <f t="shared" ref="G274:G337" si="22">IF(D274&gt;$D$10,0,($D$6/12)*I273)</f>
        <v>4907.9342732491195</v>
      </c>
      <c r="H274" s="144">
        <f t="shared" si="20"/>
        <v>12369.596945332192</v>
      </c>
      <c r="I274" s="145">
        <f t="shared" si="21"/>
        <v>969217.25770449161</v>
      </c>
    </row>
    <row r="275" spans="3:9">
      <c r="C275" s="40"/>
      <c r="D275" s="58">
        <v>259</v>
      </c>
      <c r="E275" s="144">
        <f t="shared" si="19"/>
        <v>969217.25770449161</v>
      </c>
      <c r="F275" s="144">
        <f t="shared" si="18"/>
        <v>17277.531218581313</v>
      </c>
      <c r="G275" s="144">
        <f t="shared" si="22"/>
        <v>4846.0862885224578</v>
      </c>
      <c r="H275" s="144">
        <f t="shared" si="20"/>
        <v>12431.444930058855</v>
      </c>
      <c r="I275" s="145">
        <f t="shared" si="21"/>
        <v>956785.81277443271</v>
      </c>
    </row>
    <row r="276" spans="3:9">
      <c r="C276" s="40"/>
      <c r="D276" s="58">
        <v>260</v>
      </c>
      <c r="E276" s="144">
        <f t="shared" si="19"/>
        <v>956785.81277443271</v>
      </c>
      <c r="F276" s="144">
        <f t="shared" si="18"/>
        <v>17277.531218581313</v>
      </c>
      <c r="G276" s="144">
        <f t="shared" si="22"/>
        <v>4783.9290638721641</v>
      </c>
      <c r="H276" s="144">
        <f t="shared" si="20"/>
        <v>12493.602154709148</v>
      </c>
      <c r="I276" s="145">
        <f t="shared" si="21"/>
        <v>944292.21061972354</v>
      </c>
    </row>
    <row r="277" spans="3:9">
      <c r="C277" s="40"/>
      <c r="D277" s="58">
        <v>261</v>
      </c>
      <c r="E277" s="144">
        <f t="shared" si="19"/>
        <v>944292.21061972354</v>
      </c>
      <c r="F277" s="144">
        <f t="shared" ref="F277:F340" si="23">IF(D277&gt;$D$10,0,IF(D277&lt;=$D$8,G277,-PMT($D$6/12,$D$9,$D$5,0,0)))</f>
        <v>17277.531218581313</v>
      </c>
      <c r="G277" s="144">
        <f t="shared" si="22"/>
        <v>4721.4610530986174</v>
      </c>
      <c r="H277" s="144">
        <f t="shared" si="20"/>
        <v>12556.070165482695</v>
      </c>
      <c r="I277" s="145">
        <f t="shared" si="21"/>
        <v>931736.14045424084</v>
      </c>
    </row>
    <row r="278" spans="3:9">
      <c r="C278" s="40"/>
      <c r="D278" s="58">
        <v>262</v>
      </c>
      <c r="E278" s="144">
        <f t="shared" ref="E278:E341" si="24">IF(D278&gt;$D$10,0,I277)</f>
        <v>931736.14045424084</v>
      </c>
      <c r="F278" s="144">
        <f t="shared" si="23"/>
        <v>17277.531218581313</v>
      </c>
      <c r="G278" s="144">
        <f t="shared" si="22"/>
        <v>4658.6807022712046</v>
      </c>
      <c r="H278" s="144">
        <f t="shared" si="20"/>
        <v>12618.850516310107</v>
      </c>
      <c r="I278" s="145">
        <f t="shared" si="21"/>
        <v>919117.28993793076</v>
      </c>
    </row>
    <row r="279" spans="3:9">
      <c r="C279" s="40"/>
      <c r="D279" s="58">
        <v>263</v>
      </c>
      <c r="E279" s="144">
        <f t="shared" si="24"/>
        <v>919117.28993793076</v>
      </c>
      <c r="F279" s="144">
        <f t="shared" si="23"/>
        <v>17277.531218581313</v>
      </c>
      <c r="G279" s="144">
        <f t="shared" si="22"/>
        <v>4595.5864496896538</v>
      </c>
      <c r="H279" s="144">
        <f t="shared" si="20"/>
        <v>12681.944768891659</v>
      </c>
      <c r="I279" s="145">
        <f t="shared" si="21"/>
        <v>906435.34516903909</v>
      </c>
    </row>
    <row r="280" spans="3:9">
      <c r="C280" s="46">
        <v>22</v>
      </c>
      <c r="D280" s="147">
        <v>264</v>
      </c>
      <c r="E280" s="144">
        <f t="shared" si="24"/>
        <v>906435.34516903909</v>
      </c>
      <c r="F280" s="144">
        <f t="shared" si="23"/>
        <v>17277.531218581313</v>
      </c>
      <c r="G280" s="144">
        <f t="shared" si="22"/>
        <v>4532.1767258451955</v>
      </c>
      <c r="H280" s="144">
        <f t="shared" si="20"/>
        <v>12745.354492736118</v>
      </c>
      <c r="I280" s="145">
        <f t="shared" si="21"/>
        <v>893689.99067630293</v>
      </c>
    </row>
    <row r="281" spans="3:9">
      <c r="C281" s="40"/>
      <c r="D281" s="58">
        <v>265</v>
      </c>
      <c r="E281" s="144">
        <f t="shared" si="24"/>
        <v>893689.99067630293</v>
      </c>
      <c r="F281" s="144">
        <f t="shared" si="23"/>
        <v>17277.531218581313</v>
      </c>
      <c r="G281" s="144">
        <f t="shared" si="22"/>
        <v>4468.4499533815151</v>
      </c>
      <c r="H281" s="144">
        <f t="shared" si="20"/>
        <v>12809.081265199799</v>
      </c>
      <c r="I281" s="145">
        <f t="shared" si="21"/>
        <v>880880.90941110312</v>
      </c>
    </row>
    <row r="282" spans="3:9">
      <c r="C282" s="40"/>
      <c r="D282" s="58">
        <v>266</v>
      </c>
      <c r="E282" s="144">
        <f t="shared" si="24"/>
        <v>880880.90941110312</v>
      </c>
      <c r="F282" s="144">
        <f t="shared" si="23"/>
        <v>17277.531218581313</v>
      </c>
      <c r="G282" s="144">
        <f t="shared" si="22"/>
        <v>4404.4045470555156</v>
      </c>
      <c r="H282" s="144">
        <f t="shared" si="20"/>
        <v>12873.126671525797</v>
      </c>
      <c r="I282" s="145">
        <f t="shared" si="21"/>
        <v>868007.78273957735</v>
      </c>
    </row>
    <row r="283" spans="3:9">
      <c r="C283" s="40"/>
      <c r="D283" s="58">
        <v>267</v>
      </c>
      <c r="E283" s="144">
        <f t="shared" si="24"/>
        <v>868007.78273957735</v>
      </c>
      <c r="F283" s="144">
        <f t="shared" si="23"/>
        <v>17277.531218581313</v>
      </c>
      <c r="G283" s="144">
        <f t="shared" si="22"/>
        <v>4340.0389136978865</v>
      </c>
      <c r="H283" s="144">
        <f t="shared" si="20"/>
        <v>12937.492304883426</v>
      </c>
      <c r="I283" s="145">
        <f t="shared" si="21"/>
        <v>855070.29043469392</v>
      </c>
    </row>
    <row r="284" spans="3:9">
      <c r="C284" s="40"/>
      <c r="D284" s="58">
        <v>268</v>
      </c>
      <c r="E284" s="144">
        <f t="shared" si="24"/>
        <v>855070.29043469392</v>
      </c>
      <c r="F284" s="144">
        <f t="shared" si="23"/>
        <v>17277.531218581313</v>
      </c>
      <c r="G284" s="144">
        <f t="shared" si="22"/>
        <v>4275.3514521734696</v>
      </c>
      <c r="H284" s="144">
        <f t="shared" si="20"/>
        <v>13002.179766407844</v>
      </c>
      <c r="I284" s="145">
        <f t="shared" si="21"/>
        <v>842068.1106682861</v>
      </c>
    </row>
    <row r="285" spans="3:9">
      <c r="C285" s="40"/>
      <c r="D285" s="58">
        <v>269</v>
      </c>
      <c r="E285" s="144">
        <f t="shared" si="24"/>
        <v>842068.1106682861</v>
      </c>
      <c r="F285" s="144">
        <f t="shared" si="23"/>
        <v>17277.531218581313</v>
      </c>
      <c r="G285" s="144">
        <f t="shared" si="22"/>
        <v>4210.3405533414307</v>
      </c>
      <c r="H285" s="144">
        <f t="shared" si="20"/>
        <v>13067.190665239883</v>
      </c>
      <c r="I285" s="145">
        <f t="shared" si="21"/>
        <v>829000.92000304617</v>
      </c>
    </row>
    <row r="286" spans="3:9">
      <c r="C286" s="40"/>
      <c r="D286" s="58">
        <v>270</v>
      </c>
      <c r="E286" s="144">
        <f t="shared" si="24"/>
        <v>829000.92000304617</v>
      </c>
      <c r="F286" s="144">
        <f t="shared" si="23"/>
        <v>17277.531218581313</v>
      </c>
      <c r="G286" s="144">
        <f t="shared" si="22"/>
        <v>4145.0046000152306</v>
      </c>
      <c r="H286" s="144">
        <f t="shared" si="20"/>
        <v>13132.526618566082</v>
      </c>
      <c r="I286" s="145">
        <f t="shared" si="21"/>
        <v>815868.39338448003</v>
      </c>
    </row>
    <row r="287" spans="3:9">
      <c r="C287" s="40"/>
      <c r="D287" s="58">
        <v>271</v>
      </c>
      <c r="E287" s="144">
        <f t="shared" si="24"/>
        <v>815868.39338448003</v>
      </c>
      <c r="F287" s="144">
        <f t="shared" si="23"/>
        <v>17277.531218581313</v>
      </c>
      <c r="G287" s="144">
        <f t="shared" si="22"/>
        <v>4079.3419669224004</v>
      </c>
      <c r="H287" s="144">
        <f t="shared" si="20"/>
        <v>13198.189251658912</v>
      </c>
      <c r="I287" s="145">
        <f t="shared" si="21"/>
        <v>802670.20413282118</v>
      </c>
    </row>
    <row r="288" spans="3:9">
      <c r="C288" s="40"/>
      <c r="D288" s="58">
        <v>272</v>
      </c>
      <c r="E288" s="144">
        <f t="shared" si="24"/>
        <v>802670.20413282118</v>
      </c>
      <c r="F288" s="144">
        <f t="shared" si="23"/>
        <v>17277.531218581313</v>
      </c>
      <c r="G288" s="144">
        <f t="shared" si="22"/>
        <v>4013.3510206641058</v>
      </c>
      <c r="H288" s="144">
        <f t="shared" si="20"/>
        <v>13264.180197917207</v>
      </c>
      <c r="I288" s="145">
        <f t="shared" si="21"/>
        <v>789406.02393490402</v>
      </c>
    </row>
    <row r="289" spans="3:9">
      <c r="C289" s="40"/>
      <c r="D289" s="58">
        <v>273</v>
      </c>
      <c r="E289" s="144">
        <f t="shared" si="24"/>
        <v>789406.02393490402</v>
      </c>
      <c r="F289" s="144">
        <f t="shared" si="23"/>
        <v>17277.531218581313</v>
      </c>
      <c r="G289" s="144">
        <f t="shared" si="22"/>
        <v>3947.0301196745204</v>
      </c>
      <c r="H289" s="144">
        <f t="shared" si="20"/>
        <v>13330.501098906792</v>
      </c>
      <c r="I289" s="145">
        <f t="shared" si="21"/>
        <v>776075.52283599728</v>
      </c>
    </row>
    <row r="290" spans="3:9">
      <c r="C290" s="40"/>
      <c r="D290" s="58">
        <v>274</v>
      </c>
      <c r="E290" s="144">
        <f t="shared" si="24"/>
        <v>776075.52283599728</v>
      </c>
      <c r="F290" s="144">
        <f t="shared" si="23"/>
        <v>17277.531218581313</v>
      </c>
      <c r="G290" s="144">
        <f t="shared" si="22"/>
        <v>3880.3776141799863</v>
      </c>
      <c r="H290" s="144">
        <f t="shared" si="20"/>
        <v>13397.153604401326</v>
      </c>
      <c r="I290" s="145">
        <f t="shared" si="21"/>
        <v>762678.36923159601</v>
      </c>
    </row>
    <row r="291" spans="3:9">
      <c r="C291" s="40"/>
      <c r="D291" s="58">
        <v>275</v>
      </c>
      <c r="E291" s="144">
        <f t="shared" si="24"/>
        <v>762678.36923159601</v>
      </c>
      <c r="F291" s="144">
        <f t="shared" si="23"/>
        <v>17277.531218581313</v>
      </c>
      <c r="G291" s="144">
        <f t="shared" si="22"/>
        <v>3813.3918461579801</v>
      </c>
      <c r="H291" s="144">
        <f t="shared" si="20"/>
        <v>13464.139372423333</v>
      </c>
      <c r="I291" s="145">
        <f t="shared" si="21"/>
        <v>749214.22985917272</v>
      </c>
    </row>
    <row r="292" spans="3:9">
      <c r="C292" s="46">
        <v>23</v>
      </c>
      <c r="D292" s="147">
        <v>276</v>
      </c>
      <c r="E292" s="144">
        <f t="shared" si="24"/>
        <v>749214.22985917272</v>
      </c>
      <c r="F292" s="144">
        <f t="shared" si="23"/>
        <v>17277.531218581313</v>
      </c>
      <c r="G292" s="144">
        <f t="shared" si="22"/>
        <v>3746.0711492958635</v>
      </c>
      <c r="H292" s="144">
        <f t="shared" si="20"/>
        <v>13531.460069285449</v>
      </c>
      <c r="I292" s="145">
        <f t="shared" si="21"/>
        <v>735682.76978988724</v>
      </c>
    </row>
    <row r="293" spans="3:9">
      <c r="C293" s="40"/>
      <c r="D293" s="58">
        <v>277</v>
      </c>
      <c r="E293" s="144">
        <f t="shared" si="24"/>
        <v>735682.76978988724</v>
      </c>
      <c r="F293" s="144">
        <f t="shared" si="23"/>
        <v>17277.531218581313</v>
      </c>
      <c r="G293" s="144">
        <f t="shared" si="22"/>
        <v>3678.4138489494362</v>
      </c>
      <c r="H293" s="144">
        <f t="shared" si="20"/>
        <v>13599.117369631876</v>
      </c>
      <c r="I293" s="145">
        <f t="shared" si="21"/>
        <v>722083.65242025536</v>
      </c>
    </row>
    <row r="294" spans="3:9">
      <c r="C294" s="40"/>
      <c r="D294" s="58">
        <v>278</v>
      </c>
      <c r="E294" s="144">
        <f t="shared" si="24"/>
        <v>722083.65242025536</v>
      </c>
      <c r="F294" s="144">
        <f t="shared" si="23"/>
        <v>17277.531218581313</v>
      </c>
      <c r="G294" s="144">
        <f t="shared" si="22"/>
        <v>3610.4182621012769</v>
      </c>
      <c r="H294" s="144">
        <f t="shared" si="20"/>
        <v>13667.112956480036</v>
      </c>
      <c r="I294" s="145">
        <f t="shared" si="21"/>
        <v>708416.53946377535</v>
      </c>
    </row>
    <row r="295" spans="3:9">
      <c r="C295" s="40"/>
      <c r="D295" s="58">
        <v>279</v>
      </c>
      <c r="E295" s="144">
        <f t="shared" si="24"/>
        <v>708416.53946377535</v>
      </c>
      <c r="F295" s="144">
        <f t="shared" si="23"/>
        <v>17277.531218581313</v>
      </c>
      <c r="G295" s="144">
        <f t="shared" si="22"/>
        <v>3542.0826973188769</v>
      </c>
      <c r="H295" s="144">
        <f t="shared" si="20"/>
        <v>13735.448521262435</v>
      </c>
      <c r="I295" s="145">
        <f t="shared" si="21"/>
        <v>694681.09094251296</v>
      </c>
    </row>
    <row r="296" spans="3:9">
      <c r="C296" s="40"/>
      <c r="D296" s="58">
        <v>280</v>
      </c>
      <c r="E296" s="144">
        <f t="shared" si="24"/>
        <v>694681.09094251296</v>
      </c>
      <c r="F296" s="144">
        <f t="shared" si="23"/>
        <v>17277.531218581313</v>
      </c>
      <c r="G296" s="144">
        <f t="shared" si="22"/>
        <v>3473.4054547125647</v>
      </c>
      <c r="H296" s="144">
        <f t="shared" si="20"/>
        <v>13804.125763868748</v>
      </c>
      <c r="I296" s="145">
        <f t="shared" si="21"/>
        <v>680876.96517864417</v>
      </c>
    </row>
    <row r="297" spans="3:9">
      <c r="C297" s="40"/>
      <c r="D297" s="58">
        <v>281</v>
      </c>
      <c r="E297" s="144">
        <f t="shared" si="24"/>
        <v>680876.96517864417</v>
      </c>
      <c r="F297" s="144">
        <f t="shared" si="23"/>
        <v>17277.531218581313</v>
      </c>
      <c r="G297" s="144">
        <f t="shared" si="22"/>
        <v>3404.3848258932208</v>
      </c>
      <c r="H297" s="144">
        <f t="shared" si="20"/>
        <v>13873.146392688092</v>
      </c>
      <c r="I297" s="145">
        <f t="shared" si="21"/>
        <v>667003.81878595613</v>
      </c>
    </row>
    <row r="298" spans="3:9">
      <c r="C298" s="40"/>
      <c r="D298" s="58">
        <v>282</v>
      </c>
      <c r="E298" s="144">
        <f t="shared" si="24"/>
        <v>667003.81878595613</v>
      </c>
      <c r="F298" s="144">
        <f t="shared" si="23"/>
        <v>17277.531218581313</v>
      </c>
      <c r="G298" s="144">
        <f t="shared" si="22"/>
        <v>3335.0190939297809</v>
      </c>
      <c r="H298" s="144">
        <f t="shared" si="20"/>
        <v>13942.512124651532</v>
      </c>
      <c r="I298" s="145">
        <f t="shared" si="21"/>
        <v>653061.30666130455</v>
      </c>
    </row>
    <row r="299" spans="3:9">
      <c r="C299" s="40"/>
      <c r="D299" s="58">
        <v>283</v>
      </c>
      <c r="E299" s="144">
        <f t="shared" si="24"/>
        <v>653061.30666130455</v>
      </c>
      <c r="F299" s="144">
        <f t="shared" si="23"/>
        <v>17277.531218581313</v>
      </c>
      <c r="G299" s="144">
        <f t="shared" si="22"/>
        <v>3265.3065333065229</v>
      </c>
      <c r="H299" s="144">
        <f t="shared" si="20"/>
        <v>14012.22468527479</v>
      </c>
      <c r="I299" s="145">
        <f t="shared" si="21"/>
        <v>639049.08197602979</v>
      </c>
    </row>
    <row r="300" spans="3:9">
      <c r="C300" s="40"/>
      <c r="D300" s="58">
        <v>284</v>
      </c>
      <c r="E300" s="144">
        <f t="shared" si="24"/>
        <v>639049.08197602979</v>
      </c>
      <c r="F300" s="144">
        <f t="shared" si="23"/>
        <v>17277.531218581313</v>
      </c>
      <c r="G300" s="144">
        <f t="shared" si="22"/>
        <v>3195.2454098801491</v>
      </c>
      <c r="H300" s="144">
        <f t="shared" si="20"/>
        <v>14082.285808701163</v>
      </c>
      <c r="I300" s="145">
        <f t="shared" si="21"/>
        <v>624966.7961673286</v>
      </c>
    </row>
    <row r="301" spans="3:9">
      <c r="C301" s="40"/>
      <c r="D301" s="58">
        <v>285</v>
      </c>
      <c r="E301" s="144">
        <f t="shared" si="24"/>
        <v>624966.7961673286</v>
      </c>
      <c r="F301" s="144">
        <f t="shared" si="23"/>
        <v>17277.531218581313</v>
      </c>
      <c r="G301" s="144">
        <f t="shared" si="22"/>
        <v>3124.8339808366431</v>
      </c>
      <c r="H301" s="144">
        <f t="shared" si="20"/>
        <v>14152.697237744669</v>
      </c>
      <c r="I301" s="145">
        <f t="shared" si="21"/>
        <v>610814.09892958391</v>
      </c>
    </row>
    <row r="302" spans="3:9">
      <c r="C302" s="40"/>
      <c r="D302" s="58">
        <v>286</v>
      </c>
      <c r="E302" s="144">
        <f t="shared" si="24"/>
        <v>610814.09892958391</v>
      </c>
      <c r="F302" s="144">
        <f t="shared" si="23"/>
        <v>17277.531218581313</v>
      </c>
      <c r="G302" s="144">
        <f t="shared" si="22"/>
        <v>3054.0704946479195</v>
      </c>
      <c r="H302" s="144">
        <f t="shared" si="20"/>
        <v>14223.460723933393</v>
      </c>
      <c r="I302" s="145">
        <f t="shared" si="21"/>
        <v>596590.6382056505</v>
      </c>
    </row>
    <row r="303" spans="3:9">
      <c r="C303" s="40"/>
      <c r="D303" s="58">
        <v>287</v>
      </c>
      <c r="E303" s="144">
        <f t="shared" si="24"/>
        <v>596590.6382056505</v>
      </c>
      <c r="F303" s="144">
        <f t="shared" si="23"/>
        <v>17277.531218581313</v>
      </c>
      <c r="G303" s="144">
        <f t="shared" si="22"/>
        <v>2982.9531910282526</v>
      </c>
      <c r="H303" s="144">
        <f t="shared" si="20"/>
        <v>14294.57802755306</v>
      </c>
      <c r="I303" s="145">
        <f t="shared" si="21"/>
        <v>582296.06017809745</v>
      </c>
    </row>
    <row r="304" spans="3:9">
      <c r="C304" s="46">
        <v>24</v>
      </c>
      <c r="D304" s="147">
        <v>288</v>
      </c>
      <c r="E304" s="144">
        <f t="shared" si="24"/>
        <v>582296.06017809745</v>
      </c>
      <c r="F304" s="144">
        <f t="shared" si="23"/>
        <v>17277.531218581313</v>
      </c>
      <c r="G304" s="144">
        <f t="shared" si="22"/>
        <v>2911.4803008904873</v>
      </c>
      <c r="H304" s="144">
        <f t="shared" si="20"/>
        <v>14366.050917690825</v>
      </c>
      <c r="I304" s="145">
        <f t="shared" si="21"/>
        <v>567930.0092604066</v>
      </c>
    </row>
    <row r="305" spans="3:9">
      <c r="C305" s="40"/>
      <c r="D305" s="58">
        <v>289</v>
      </c>
      <c r="E305" s="144">
        <f t="shared" si="24"/>
        <v>567930.0092604066</v>
      </c>
      <c r="F305" s="144">
        <f t="shared" si="23"/>
        <v>17277.531218581313</v>
      </c>
      <c r="G305" s="144">
        <f t="shared" si="22"/>
        <v>2839.6500463020329</v>
      </c>
      <c r="H305" s="144">
        <f t="shared" si="20"/>
        <v>14437.88117227928</v>
      </c>
      <c r="I305" s="145">
        <f t="shared" si="21"/>
        <v>553492.12808812736</v>
      </c>
    </row>
    <row r="306" spans="3:9">
      <c r="C306" s="40"/>
      <c r="D306" s="58">
        <v>290</v>
      </c>
      <c r="E306" s="144">
        <f t="shared" si="24"/>
        <v>553492.12808812736</v>
      </c>
      <c r="F306" s="144">
        <f t="shared" si="23"/>
        <v>17277.531218581313</v>
      </c>
      <c r="G306" s="144">
        <f t="shared" si="22"/>
        <v>2767.4606404406368</v>
      </c>
      <c r="H306" s="144">
        <f t="shared" si="20"/>
        <v>14510.070578140676</v>
      </c>
      <c r="I306" s="145">
        <f t="shared" si="21"/>
        <v>538982.05750998668</v>
      </c>
    </row>
    <row r="307" spans="3:9">
      <c r="C307" s="40"/>
      <c r="D307" s="58">
        <v>291</v>
      </c>
      <c r="E307" s="144">
        <f t="shared" si="24"/>
        <v>538982.05750998668</v>
      </c>
      <c r="F307" s="144">
        <f t="shared" si="23"/>
        <v>17277.531218581313</v>
      </c>
      <c r="G307" s="144">
        <f t="shared" si="22"/>
        <v>2694.9102875499334</v>
      </c>
      <c r="H307" s="144">
        <f t="shared" si="20"/>
        <v>14582.620931031379</v>
      </c>
      <c r="I307" s="145">
        <f t="shared" si="21"/>
        <v>524399.43657895527</v>
      </c>
    </row>
    <row r="308" spans="3:9">
      <c r="C308" s="40"/>
      <c r="D308" s="58">
        <v>292</v>
      </c>
      <c r="E308" s="144">
        <f t="shared" si="24"/>
        <v>524399.43657895527</v>
      </c>
      <c r="F308" s="144">
        <f t="shared" si="23"/>
        <v>17277.531218581313</v>
      </c>
      <c r="G308" s="144">
        <f t="shared" si="22"/>
        <v>2621.9971828947764</v>
      </c>
      <c r="H308" s="144">
        <f t="shared" si="20"/>
        <v>14655.534035686536</v>
      </c>
      <c r="I308" s="145">
        <f t="shared" si="21"/>
        <v>509743.90254326875</v>
      </c>
    </row>
    <row r="309" spans="3:9">
      <c r="C309" s="40"/>
      <c r="D309" s="58">
        <v>293</v>
      </c>
      <c r="E309" s="144">
        <f t="shared" si="24"/>
        <v>509743.90254326875</v>
      </c>
      <c r="F309" s="144">
        <f t="shared" si="23"/>
        <v>17277.531218581313</v>
      </c>
      <c r="G309" s="144">
        <f t="shared" si="22"/>
        <v>2548.7195127163436</v>
      </c>
      <c r="H309" s="144">
        <f t="shared" si="20"/>
        <v>14728.81170586497</v>
      </c>
      <c r="I309" s="145">
        <f t="shared" si="21"/>
        <v>495015.09083740378</v>
      </c>
    </row>
    <row r="310" spans="3:9">
      <c r="C310" s="40"/>
      <c r="D310" s="58">
        <v>294</v>
      </c>
      <c r="E310" s="144">
        <f t="shared" si="24"/>
        <v>495015.09083740378</v>
      </c>
      <c r="F310" s="144">
        <f t="shared" si="23"/>
        <v>17277.531218581313</v>
      </c>
      <c r="G310" s="144">
        <f t="shared" si="22"/>
        <v>2475.0754541870187</v>
      </c>
      <c r="H310" s="144">
        <f t="shared" si="20"/>
        <v>14802.455764394294</v>
      </c>
      <c r="I310" s="145">
        <f t="shared" si="21"/>
        <v>480212.63507300947</v>
      </c>
    </row>
    <row r="311" spans="3:9">
      <c r="C311" s="40"/>
      <c r="D311" s="58">
        <v>295</v>
      </c>
      <c r="E311" s="144">
        <f t="shared" si="24"/>
        <v>480212.63507300947</v>
      </c>
      <c r="F311" s="144">
        <f t="shared" si="23"/>
        <v>17277.531218581313</v>
      </c>
      <c r="G311" s="144">
        <f t="shared" si="22"/>
        <v>2401.0631753650473</v>
      </c>
      <c r="H311" s="144">
        <f t="shared" si="20"/>
        <v>14876.468043216266</v>
      </c>
      <c r="I311" s="145">
        <f t="shared" si="21"/>
        <v>465336.1670297932</v>
      </c>
    </row>
    <row r="312" spans="3:9">
      <c r="C312" s="40"/>
      <c r="D312" s="58">
        <v>296</v>
      </c>
      <c r="E312" s="144">
        <f t="shared" si="24"/>
        <v>465336.1670297932</v>
      </c>
      <c r="F312" s="144">
        <f t="shared" si="23"/>
        <v>17277.531218581313</v>
      </c>
      <c r="G312" s="144">
        <f t="shared" si="22"/>
        <v>2326.6808351489663</v>
      </c>
      <c r="H312" s="144">
        <f t="shared" si="20"/>
        <v>14950.850383432346</v>
      </c>
      <c r="I312" s="145">
        <f t="shared" si="21"/>
        <v>450385.31664636085</v>
      </c>
    </row>
    <row r="313" spans="3:9">
      <c r="C313" s="40"/>
      <c r="D313" s="58">
        <v>297</v>
      </c>
      <c r="E313" s="144">
        <f t="shared" si="24"/>
        <v>450385.31664636085</v>
      </c>
      <c r="F313" s="144">
        <f t="shared" si="23"/>
        <v>17277.531218581313</v>
      </c>
      <c r="G313" s="144">
        <f t="shared" si="22"/>
        <v>2251.9265832318042</v>
      </c>
      <c r="H313" s="144">
        <f t="shared" si="20"/>
        <v>15025.604635349508</v>
      </c>
      <c r="I313" s="145">
        <f t="shared" si="21"/>
        <v>435359.71201101132</v>
      </c>
    </row>
    <row r="314" spans="3:9">
      <c r="C314" s="40"/>
      <c r="D314" s="58">
        <v>298</v>
      </c>
      <c r="E314" s="144">
        <f t="shared" si="24"/>
        <v>435359.71201101132</v>
      </c>
      <c r="F314" s="144">
        <f t="shared" si="23"/>
        <v>17277.531218581313</v>
      </c>
      <c r="G314" s="144">
        <f t="shared" si="22"/>
        <v>2176.7985600550564</v>
      </c>
      <c r="H314" s="144">
        <f t="shared" si="20"/>
        <v>15100.732658526256</v>
      </c>
      <c r="I314" s="145">
        <f t="shared" si="21"/>
        <v>420258.97935248504</v>
      </c>
    </row>
    <row r="315" spans="3:9">
      <c r="C315" s="40"/>
      <c r="D315" s="58">
        <v>299</v>
      </c>
      <c r="E315" s="144">
        <f t="shared" si="24"/>
        <v>420258.97935248504</v>
      </c>
      <c r="F315" s="144">
        <f t="shared" si="23"/>
        <v>17277.531218581313</v>
      </c>
      <c r="G315" s="144">
        <f t="shared" si="22"/>
        <v>2101.2948967624252</v>
      </c>
      <c r="H315" s="144">
        <f t="shared" si="20"/>
        <v>15176.236321818888</v>
      </c>
      <c r="I315" s="145">
        <f t="shared" si="21"/>
        <v>405082.74303066614</v>
      </c>
    </row>
    <row r="316" spans="3:9">
      <c r="C316" s="46">
        <v>25</v>
      </c>
      <c r="D316" s="147">
        <v>300</v>
      </c>
      <c r="E316" s="144">
        <f t="shared" si="24"/>
        <v>405082.74303066614</v>
      </c>
      <c r="F316" s="144">
        <f t="shared" si="23"/>
        <v>17277.531218581313</v>
      </c>
      <c r="G316" s="144">
        <f t="shared" si="22"/>
        <v>2025.4137151533307</v>
      </c>
      <c r="H316" s="144">
        <f t="shared" si="20"/>
        <v>15252.117503427982</v>
      </c>
      <c r="I316" s="145">
        <f t="shared" si="21"/>
        <v>389830.62552723818</v>
      </c>
    </row>
    <row r="317" spans="3:9">
      <c r="C317" s="40"/>
      <c r="D317" s="58">
        <v>301</v>
      </c>
      <c r="E317" s="144">
        <f t="shared" si="24"/>
        <v>389830.62552723818</v>
      </c>
      <c r="F317" s="144">
        <f t="shared" si="23"/>
        <v>17277.531218581313</v>
      </c>
      <c r="G317" s="144">
        <f t="shared" si="22"/>
        <v>1949.1531276361909</v>
      </c>
      <c r="H317" s="144">
        <f t="shared" si="20"/>
        <v>15328.378090945122</v>
      </c>
      <c r="I317" s="145">
        <f t="shared" si="21"/>
        <v>374502.24743629305</v>
      </c>
    </row>
    <row r="318" spans="3:9">
      <c r="C318" s="40"/>
      <c r="D318" s="58">
        <v>302</v>
      </c>
      <c r="E318" s="144">
        <f t="shared" si="24"/>
        <v>374502.24743629305</v>
      </c>
      <c r="F318" s="144">
        <f t="shared" si="23"/>
        <v>17277.531218581313</v>
      </c>
      <c r="G318" s="144">
        <f t="shared" si="22"/>
        <v>1872.5112371814653</v>
      </c>
      <c r="H318" s="144">
        <f t="shared" si="20"/>
        <v>15405.019981399848</v>
      </c>
      <c r="I318" s="145">
        <f t="shared" si="21"/>
        <v>359097.22745489317</v>
      </c>
    </row>
    <row r="319" spans="3:9">
      <c r="C319" s="40"/>
      <c r="D319" s="58">
        <v>303</v>
      </c>
      <c r="E319" s="144">
        <f t="shared" si="24"/>
        <v>359097.22745489317</v>
      </c>
      <c r="F319" s="144">
        <f t="shared" si="23"/>
        <v>17277.531218581313</v>
      </c>
      <c r="G319" s="144">
        <f t="shared" si="22"/>
        <v>1795.4861372744658</v>
      </c>
      <c r="H319" s="144">
        <f t="shared" si="20"/>
        <v>15482.045081306847</v>
      </c>
      <c r="I319" s="145">
        <f t="shared" si="21"/>
        <v>343615.18237358634</v>
      </c>
    </row>
    <row r="320" spans="3:9">
      <c r="C320" s="40"/>
      <c r="D320" s="58">
        <v>304</v>
      </c>
      <c r="E320" s="144">
        <f t="shared" si="24"/>
        <v>343615.18237358634</v>
      </c>
      <c r="F320" s="144">
        <f t="shared" si="23"/>
        <v>17277.531218581313</v>
      </c>
      <c r="G320" s="144">
        <f t="shared" si="22"/>
        <v>1718.0759118679318</v>
      </c>
      <c r="H320" s="144">
        <f t="shared" si="20"/>
        <v>15559.45530671338</v>
      </c>
      <c r="I320" s="145">
        <f t="shared" si="21"/>
        <v>328055.72706687299</v>
      </c>
    </row>
    <row r="321" spans="3:9">
      <c r="C321" s="40"/>
      <c r="D321" s="58">
        <v>305</v>
      </c>
      <c r="E321" s="144">
        <f t="shared" si="24"/>
        <v>328055.72706687299</v>
      </c>
      <c r="F321" s="144">
        <f t="shared" si="23"/>
        <v>17277.531218581313</v>
      </c>
      <c r="G321" s="144">
        <f t="shared" si="22"/>
        <v>1640.2786353343649</v>
      </c>
      <c r="H321" s="144">
        <f t="shared" si="20"/>
        <v>15637.252583246947</v>
      </c>
      <c r="I321" s="145">
        <f t="shared" si="21"/>
        <v>312418.47448362602</v>
      </c>
    </row>
    <row r="322" spans="3:9">
      <c r="C322" s="40"/>
      <c r="D322" s="58">
        <v>306</v>
      </c>
      <c r="E322" s="144">
        <f t="shared" si="24"/>
        <v>312418.47448362602</v>
      </c>
      <c r="F322" s="144">
        <f t="shared" si="23"/>
        <v>17277.531218581313</v>
      </c>
      <c r="G322" s="144">
        <f t="shared" si="22"/>
        <v>1562.0923724181303</v>
      </c>
      <c r="H322" s="144">
        <f t="shared" si="20"/>
        <v>15715.438846163182</v>
      </c>
      <c r="I322" s="145">
        <f t="shared" si="21"/>
        <v>296703.03563746286</v>
      </c>
    </row>
    <row r="323" spans="3:9">
      <c r="C323" s="40"/>
      <c r="D323" s="58">
        <v>307</v>
      </c>
      <c r="E323" s="144">
        <f t="shared" si="24"/>
        <v>296703.03563746286</v>
      </c>
      <c r="F323" s="144">
        <f t="shared" si="23"/>
        <v>17277.531218581313</v>
      </c>
      <c r="G323" s="144">
        <f t="shared" si="22"/>
        <v>1483.5151781873144</v>
      </c>
      <c r="H323" s="144">
        <f t="shared" si="20"/>
        <v>15794.016040393999</v>
      </c>
      <c r="I323" s="145">
        <f t="shared" si="21"/>
        <v>280909.01959706884</v>
      </c>
    </row>
    <row r="324" spans="3:9">
      <c r="C324" s="40"/>
      <c r="D324" s="58">
        <v>308</v>
      </c>
      <c r="E324" s="144">
        <f t="shared" si="24"/>
        <v>280909.01959706884</v>
      </c>
      <c r="F324" s="144">
        <f t="shared" si="23"/>
        <v>17277.531218581313</v>
      </c>
      <c r="G324" s="144">
        <f t="shared" si="22"/>
        <v>1404.5450979853442</v>
      </c>
      <c r="H324" s="144">
        <f t="shared" si="20"/>
        <v>15872.986120595968</v>
      </c>
      <c r="I324" s="145">
        <f t="shared" si="21"/>
        <v>265036.03347647289</v>
      </c>
    </row>
    <row r="325" spans="3:9">
      <c r="C325" s="40"/>
      <c r="D325" s="58">
        <v>309</v>
      </c>
      <c r="E325" s="144">
        <f t="shared" si="24"/>
        <v>265036.03347647289</v>
      </c>
      <c r="F325" s="144">
        <f t="shared" si="23"/>
        <v>17277.531218581313</v>
      </c>
      <c r="G325" s="144">
        <f t="shared" si="22"/>
        <v>1325.1801673823645</v>
      </c>
      <c r="H325" s="144">
        <f t="shared" si="20"/>
        <v>15952.351051198948</v>
      </c>
      <c r="I325" s="145">
        <f t="shared" si="21"/>
        <v>249083.68242527393</v>
      </c>
    </row>
    <row r="326" spans="3:9">
      <c r="C326" s="40"/>
      <c r="D326" s="58">
        <v>310</v>
      </c>
      <c r="E326" s="144">
        <f t="shared" si="24"/>
        <v>249083.68242527393</v>
      </c>
      <c r="F326" s="144">
        <f t="shared" si="23"/>
        <v>17277.531218581313</v>
      </c>
      <c r="G326" s="144">
        <f t="shared" si="22"/>
        <v>1245.4184121263697</v>
      </c>
      <c r="H326" s="144">
        <f t="shared" si="20"/>
        <v>16032.112806454943</v>
      </c>
      <c r="I326" s="145">
        <f t="shared" si="21"/>
        <v>233051.56961881899</v>
      </c>
    </row>
    <row r="327" spans="3:9">
      <c r="C327" s="40"/>
      <c r="D327" s="58">
        <v>311</v>
      </c>
      <c r="E327" s="144">
        <f t="shared" si="24"/>
        <v>233051.56961881899</v>
      </c>
      <c r="F327" s="144">
        <f t="shared" si="23"/>
        <v>17277.531218581313</v>
      </c>
      <c r="G327" s="144">
        <f t="shared" si="22"/>
        <v>1165.2578480940949</v>
      </c>
      <c r="H327" s="144">
        <f t="shared" si="20"/>
        <v>16112.273370487217</v>
      </c>
      <c r="I327" s="145">
        <f t="shared" si="21"/>
        <v>216939.29624833178</v>
      </c>
    </row>
    <row r="328" spans="3:9">
      <c r="C328" s="46">
        <v>26</v>
      </c>
      <c r="D328" s="147">
        <v>312</v>
      </c>
      <c r="E328" s="144">
        <f t="shared" si="24"/>
        <v>216939.29624833178</v>
      </c>
      <c r="F328" s="144">
        <f t="shared" si="23"/>
        <v>17277.531218581313</v>
      </c>
      <c r="G328" s="144">
        <f t="shared" si="22"/>
        <v>1084.6964812416588</v>
      </c>
      <c r="H328" s="144">
        <f t="shared" si="20"/>
        <v>16192.834737339654</v>
      </c>
      <c r="I328" s="145">
        <f t="shared" si="21"/>
        <v>200746.46151099214</v>
      </c>
    </row>
    <row r="329" spans="3:9">
      <c r="C329" s="40"/>
      <c r="D329" s="58">
        <v>313</v>
      </c>
      <c r="E329" s="144">
        <f t="shared" si="24"/>
        <v>200746.46151099214</v>
      </c>
      <c r="F329" s="144">
        <f t="shared" si="23"/>
        <v>17277.531218581313</v>
      </c>
      <c r="G329" s="144">
        <f t="shared" si="22"/>
        <v>1003.7323075549607</v>
      </c>
      <c r="H329" s="144">
        <f t="shared" si="20"/>
        <v>16273.798911026352</v>
      </c>
      <c r="I329" s="145">
        <f t="shared" si="21"/>
        <v>184472.66259996578</v>
      </c>
    </row>
    <row r="330" spans="3:9">
      <c r="C330" s="40"/>
      <c r="D330" s="58">
        <v>314</v>
      </c>
      <c r="E330" s="144">
        <f t="shared" si="24"/>
        <v>184472.66259996578</v>
      </c>
      <c r="F330" s="144">
        <f t="shared" si="23"/>
        <v>17277.531218581313</v>
      </c>
      <c r="G330" s="144">
        <f t="shared" si="22"/>
        <v>922.36331299982896</v>
      </c>
      <c r="H330" s="144">
        <f t="shared" si="20"/>
        <v>16355.167905581484</v>
      </c>
      <c r="I330" s="145">
        <f t="shared" si="21"/>
        <v>168117.49469438431</v>
      </c>
    </row>
    <row r="331" spans="3:9">
      <c r="C331" s="40"/>
      <c r="D331" s="58">
        <v>315</v>
      </c>
      <c r="E331" s="144">
        <f t="shared" si="24"/>
        <v>168117.49469438431</v>
      </c>
      <c r="F331" s="144">
        <f t="shared" si="23"/>
        <v>17277.531218581313</v>
      </c>
      <c r="G331" s="144">
        <f t="shared" si="22"/>
        <v>840.58747347192161</v>
      </c>
      <c r="H331" s="144">
        <f t="shared" si="20"/>
        <v>16436.943745109391</v>
      </c>
      <c r="I331" s="145">
        <f t="shared" si="21"/>
        <v>151680.55094927491</v>
      </c>
    </row>
    <row r="332" spans="3:9">
      <c r="C332" s="40"/>
      <c r="D332" s="58">
        <v>316</v>
      </c>
      <c r="E332" s="144">
        <f t="shared" si="24"/>
        <v>151680.55094927491</v>
      </c>
      <c r="F332" s="144">
        <f t="shared" si="23"/>
        <v>17277.531218581313</v>
      </c>
      <c r="G332" s="144">
        <f t="shared" si="22"/>
        <v>758.40275474637463</v>
      </c>
      <c r="H332" s="144">
        <f t="shared" si="20"/>
        <v>16519.128463834939</v>
      </c>
      <c r="I332" s="145">
        <f t="shared" si="21"/>
        <v>135161.42248543998</v>
      </c>
    </row>
    <row r="333" spans="3:9">
      <c r="C333" s="40"/>
      <c r="D333" s="58">
        <v>317</v>
      </c>
      <c r="E333" s="144">
        <f t="shared" si="24"/>
        <v>135161.42248543998</v>
      </c>
      <c r="F333" s="144">
        <f t="shared" si="23"/>
        <v>17277.531218581313</v>
      </c>
      <c r="G333" s="144">
        <f t="shared" si="22"/>
        <v>675.80711242719997</v>
      </c>
      <c r="H333" s="144">
        <f t="shared" si="20"/>
        <v>16601.724106154114</v>
      </c>
      <c r="I333" s="145">
        <f t="shared" si="21"/>
        <v>118559.69837928587</v>
      </c>
    </row>
    <row r="334" spans="3:9">
      <c r="C334" s="40"/>
      <c r="D334" s="58">
        <v>318</v>
      </c>
      <c r="E334" s="144">
        <f t="shared" si="24"/>
        <v>118559.69837928587</v>
      </c>
      <c r="F334" s="144">
        <f t="shared" si="23"/>
        <v>17277.531218581313</v>
      </c>
      <c r="G334" s="144">
        <f t="shared" si="22"/>
        <v>592.79849189642937</v>
      </c>
      <c r="H334" s="144">
        <f t="shared" si="20"/>
        <v>16684.732726684884</v>
      </c>
      <c r="I334" s="145">
        <f t="shared" si="21"/>
        <v>101874.96565260098</v>
      </c>
    </row>
    <row r="335" spans="3:9">
      <c r="C335" s="40"/>
      <c r="D335" s="58">
        <v>319</v>
      </c>
      <c r="E335" s="144">
        <f t="shared" si="24"/>
        <v>101874.96565260098</v>
      </c>
      <c r="F335" s="144">
        <f t="shared" si="23"/>
        <v>17277.531218581313</v>
      </c>
      <c r="G335" s="144">
        <f t="shared" si="22"/>
        <v>509.37482826300493</v>
      </c>
      <c r="H335" s="144">
        <f t="shared" si="20"/>
        <v>16768.156390318309</v>
      </c>
      <c r="I335" s="145">
        <f t="shared" si="21"/>
        <v>85106.809262282666</v>
      </c>
    </row>
    <row r="336" spans="3:9">
      <c r="C336" s="40"/>
      <c r="D336" s="58">
        <v>320</v>
      </c>
      <c r="E336" s="144">
        <f t="shared" si="24"/>
        <v>85106.809262282666</v>
      </c>
      <c r="F336" s="144">
        <f t="shared" si="23"/>
        <v>17277.531218581313</v>
      </c>
      <c r="G336" s="144">
        <f t="shared" si="22"/>
        <v>425.53404631141336</v>
      </c>
      <c r="H336" s="144">
        <f t="shared" si="20"/>
        <v>16851.997172269901</v>
      </c>
      <c r="I336" s="145">
        <f t="shared" si="21"/>
        <v>68254.812090012769</v>
      </c>
    </row>
    <row r="337" spans="3:9">
      <c r="C337" s="40"/>
      <c r="D337" s="58">
        <v>321</v>
      </c>
      <c r="E337" s="144">
        <f t="shared" si="24"/>
        <v>68254.812090012769</v>
      </c>
      <c r="F337" s="144">
        <f t="shared" si="23"/>
        <v>17277.531218581313</v>
      </c>
      <c r="G337" s="144">
        <f t="shared" si="22"/>
        <v>341.27406045006387</v>
      </c>
      <c r="H337" s="144">
        <f t="shared" ref="H337:H376" si="25">F337-G337</f>
        <v>16936.257158131248</v>
      </c>
      <c r="I337" s="145">
        <f t="shared" ref="I337:I376" si="26">E337-H337</f>
        <v>51318.554931881517</v>
      </c>
    </row>
    <row r="338" spans="3:9">
      <c r="C338" s="40"/>
      <c r="D338" s="58">
        <v>322</v>
      </c>
      <c r="E338" s="144">
        <f t="shared" si="24"/>
        <v>51318.554931881517</v>
      </c>
      <c r="F338" s="144">
        <f t="shared" si="23"/>
        <v>17277.531218581313</v>
      </c>
      <c r="G338" s="144">
        <f t="shared" ref="G338:G376" si="27">IF(D338&gt;$D$10,0,($D$6/12)*I337)</f>
        <v>256.59277465940761</v>
      </c>
      <c r="H338" s="144">
        <f t="shared" si="25"/>
        <v>17020.938443921907</v>
      </c>
      <c r="I338" s="145">
        <f t="shared" si="26"/>
        <v>34297.616487959611</v>
      </c>
    </row>
    <row r="339" spans="3:9">
      <c r="C339" s="40"/>
      <c r="D339" s="58">
        <v>323</v>
      </c>
      <c r="E339" s="144">
        <f t="shared" si="24"/>
        <v>34297.616487959611</v>
      </c>
      <c r="F339" s="144">
        <f t="shared" si="23"/>
        <v>17277.531218581313</v>
      </c>
      <c r="G339" s="144">
        <f t="shared" si="27"/>
        <v>171.48808243979806</v>
      </c>
      <c r="H339" s="144">
        <f t="shared" si="25"/>
        <v>17106.043136141514</v>
      </c>
      <c r="I339" s="145">
        <f t="shared" si="26"/>
        <v>17191.573351818097</v>
      </c>
    </row>
    <row r="340" spans="3:9">
      <c r="C340" s="46">
        <v>27</v>
      </c>
      <c r="D340" s="147">
        <v>324</v>
      </c>
      <c r="E340" s="144">
        <f t="shared" si="24"/>
        <v>17191.573351818097</v>
      </c>
      <c r="F340" s="144">
        <f t="shared" si="23"/>
        <v>17277.531218581313</v>
      </c>
      <c r="G340" s="144">
        <f t="shared" si="27"/>
        <v>85.957866759090493</v>
      </c>
      <c r="H340" s="144">
        <f t="shared" si="25"/>
        <v>17191.573351822222</v>
      </c>
      <c r="I340" s="145">
        <f t="shared" si="26"/>
        <v>-4.1254679672420025E-9</v>
      </c>
    </row>
    <row r="341" spans="3:9">
      <c r="C341" s="40"/>
      <c r="D341" s="58">
        <v>325</v>
      </c>
      <c r="E341" s="144">
        <f t="shared" si="24"/>
        <v>0</v>
      </c>
      <c r="F341" s="144">
        <f t="shared" ref="F341:F376" si="28">IF(D341&gt;$D$10,0,IF(D341&lt;=$D$8,G341,-PMT($D$6/12,$D$9,$D$5,0,0)))</f>
        <v>0</v>
      </c>
      <c r="G341" s="144">
        <f t="shared" si="27"/>
        <v>0</v>
      </c>
      <c r="H341" s="144">
        <f t="shared" si="25"/>
        <v>0</v>
      </c>
      <c r="I341" s="145">
        <f t="shared" si="26"/>
        <v>0</v>
      </c>
    </row>
    <row r="342" spans="3:9">
      <c r="C342" s="40"/>
      <c r="D342" s="58">
        <v>326</v>
      </c>
      <c r="E342" s="144">
        <f t="shared" ref="E342:E376" si="29">IF(D342&gt;$D$10,0,I341)</f>
        <v>0</v>
      </c>
      <c r="F342" s="144">
        <f t="shared" si="28"/>
        <v>0</v>
      </c>
      <c r="G342" s="144">
        <f t="shared" si="27"/>
        <v>0</v>
      </c>
      <c r="H342" s="144">
        <f t="shared" si="25"/>
        <v>0</v>
      </c>
      <c r="I342" s="145">
        <f t="shared" si="26"/>
        <v>0</v>
      </c>
    </row>
    <row r="343" spans="3:9">
      <c r="C343" s="40"/>
      <c r="D343" s="58">
        <v>327</v>
      </c>
      <c r="E343" s="144">
        <f t="shared" si="29"/>
        <v>0</v>
      </c>
      <c r="F343" s="144">
        <f t="shared" si="28"/>
        <v>0</v>
      </c>
      <c r="G343" s="144">
        <f t="shared" si="27"/>
        <v>0</v>
      </c>
      <c r="H343" s="144">
        <f t="shared" si="25"/>
        <v>0</v>
      </c>
      <c r="I343" s="145">
        <f t="shared" si="26"/>
        <v>0</v>
      </c>
    </row>
    <row r="344" spans="3:9">
      <c r="C344" s="40"/>
      <c r="D344" s="58">
        <v>328</v>
      </c>
      <c r="E344" s="144">
        <f t="shared" si="29"/>
        <v>0</v>
      </c>
      <c r="F344" s="144">
        <f t="shared" si="28"/>
        <v>0</v>
      </c>
      <c r="G344" s="144">
        <f t="shared" si="27"/>
        <v>0</v>
      </c>
      <c r="H344" s="144">
        <f t="shared" si="25"/>
        <v>0</v>
      </c>
      <c r="I344" s="145">
        <f t="shared" si="26"/>
        <v>0</v>
      </c>
    </row>
    <row r="345" spans="3:9">
      <c r="C345" s="40"/>
      <c r="D345" s="58">
        <v>329</v>
      </c>
      <c r="E345" s="144">
        <f t="shared" si="29"/>
        <v>0</v>
      </c>
      <c r="F345" s="144">
        <f t="shared" si="28"/>
        <v>0</v>
      </c>
      <c r="G345" s="144">
        <f t="shared" si="27"/>
        <v>0</v>
      </c>
      <c r="H345" s="144">
        <f t="shared" si="25"/>
        <v>0</v>
      </c>
      <c r="I345" s="145">
        <f t="shared" si="26"/>
        <v>0</v>
      </c>
    </row>
    <row r="346" spans="3:9">
      <c r="C346" s="40"/>
      <c r="D346" s="58">
        <v>330</v>
      </c>
      <c r="E346" s="144">
        <f t="shared" si="29"/>
        <v>0</v>
      </c>
      <c r="F346" s="144">
        <f t="shared" si="28"/>
        <v>0</v>
      </c>
      <c r="G346" s="144">
        <f t="shared" si="27"/>
        <v>0</v>
      </c>
      <c r="H346" s="144">
        <f t="shared" si="25"/>
        <v>0</v>
      </c>
      <c r="I346" s="145">
        <f t="shared" si="26"/>
        <v>0</v>
      </c>
    </row>
    <row r="347" spans="3:9">
      <c r="C347" s="40"/>
      <c r="D347" s="58">
        <v>331</v>
      </c>
      <c r="E347" s="144">
        <f t="shared" si="29"/>
        <v>0</v>
      </c>
      <c r="F347" s="144">
        <f t="shared" si="28"/>
        <v>0</v>
      </c>
      <c r="G347" s="144">
        <f t="shared" si="27"/>
        <v>0</v>
      </c>
      <c r="H347" s="144">
        <f t="shared" si="25"/>
        <v>0</v>
      </c>
      <c r="I347" s="145">
        <f t="shared" si="26"/>
        <v>0</v>
      </c>
    </row>
    <row r="348" spans="3:9">
      <c r="C348" s="40"/>
      <c r="D348" s="58">
        <v>332</v>
      </c>
      <c r="E348" s="144">
        <f t="shared" si="29"/>
        <v>0</v>
      </c>
      <c r="F348" s="144">
        <f t="shared" si="28"/>
        <v>0</v>
      </c>
      <c r="G348" s="144">
        <f t="shared" si="27"/>
        <v>0</v>
      </c>
      <c r="H348" s="144">
        <f t="shared" si="25"/>
        <v>0</v>
      </c>
      <c r="I348" s="145">
        <f t="shared" si="26"/>
        <v>0</v>
      </c>
    </row>
    <row r="349" spans="3:9">
      <c r="C349" s="40"/>
      <c r="D349" s="58">
        <v>333</v>
      </c>
      <c r="E349" s="144">
        <f t="shared" si="29"/>
        <v>0</v>
      </c>
      <c r="F349" s="144">
        <f t="shared" si="28"/>
        <v>0</v>
      </c>
      <c r="G349" s="144">
        <f t="shared" si="27"/>
        <v>0</v>
      </c>
      <c r="H349" s="144">
        <f t="shared" si="25"/>
        <v>0</v>
      </c>
      <c r="I349" s="145">
        <f t="shared" si="26"/>
        <v>0</v>
      </c>
    </row>
    <row r="350" spans="3:9">
      <c r="C350" s="40"/>
      <c r="D350" s="58">
        <v>334</v>
      </c>
      <c r="E350" s="144">
        <f t="shared" si="29"/>
        <v>0</v>
      </c>
      <c r="F350" s="144">
        <f t="shared" si="28"/>
        <v>0</v>
      </c>
      <c r="G350" s="144">
        <f t="shared" si="27"/>
        <v>0</v>
      </c>
      <c r="H350" s="144">
        <f t="shared" si="25"/>
        <v>0</v>
      </c>
      <c r="I350" s="145">
        <f t="shared" si="26"/>
        <v>0</v>
      </c>
    </row>
    <row r="351" spans="3:9">
      <c r="C351" s="40"/>
      <c r="D351" s="58">
        <v>335</v>
      </c>
      <c r="E351" s="144">
        <f t="shared" si="29"/>
        <v>0</v>
      </c>
      <c r="F351" s="144">
        <f t="shared" si="28"/>
        <v>0</v>
      </c>
      <c r="G351" s="144">
        <f t="shared" si="27"/>
        <v>0</v>
      </c>
      <c r="H351" s="144">
        <f t="shared" si="25"/>
        <v>0</v>
      </c>
      <c r="I351" s="145">
        <f t="shared" si="26"/>
        <v>0</v>
      </c>
    </row>
    <row r="352" spans="3:9">
      <c r="C352" s="46">
        <v>28</v>
      </c>
      <c r="D352" s="147">
        <v>336</v>
      </c>
      <c r="E352" s="144">
        <f t="shared" si="29"/>
        <v>0</v>
      </c>
      <c r="F352" s="144">
        <f t="shared" si="28"/>
        <v>0</v>
      </c>
      <c r="G352" s="144">
        <f t="shared" si="27"/>
        <v>0</v>
      </c>
      <c r="H352" s="144">
        <f t="shared" si="25"/>
        <v>0</v>
      </c>
      <c r="I352" s="145">
        <f t="shared" si="26"/>
        <v>0</v>
      </c>
    </row>
    <row r="353" spans="3:9">
      <c r="C353" s="40"/>
      <c r="D353" s="58">
        <v>337</v>
      </c>
      <c r="E353" s="144">
        <f t="shared" si="29"/>
        <v>0</v>
      </c>
      <c r="F353" s="144">
        <f t="shared" si="28"/>
        <v>0</v>
      </c>
      <c r="G353" s="144">
        <f t="shared" si="27"/>
        <v>0</v>
      </c>
      <c r="H353" s="144">
        <f t="shared" si="25"/>
        <v>0</v>
      </c>
      <c r="I353" s="145">
        <f t="shared" si="26"/>
        <v>0</v>
      </c>
    </row>
    <row r="354" spans="3:9">
      <c r="C354" s="40"/>
      <c r="D354" s="58">
        <v>338</v>
      </c>
      <c r="E354" s="144">
        <f t="shared" si="29"/>
        <v>0</v>
      </c>
      <c r="F354" s="144">
        <f t="shared" si="28"/>
        <v>0</v>
      </c>
      <c r="G354" s="144">
        <f t="shared" si="27"/>
        <v>0</v>
      </c>
      <c r="H354" s="144">
        <f t="shared" si="25"/>
        <v>0</v>
      </c>
      <c r="I354" s="145">
        <f t="shared" si="26"/>
        <v>0</v>
      </c>
    </row>
    <row r="355" spans="3:9">
      <c r="C355" s="40"/>
      <c r="D355" s="58">
        <v>339</v>
      </c>
      <c r="E355" s="144">
        <f t="shared" si="29"/>
        <v>0</v>
      </c>
      <c r="F355" s="144">
        <f t="shared" si="28"/>
        <v>0</v>
      </c>
      <c r="G355" s="144">
        <f t="shared" si="27"/>
        <v>0</v>
      </c>
      <c r="H355" s="144">
        <f t="shared" si="25"/>
        <v>0</v>
      </c>
      <c r="I355" s="145">
        <f t="shared" si="26"/>
        <v>0</v>
      </c>
    </row>
    <row r="356" spans="3:9">
      <c r="C356" s="40"/>
      <c r="D356" s="58">
        <v>340</v>
      </c>
      <c r="E356" s="144">
        <f t="shared" si="29"/>
        <v>0</v>
      </c>
      <c r="F356" s="144">
        <f t="shared" si="28"/>
        <v>0</v>
      </c>
      <c r="G356" s="144">
        <f t="shared" si="27"/>
        <v>0</v>
      </c>
      <c r="H356" s="144">
        <f t="shared" si="25"/>
        <v>0</v>
      </c>
      <c r="I356" s="145">
        <f t="shared" si="26"/>
        <v>0</v>
      </c>
    </row>
    <row r="357" spans="3:9">
      <c r="C357" s="40"/>
      <c r="D357" s="58">
        <v>341</v>
      </c>
      <c r="E357" s="144">
        <f t="shared" si="29"/>
        <v>0</v>
      </c>
      <c r="F357" s="144">
        <f t="shared" si="28"/>
        <v>0</v>
      </c>
      <c r="G357" s="144">
        <f t="shared" si="27"/>
        <v>0</v>
      </c>
      <c r="H357" s="144">
        <f t="shared" si="25"/>
        <v>0</v>
      </c>
      <c r="I357" s="145">
        <f t="shared" si="26"/>
        <v>0</v>
      </c>
    </row>
    <row r="358" spans="3:9">
      <c r="C358" s="40"/>
      <c r="D358" s="58">
        <v>342</v>
      </c>
      <c r="E358" s="144">
        <f t="shared" si="29"/>
        <v>0</v>
      </c>
      <c r="F358" s="144">
        <f t="shared" si="28"/>
        <v>0</v>
      </c>
      <c r="G358" s="144">
        <f t="shared" si="27"/>
        <v>0</v>
      </c>
      <c r="H358" s="144">
        <f t="shared" si="25"/>
        <v>0</v>
      </c>
      <c r="I358" s="145">
        <f t="shared" si="26"/>
        <v>0</v>
      </c>
    </row>
    <row r="359" spans="3:9">
      <c r="C359" s="40"/>
      <c r="D359" s="58">
        <v>343</v>
      </c>
      <c r="E359" s="144">
        <f t="shared" si="29"/>
        <v>0</v>
      </c>
      <c r="F359" s="144">
        <f t="shared" si="28"/>
        <v>0</v>
      </c>
      <c r="G359" s="144">
        <f t="shared" si="27"/>
        <v>0</v>
      </c>
      <c r="H359" s="144">
        <f t="shared" si="25"/>
        <v>0</v>
      </c>
      <c r="I359" s="145">
        <f t="shared" si="26"/>
        <v>0</v>
      </c>
    </row>
    <row r="360" spans="3:9">
      <c r="C360" s="40"/>
      <c r="D360" s="58">
        <v>344</v>
      </c>
      <c r="E360" s="144">
        <f t="shared" si="29"/>
        <v>0</v>
      </c>
      <c r="F360" s="144">
        <f t="shared" si="28"/>
        <v>0</v>
      </c>
      <c r="G360" s="144">
        <f t="shared" si="27"/>
        <v>0</v>
      </c>
      <c r="H360" s="144">
        <f t="shared" si="25"/>
        <v>0</v>
      </c>
      <c r="I360" s="145">
        <f t="shared" si="26"/>
        <v>0</v>
      </c>
    </row>
    <row r="361" spans="3:9">
      <c r="C361" s="40"/>
      <c r="D361" s="58">
        <v>345</v>
      </c>
      <c r="E361" s="144">
        <f t="shared" si="29"/>
        <v>0</v>
      </c>
      <c r="F361" s="144">
        <f t="shared" si="28"/>
        <v>0</v>
      </c>
      <c r="G361" s="144">
        <f t="shared" si="27"/>
        <v>0</v>
      </c>
      <c r="H361" s="144">
        <f t="shared" si="25"/>
        <v>0</v>
      </c>
      <c r="I361" s="145">
        <f t="shared" si="26"/>
        <v>0</v>
      </c>
    </row>
    <row r="362" spans="3:9">
      <c r="C362" s="40"/>
      <c r="D362" s="58">
        <v>346</v>
      </c>
      <c r="E362" s="144">
        <f t="shared" si="29"/>
        <v>0</v>
      </c>
      <c r="F362" s="144">
        <f t="shared" si="28"/>
        <v>0</v>
      </c>
      <c r="G362" s="144">
        <f t="shared" si="27"/>
        <v>0</v>
      </c>
      <c r="H362" s="144">
        <f t="shared" si="25"/>
        <v>0</v>
      </c>
      <c r="I362" s="145">
        <f t="shared" si="26"/>
        <v>0</v>
      </c>
    </row>
    <row r="363" spans="3:9">
      <c r="C363" s="40"/>
      <c r="D363" s="58">
        <v>347</v>
      </c>
      <c r="E363" s="144">
        <f t="shared" si="29"/>
        <v>0</v>
      </c>
      <c r="F363" s="144">
        <f t="shared" si="28"/>
        <v>0</v>
      </c>
      <c r="G363" s="144">
        <f t="shared" si="27"/>
        <v>0</v>
      </c>
      <c r="H363" s="144">
        <f t="shared" si="25"/>
        <v>0</v>
      </c>
      <c r="I363" s="145">
        <f t="shared" si="26"/>
        <v>0</v>
      </c>
    </row>
    <row r="364" spans="3:9">
      <c r="C364" s="46">
        <v>29</v>
      </c>
      <c r="D364" s="147">
        <v>348</v>
      </c>
      <c r="E364" s="144">
        <f t="shared" si="29"/>
        <v>0</v>
      </c>
      <c r="F364" s="144">
        <f t="shared" si="28"/>
        <v>0</v>
      </c>
      <c r="G364" s="144">
        <f t="shared" si="27"/>
        <v>0</v>
      </c>
      <c r="H364" s="144">
        <f t="shared" si="25"/>
        <v>0</v>
      </c>
      <c r="I364" s="145">
        <f t="shared" si="26"/>
        <v>0</v>
      </c>
    </row>
    <row r="365" spans="3:9">
      <c r="C365" s="40"/>
      <c r="D365" s="58">
        <v>349</v>
      </c>
      <c r="E365" s="144">
        <f t="shared" si="29"/>
        <v>0</v>
      </c>
      <c r="F365" s="144">
        <f t="shared" si="28"/>
        <v>0</v>
      </c>
      <c r="G365" s="144">
        <f t="shared" si="27"/>
        <v>0</v>
      </c>
      <c r="H365" s="144">
        <f t="shared" si="25"/>
        <v>0</v>
      </c>
      <c r="I365" s="145">
        <f t="shared" si="26"/>
        <v>0</v>
      </c>
    </row>
    <row r="366" spans="3:9">
      <c r="C366" s="40"/>
      <c r="D366" s="58">
        <v>350</v>
      </c>
      <c r="E366" s="144">
        <f t="shared" si="29"/>
        <v>0</v>
      </c>
      <c r="F366" s="144">
        <f t="shared" si="28"/>
        <v>0</v>
      </c>
      <c r="G366" s="144">
        <f t="shared" si="27"/>
        <v>0</v>
      </c>
      <c r="H366" s="144">
        <f t="shared" si="25"/>
        <v>0</v>
      </c>
      <c r="I366" s="145">
        <f t="shared" si="26"/>
        <v>0</v>
      </c>
    </row>
    <row r="367" spans="3:9">
      <c r="C367" s="40"/>
      <c r="D367" s="58">
        <v>351</v>
      </c>
      <c r="E367" s="144">
        <f t="shared" si="29"/>
        <v>0</v>
      </c>
      <c r="F367" s="144">
        <f t="shared" si="28"/>
        <v>0</v>
      </c>
      <c r="G367" s="144">
        <f t="shared" si="27"/>
        <v>0</v>
      </c>
      <c r="H367" s="144">
        <f t="shared" si="25"/>
        <v>0</v>
      </c>
      <c r="I367" s="145">
        <f t="shared" si="26"/>
        <v>0</v>
      </c>
    </row>
    <row r="368" spans="3:9">
      <c r="C368" s="40"/>
      <c r="D368" s="58">
        <v>352</v>
      </c>
      <c r="E368" s="144">
        <f t="shared" si="29"/>
        <v>0</v>
      </c>
      <c r="F368" s="144">
        <f t="shared" si="28"/>
        <v>0</v>
      </c>
      <c r="G368" s="144">
        <f t="shared" si="27"/>
        <v>0</v>
      </c>
      <c r="H368" s="144">
        <f t="shared" si="25"/>
        <v>0</v>
      </c>
      <c r="I368" s="145">
        <f t="shared" si="26"/>
        <v>0</v>
      </c>
    </row>
    <row r="369" spans="3:9">
      <c r="C369" s="40"/>
      <c r="D369" s="58">
        <v>353</v>
      </c>
      <c r="E369" s="144">
        <f t="shared" si="29"/>
        <v>0</v>
      </c>
      <c r="F369" s="144">
        <f t="shared" si="28"/>
        <v>0</v>
      </c>
      <c r="G369" s="144">
        <f t="shared" si="27"/>
        <v>0</v>
      </c>
      <c r="H369" s="144">
        <f t="shared" si="25"/>
        <v>0</v>
      </c>
      <c r="I369" s="145">
        <f t="shared" si="26"/>
        <v>0</v>
      </c>
    </row>
    <row r="370" spans="3:9">
      <c r="C370" s="40"/>
      <c r="D370" s="58">
        <v>354</v>
      </c>
      <c r="E370" s="144">
        <f t="shared" si="29"/>
        <v>0</v>
      </c>
      <c r="F370" s="144">
        <f t="shared" si="28"/>
        <v>0</v>
      </c>
      <c r="G370" s="144">
        <f t="shared" si="27"/>
        <v>0</v>
      </c>
      <c r="H370" s="144">
        <f t="shared" si="25"/>
        <v>0</v>
      </c>
      <c r="I370" s="145">
        <f t="shared" si="26"/>
        <v>0</v>
      </c>
    </row>
    <row r="371" spans="3:9">
      <c r="C371" s="40"/>
      <c r="D371" s="58">
        <v>355</v>
      </c>
      <c r="E371" s="144">
        <f t="shared" si="29"/>
        <v>0</v>
      </c>
      <c r="F371" s="144">
        <f t="shared" si="28"/>
        <v>0</v>
      </c>
      <c r="G371" s="144">
        <f t="shared" si="27"/>
        <v>0</v>
      </c>
      <c r="H371" s="144">
        <f t="shared" si="25"/>
        <v>0</v>
      </c>
      <c r="I371" s="145">
        <f t="shared" si="26"/>
        <v>0</v>
      </c>
    </row>
    <row r="372" spans="3:9">
      <c r="C372" s="40"/>
      <c r="D372" s="58">
        <v>356</v>
      </c>
      <c r="E372" s="144">
        <f t="shared" si="29"/>
        <v>0</v>
      </c>
      <c r="F372" s="144">
        <f t="shared" si="28"/>
        <v>0</v>
      </c>
      <c r="G372" s="144">
        <f t="shared" si="27"/>
        <v>0</v>
      </c>
      <c r="H372" s="144">
        <f t="shared" si="25"/>
        <v>0</v>
      </c>
      <c r="I372" s="145">
        <f t="shared" si="26"/>
        <v>0</v>
      </c>
    </row>
    <row r="373" spans="3:9">
      <c r="C373" s="40"/>
      <c r="D373" s="58">
        <v>357</v>
      </c>
      <c r="E373" s="144">
        <f t="shared" si="29"/>
        <v>0</v>
      </c>
      <c r="F373" s="144">
        <f t="shared" si="28"/>
        <v>0</v>
      </c>
      <c r="G373" s="144">
        <f t="shared" si="27"/>
        <v>0</v>
      </c>
      <c r="H373" s="144">
        <f t="shared" si="25"/>
        <v>0</v>
      </c>
      <c r="I373" s="145">
        <f t="shared" si="26"/>
        <v>0</v>
      </c>
    </row>
    <row r="374" spans="3:9">
      <c r="C374" s="40"/>
      <c r="D374" s="58">
        <v>358</v>
      </c>
      <c r="E374" s="144">
        <f t="shared" si="29"/>
        <v>0</v>
      </c>
      <c r="F374" s="144">
        <f t="shared" si="28"/>
        <v>0</v>
      </c>
      <c r="G374" s="144">
        <f t="shared" si="27"/>
        <v>0</v>
      </c>
      <c r="H374" s="144">
        <f t="shared" si="25"/>
        <v>0</v>
      </c>
      <c r="I374" s="145">
        <f t="shared" si="26"/>
        <v>0</v>
      </c>
    </row>
    <row r="375" spans="3:9">
      <c r="C375" s="40"/>
      <c r="D375" s="58">
        <v>359</v>
      </c>
      <c r="E375" s="144">
        <f t="shared" si="29"/>
        <v>0</v>
      </c>
      <c r="F375" s="144">
        <f t="shared" si="28"/>
        <v>0</v>
      </c>
      <c r="G375" s="144">
        <f t="shared" si="27"/>
        <v>0</v>
      </c>
      <c r="H375" s="144">
        <f t="shared" si="25"/>
        <v>0</v>
      </c>
      <c r="I375" s="145">
        <f t="shared" si="26"/>
        <v>0</v>
      </c>
    </row>
    <row r="376" spans="3:9" ht="16" thickBot="1">
      <c r="C376" s="149">
        <v>30</v>
      </c>
      <c r="D376" s="150">
        <v>360</v>
      </c>
      <c r="E376" s="151">
        <f t="shared" si="29"/>
        <v>0</v>
      </c>
      <c r="F376" s="151">
        <f t="shared" si="28"/>
        <v>0</v>
      </c>
      <c r="G376" s="151">
        <f t="shared" si="27"/>
        <v>0</v>
      </c>
      <c r="H376" s="151">
        <f t="shared" si="25"/>
        <v>0</v>
      </c>
      <c r="I376" s="152">
        <f t="shared" si="26"/>
        <v>0</v>
      </c>
    </row>
  </sheetData>
  <sheetProtection sheet="1" objects="1" scenarios="1" formatCells="0" sort="0" autoFilter="0" pivotTables="0"/>
  <mergeCells count="2">
    <mergeCell ref="C4:D4"/>
    <mergeCell ref="E14:G1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Deal Summary</vt:lpstr>
      <vt:lpstr>Costs</vt:lpstr>
      <vt:lpstr>Proforma</vt:lpstr>
      <vt:lpstr>Rent Roll</vt:lpstr>
      <vt:lpstr>IRR </vt:lpstr>
      <vt:lpstr>Financing</vt:lpstr>
      <vt:lpstr>Tax Credits</vt:lpstr>
      <vt:lpstr>Dealpath Outputs</vt:lpstr>
      <vt:lpstr>Financing (3 Refi)</vt:lpstr>
      <vt:lpstr>'Deal Summary'!Print_Area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Rufus Hardison</dc:creator>
  <cp:keywords/>
  <dc:description/>
  <cp:lastModifiedBy>Rufus Hardison</cp:lastModifiedBy>
  <cp:lastPrinted>2025-12-01T14:38:13Z</cp:lastPrinted>
  <dcterms:created xsi:type="dcterms:W3CDTF">2025-06-09T15:44:31Z</dcterms:created>
  <dcterms:modified xsi:type="dcterms:W3CDTF">2026-03-17T18:33:39Z</dcterms:modified>
  <cp:category/>
</cp:coreProperties>
</file>
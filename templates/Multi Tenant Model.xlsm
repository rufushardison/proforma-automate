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08" codeName="{643B0D74-A683-FBA9-23B4-8A0AA6E0B6B9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rufushardison/Downloads/"/>
    </mc:Choice>
  </mc:AlternateContent>
  <xr:revisionPtr revIDLastSave="0" documentId="13_ncr:1_{7FCD346C-DBC4-3446-9BFA-7FE841DD2A92}" xr6:coauthVersionLast="47" xr6:coauthVersionMax="47" xr10:uidLastSave="{00000000-0000-0000-0000-000000000000}"/>
  <bookViews>
    <workbookView xWindow="0" yWindow="780" windowWidth="28800" windowHeight="15460" activeTab="1" xr2:uid="{D2ADD33F-BD0C-49ED-9B2F-2FF15BFFEEE0}"/>
  </bookViews>
  <sheets>
    <sheet name="Deal Summary" sheetId="2" r:id="rId1"/>
    <sheet name="Costs" sheetId="7" r:id="rId2"/>
    <sheet name="Proforma" sheetId="3" r:id="rId3"/>
    <sheet name="Rent Roll" sheetId="8" r:id="rId4"/>
    <sheet name="IRR " sheetId="4" r:id="rId5"/>
    <sheet name="Financing" sheetId="5" r:id="rId6"/>
    <sheet name="Tax Credits" sheetId="9" r:id="rId7"/>
    <sheet name="Dealpath Outputs" sheetId="10" r:id="rId8"/>
    <sheet name="Financing (3 Refi)" sheetId="6" state="hidden" r:id="rId9"/>
  </sheets>
  <definedNames>
    <definedName name="_xleta.IF" hidden="1" xlm="1">#NAME?</definedName>
    <definedName name="_xleta.MIN" hidden="1" xlm="1">#NAME?</definedName>
    <definedName name="_xleta.YEAR" hidden="1" xlm="1">#NAME?</definedName>
    <definedName name="_xlpm.base" hidden="1" xlm="1">#NAME?</definedName>
    <definedName name="_xlpm.rangeToSum" hidden="1" xlm="1">#NAME?</definedName>
    <definedName name="_xlpm.rawData" hidden="1" xlm="1">#NAME?</definedName>
    <definedName name="_xlpm.stop" hidden="1" xlm="1">#NAME?</definedName>
    <definedName name="_xlnm.Print_Area" localSheetId="0">'Deal Summary'!$C$2:$Q$40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3" i="2" l="1"/>
  <c r="M34" i="2"/>
  <c r="M26" i="2"/>
  <c r="M27" i="2"/>
  <c r="M28" i="2"/>
  <c r="M29" i="2"/>
  <c r="M30" i="2"/>
  <c r="M31" i="2"/>
  <c r="M32" i="2"/>
  <c r="M33" i="2"/>
  <c r="M25" i="2"/>
  <c r="M23" i="2"/>
  <c r="M24" i="2"/>
  <c r="M22" i="2"/>
  <c r="Q34" i="2"/>
  <c r="Q26" i="2"/>
  <c r="Q27" i="2"/>
  <c r="Q28" i="2"/>
  <c r="Q29" i="2"/>
  <c r="Q30" i="2"/>
  <c r="Q31" i="2"/>
  <c r="Q32" i="2"/>
  <c r="Q25" i="2"/>
  <c r="Q23" i="2"/>
  <c r="Q24" i="2"/>
  <c r="Q22" i="2"/>
  <c r="G32" i="7"/>
  <c r="G33" i="7"/>
  <c r="G34" i="7"/>
  <c r="G35" i="7"/>
  <c r="G36" i="7"/>
  <c r="G37" i="7"/>
  <c r="G38" i="7"/>
  <c r="G39" i="7"/>
  <c r="B31" i="8" a="1"/>
  <c r="B31" i="8" s="1"/>
  <c r="D24" i="2" s="1"/>
  <c r="C8" i="5"/>
  <c r="D20" i="2" l="1"/>
  <c r="C4" i="2"/>
  <c r="C5" i="2"/>
  <c r="C6" i="2"/>
  <c r="L44" i="3" l="1"/>
  <c r="D50" i="4"/>
  <c r="I34" i="8"/>
  <c r="H16" i="3" s="1"/>
  <c r="J34" i="8"/>
  <c r="I16" i="3" s="1"/>
  <c r="K34" i="8"/>
  <c r="J16" i="3" s="1"/>
  <c r="L34" i="8"/>
  <c r="K16" i="3" s="1"/>
  <c r="M34" i="8"/>
  <c r="L16" i="3" s="1"/>
  <c r="H34" i="8"/>
  <c r="G16" i="3" s="1"/>
  <c r="D7" i="9"/>
  <c r="D6" i="9"/>
  <c r="D5" i="9"/>
  <c r="D21" i="9"/>
  <c r="D20" i="9"/>
  <c r="D19" i="9"/>
  <c r="D41" i="4"/>
  <c r="D32" i="4"/>
  <c r="P11" i="3"/>
  <c r="P6" i="3"/>
  <c r="P9" i="3"/>
  <c r="D21" i="3"/>
  <c r="J45" i="2"/>
  <c r="J46" i="2"/>
  <c r="J47" i="2"/>
  <c r="J48" i="2"/>
  <c r="J49" i="2"/>
  <c r="J50" i="2"/>
  <c r="J51" i="2"/>
  <c r="J52" i="2"/>
  <c r="J53" i="2"/>
  <c r="J54" i="2"/>
  <c r="J55" i="2"/>
  <c r="J44" i="2"/>
  <c r="N23" i="2"/>
  <c r="N24" i="2"/>
  <c r="N25" i="2"/>
  <c r="N26" i="2"/>
  <c r="N27" i="2"/>
  <c r="N28" i="2"/>
  <c r="N29" i="2"/>
  <c r="N30" i="2"/>
  <c r="N31" i="2"/>
  <c r="N32" i="2"/>
  <c r="N33" i="2"/>
  <c r="N22" i="2"/>
  <c r="L23" i="2"/>
  <c r="L24" i="2"/>
  <c r="L25" i="2"/>
  <c r="L26" i="2"/>
  <c r="L27" i="2"/>
  <c r="L28" i="2"/>
  <c r="L29" i="2"/>
  <c r="L30" i="2"/>
  <c r="L31" i="2"/>
  <c r="L32" i="2"/>
  <c r="L33" i="2"/>
  <c r="L22" i="2"/>
  <c r="K23" i="2"/>
  <c r="K24" i="2"/>
  <c r="K25" i="2"/>
  <c r="K26" i="2"/>
  <c r="K27" i="2"/>
  <c r="K28" i="2"/>
  <c r="K29" i="2"/>
  <c r="K30" i="2"/>
  <c r="K31" i="2"/>
  <c r="K32" i="2"/>
  <c r="K33" i="2"/>
  <c r="K22" i="2"/>
  <c r="J22" i="2"/>
  <c r="J23" i="2"/>
  <c r="J24" i="2"/>
  <c r="J25" i="2"/>
  <c r="J26" i="2"/>
  <c r="J27" i="2"/>
  <c r="J28" i="2"/>
  <c r="J29" i="2"/>
  <c r="J30" i="2"/>
  <c r="J31" i="2"/>
  <c r="J33" i="2"/>
  <c r="J32" i="2"/>
  <c r="D22" i="9" l="1"/>
  <c r="P17" i="3" s="1"/>
  <c r="O22" i="2"/>
  <c r="O33" i="2"/>
  <c r="O24" i="2"/>
  <c r="O32" i="2"/>
  <c r="P23" i="2"/>
  <c r="P27" i="2"/>
  <c r="O26" i="2"/>
  <c r="O25" i="2"/>
  <c r="P22" i="2"/>
  <c r="P26" i="2"/>
  <c r="O27" i="2"/>
  <c r="P33" i="2"/>
  <c r="Q33" i="2" s="1"/>
  <c r="P25" i="2"/>
  <c r="P30" i="2"/>
  <c r="P31" i="2"/>
  <c r="P29" i="2"/>
  <c r="O31" i="2"/>
  <c r="O23" i="2"/>
  <c r="O30" i="2"/>
  <c r="O29" i="2"/>
  <c r="P32" i="2"/>
  <c r="P24" i="2"/>
  <c r="O28" i="2"/>
  <c r="P28" i="2"/>
  <c r="N21" i="8" l="1"/>
  <c r="O21" i="8" s="1"/>
  <c r="N22" i="8"/>
  <c r="O22" i="8" s="1"/>
  <c r="N23" i="8"/>
  <c r="O23" i="8" s="1"/>
  <c r="N24" i="8"/>
  <c r="O24" i="8" s="1"/>
  <c r="N25" i="8"/>
  <c r="O25" i="8" s="1"/>
  <c r="N26" i="8"/>
  <c r="O26" i="8" s="1"/>
  <c r="N27" i="8"/>
  <c r="O27" i="8" s="1"/>
  <c r="M12" i="8"/>
  <c r="M13" i="8"/>
  <c r="M14" i="8"/>
  <c r="M15" i="8"/>
  <c r="M16" i="8"/>
  <c r="M17" i="8"/>
  <c r="M18" i="8"/>
  <c r="M19" i="8"/>
  <c r="M20" i="8"/>
  <c r="M21" i="8"/>
  <c r="M22" i="8"/>
  <c r="M23" i="8"/>
  <c r="M24" i="8"/>
  <c r="M25" i="8"/>
  <c r="M26" i="8"/>
  <c r="M27" i="8"/>
  <c r="I28" i="8"/>
  <c r="Q27" i="8"/>
  <c r="Q26" i="8"/>
  <c r="Q25" i="8"/>
  <c r="Q24" i="8"/>
  <c r="Q23" i="8"/>
  <c r="Q22" i="8"/>
  <c r="Q21" i="8"/>
  <c r="N20" i="8"/>
  <c r="O20" i="8" s="1"/>
  <c r="Q20" i="8"/>
  <c r="N19" i="8"/>
  <c r="Q19" i="8"/>
  <c r="N18" i="8"/>
  <c r="G17" i="3" l="1"/>
  <c r="H17" i="3"/>
  <c r="I17" i="3"/>
  <c r="K17" i="3"/>
  <c r="L17" i="3"/>
  <c r="F17" i="3"/>
  <c r="J17" i="3"/>
  <c r="R27" i="8"/>
  <c r="S27" i="8" s="1"/>
  <c r="T27" i="8" s="1"/>
  <c r="U27" i="8" s="1"/>
  <c r="V27" i="8" s="1"/>
  <c r="W27" i="8" s="1"/>
  <c r="X27" i="8" s="1"/>
  <c r="Y27" i="8" s="1"/>
  <c r="Z27" i="8" s="1"/>
  <c r="AA27" i="8" s="1"/>
  <c r="AB27" i="8" s="1"/>
  <c r="AD27" i="8" s="1"/>
  <c r="AE27" i="8" s="1"/>
  <c r="AF27" i="8" s="1"/>
  <c r="AG27" i="8" s="1"/>
  <c r="AH27" i="8" s="1"/>
  <c r="AI27" i="8" s="1"/>
  <c r="AJ27" i="8" s="1"/>
  <c r="AK27" i="8" s="1"/>
  <c r="AL27" i="8" s="1"/>
  <c r="AM27" i="8" s="1"/>
  <c r="AN27" i="8" s="1"/>
  <c r="AO27" i="8" s="1"/>
  <c r="AQ27" i="8" s="1"/>
  <c r="R21" i="8"/>
  <c r="S21" i="8" s="1"/>
  <c r="T21" i="8" s="1"/>
  <c r="U21" i="8" s="1"/>
  <c r="V21" i="8" s="1"/>
  <c r="W21" i="8" s="1"/>
  <c r="X21" i="8" s="1"/>
  <c r="Y21" i="8" s="1"/>
  <c r="Z21" i="8" s="1"/>
  <c r="AA21" i="8" s="1"/>
  <c r="AB21" i="8" s="1"/>
  <c r="AD21" i="8" s="1"/>
  <c r="J20" i="8"/>
  <c r="F19" i="3"/>
  <c r="F20" i="3"/>
  <c r="F18" i="3"/>
  <c r="R22" i="8"/>
  <c r="S22" i="8" s="1"/>
  <c r="T22" i="8" s="1"/>
  <c r="U22" i="8" s="1"/>
  <c r="V22" i="8" s="1"/>
  <c r="W22" i="8" s="1"/>
  <c r="X22" i="8" s="1"/>
  <c r="Y22" i="8" s="1"/>
  <c r="Z22" i="8" s="1"/>
  <c r="AA22" i="8" s="1"/>
  <c r="AB22" i="8" s="1"/>
  <c r="AD22" i="8" s="1"/>
  <c r="AE22" i="8" s="1"/>
  <c r="AF22" i="8" s="1"/>
  <c r="AG22" i="8" s="1"/>
  <c r="AH22" i="8" s="1"/>
  <c r="AI22" i="8" s="1"/>
  <c r="AJ22" i="8" s="1"/>
  <c r="AK22" i="8" s="1"/>
  <c r="AL22" i="8" s="1"/>
  <c r="AM22" i="8" s="1"/>
  <c r="AN22" i="8" s="1"/>
  <c r="AO22" i="8" s="1"/>
  <c r="AQ22" i="8" s="1"/>
  <c r="R23" i="8"/>
  <c r="S23" i="8" s="1"/>
  <c r="T23" i="8" s="1"/>
  <c r="U23" i="8" s="1"/>
  <c r="V23" i="8" s="1"/>
  <c r="W23" i="8" s="1"/>
  <c r="X23" i="8" s="1"/>
  <c r="Y23" i="8" s="1"/>
  <c r="Z23" i="8" s="1"/>
  <c r="AA23" i="8" s="1"/>
  <c r="AB23" i="8" s="1"/>
  <c r="AD23" i="8" s="1"/>
  <c r="R24" i="8"/>
  <c r="S24" i="8" s="1"/>
  <c r="T24" i="8" s="1"/>
  <c r="U24" i="8" s="1"/>
  <c r="V24" i="8" s="1"/>
  <c r="W24" i="8" s="1"/>
  <c r="X24" i="8" s="1"/>
  <c r="Y24" i="8" s="1"/>
  <c r="Z24" i="8" s="1"/>
  <c r="AA24" i="8" s="1"/>
  <c r="AB24" i="8" s="1"/>
  <c r="AD24" i="8" s="1"/>
  <c r="R25" i="8"/>
  <c r="S25" i="8" s="1"/>
  <c r="R26" i="8"/>
  <c r="S26" i="8" s="1"/>
  <c r="T26" i="8" s="1"/>
  <c r="U26" i="8" s="1"/>
  <c r="V26" i="8" s="1"/>
  <c r="W26" i="8" s="1"/>
  <c r="X26" i="8" s="1"/>
  <c r="Y26" i="8" s="1"/>
  <c r="Z26" i="8" s="1"/>
  <c r="AA26" i="8" s="1"/>
  <c r="AB26" i="8" s="1"/>
  <c r="AD26" i="8" s="1"/>
  <c r="AE26" i="8" s="1"/>
  <c r="AF26" i="8" s="1"/>
  <c r="AG26" i="8" s="1"/>
  <c r="AH26" i="8" s="1"/>
  <c r="AI26" i="8" s="1"/>
  <c r="AJ26" i="8" s="1"/>
  <c r="AK26" i="8" s="1"/>
  <c r="AL26" i="8" s="1"/>
  <c r="AM26" i="8" s="1"/>
  <c r="AN26" i="8" s="1"/>
  <c r="AO26" i="8" s="1"/>
  <c r="AQ26" i="8" s="1"/>
  <c r="R20" i="8"/>
  <c r="S20" i="8" s="1"/>
  <c r="T20" i="8" s="1"/>
  <c r="U20" i="8" s="1"/>
  <c r="V20" i="8" s="1"/>
  <c r="W20" i="8" s="1"/>
  <c r="X20" i="8" s="1"/>
  <c r="Y20" i="8" s="1"/>
  <c r="Z20" i="8" s="1"/>
  <c r="AA20" i="8" s="1"/>
  <c r="AB20" i="8" s="1"/>
  <c r="AD20" i="8" s="1"/>
  <c r="AE20" i="8" s="1"/>
  <c r="AF20" i="8" s="1"/>
  <c r="AG20" i="8" s="1"/>
  <c r="AH20" i="8" s="1"/>
  <c r="AI20" i="8" s="1"/>
  <c r="AJ20" i="8" s="1"/>
  <c r="AK20" i="8" s="1"/>
  <c r="AL20" i="8" s="1"/>
  <c r="AM20" i="8" s="1"/>
  <c r="AN20" i="8" s="1"/>
  <c r="AO20" i="8" s="1"/>
  <c r="AQ20" i="8" s="1"/>
  <c r="J18" i="8"/>
  <c r="J26" i="8"/>
  <c r="J19" i="8"/>
  <c r="J21" i="8"/>
  <c r="J27" i="8"/>
  <c r="J23" i="8"/>
  <c r="J24" i="8"/>
  <c r="J22" i="8"/>
  <c r="J25" i="8"/>
  <c r="AE24" i="8"/>
  <c r="AF24" i="8" s="1"/>
  <c r="AG24" i="8" s="1"/>
  <c r="AH24" i="8" s="1"/>
  <c r="AI24" i="8" s="1"/>
  <c r="AJ24" i="8" s="1"/>
  <c r="AK24" i="8" s="1"/>
  <c r="AL24" i="8" s="1"/>
  <c r="AM24" i="8" s="1"/>
  <c r="AN24" i="8" s="1"/>
  <c r="AO24" i="8" s="1"/>
  <c r="AQ24" i="8" s="1"/>
  <c r="R19" i="8"/>
  <c r="S19" i="8" s="1"/>
  <c r="T19" i="8" s="1"/>
  <c r="U19" i="8" s="1"/>
  <c r="V19" i="8" s="1"/>
  <c r="W19" i="8" s="1"/>
  <c r="X19" i="8" s="1"/>
  <c r="Y19" i="8" s="1"/>
  <c r="Z19" i="8" s="1"/>
  <c r="AA19" i="8" s="1"/>
  <c r="AB19" i="8" s="1"/>
  <c r="AD19" i="8" s="1"/>
  <c r="O19" i="8"/>
  <c r="O18" i="8"/>
  <c r="AC27" i="8" l="1"/>
  <c r="AC24" i="8"/>
  <c r="DE24" i="8"/>
  <c r="AC20" i="8"/>
  <c r="AC22" i="8"/>
  <c r="AC26" i="8"/>
  <c r="T25" i="8"/>
  <c r="U25" i="8" s="1"/>
  <c r="V25" i="8" s="1"/>
  <c r="W25" i="8" s="1"/>
  <c r="X25" i="8" s="1"/>
  <c r="Y25" i="8" s="1"/>
  <c r="Z25" i="8" s="1"/>
  <c r="AA25" i="8" s="1"/>
  <c r="AB25" i="8" s="1"/>
  <c r="AD25" i="8" s="1"/>
  <c r="AE25" i="8" s="1"/>
  <c r="AF25" i="8" s="1"/>
  <c r="AG25" i="8" s="1"/>
  <c r="AH25" i="8" s="1"/>
  <c r="AI25" i="8" s="1"/>
  <c r="AJ25" i="8" s="1"/>
  <c r="AK25" i="8" s="1"/>
  <c r="AL25" i="8" s="1"/>
  <c r="AM25" i="8" s="1"/>
  <c r="AN25" i="8" s="1"/>
  <c r="AO25" i="8" s="1"/>
  <c r="AQ25" i="8" s="1"/>
  <c r="DF24" i="8"/>
  <c r="DE23" i="8"/>
  <c r="DE21" i="8"/>
  <c r="K54" i="2" s="1"/>
  <c r="DE26" i="8"/>
  <c r="DE22" i="8"/>
  <c r="K55" i="2" s="1"/>
  <c r="DE27" i="8"/>
  <c r="DF26" i="8"/>
  <c r="DF22" i="8"/>
  <c r="L55" i="2" s="1"/>
  <c r="DF27" i="8"/>
  <c r="DE20" i="8"/>
  <c r="K53" i="2" s="1"/>
  <c r="DE19" i="8"/>
  <c r="K52" i="2" s="1"/>
  <c r="DF20" i="8"/>
  <c r="AP24" i="8"/>
  <c r="AR27" i="8"/>
  <c r="AS27" i="8" s="1"/>
  <c r="AT27" i="8" s="1"/>
  <c r="AU27" i="8" s="1"/>
  <c r="AV27" i="8" s="1"/>
  <c r="AW27" i="8" s="1"/>
  <c r="AX27" i="8" s="1"/>
  <c r="AY27" i="8" s="1"/>
  <c r="AZ27" i="8" s="1"/>
  <c r="BA27" i="8" s="1"/>
  <c r="BB27" i="8" s="1"/>
  <c r="BD27" i="8" s="1"/>
  <c r="AP27" i="8"/>
  <c r="AR26" i="8"/>
  <c r="AS26" i="8" s="1"/>
  <c r="AT26" i="8" s="1"/>
  <c r="AU26" i="8" s="1"/>
  <c r="AV26" i="8" s="1"/>
  <c r="AW26" i="8" s="1"/>
  <c r="AX26" i="8" s="1"/>
  <c r="AY26" i="8" s="1"/>
  <c r="AZ26" i="8" s="1"/>
  <c r="BA26" i="8" s="1"/>
  <c r="BB26" i="8" s="1"/>
  <c r="BD26" i="8" s="1"/>
  <c r="AP26" i="8"/>
  <c r="AR24" i="8"/>
  <c r="AS24" i="8" s="1"/>
  <c r="AT24" i="8" s="1"/>
  <c r="AU24" i="8" s="1"/>
  <c r="AV24" i="8" s="1"/>
  <c r="AW24" i="8" s="1"/>
  <c r="AX24" i="8" s="1"/>
  <c r="AY24" i="8" s="1"/>
  <c r="AZ24" i="8" s="1"/>
  <c r="BA24" i="8" s="1"/>
  <c r="BB24" i="8" s="1"/>
  <c r="BD24" i="8" s="1"/>
  <c r="AE23" i="8"/>
  <c r="AF23" i="8" s="1"/>
  <c r="AG23" i="8" s="1"/>
  <c r="AH23" i="8" s="1"/>
  <c r="AI23" i="8" s="1"/>
  <c r="AJ23" i="8" s="1"/>
  <c r="AK23" i="8" s="1"/>
  <c r="AL23" i="8" s="1"/>
  <c r="AM23" i="8" s="1"/>
  <c r="AN23" i="8" s="1"/>
  <c r="AO23" i="8" s="1"/>
  <c r="AQ23" i="8" s="1"/>
  <c r="AC23" i="8"/>
  <c r="AR22" i="8"/>
  <c r="AS22" i="8" s="1"/>
  <c r="AT22" i="8" s="1"/>
  <c r="AU22" i="8" s="1"/>
  <c r="AV22" i="8" s="1"/>
  <c r="AW22" i="8" s="1"/>
  <c r="AX22" i="8" s="1"/>
  <c r="AY22" i="8" s="1"/>
  <c r="AZ22" i="8" s="1"/>
  <c r="BA22" i="8" s="1"/>
  <c r="BB22" i="8" s="1"/>
  <c r="BD22" i="8" s="1"/>
  <c r="AP22" i="8"/>
  <c r="AE21" i="8"/>
  <c r="AF21" i="8" s="1"/>
  <c r="AG21" i="8" s="1"/>
  <c r="AH21" i="8" s="1"/>
  <c r="AI21" i="8" s="1"/>
  <c r="AJ21" i="8" s="1"/>
  <c r="AK21" i="8" s="1"/>
  <c r="AL21" i="8" s="1"/>
  <c r="AM21" i="8" s="1"/>
  <c r="AN21" i="8" s="1"/>
  <c r="AO21" i="8" s="1"/>
  <c r="AQ21" i="8" s="1"/>
  <c r="AC21" i="8"/>
  <c r="AR20" i="8"/>
  <c r="AS20" i="8" s="1"/>
  <c r="AT20" i="8" s="1"/>
  <c r="AU20" i="8" s="1"/>
  <c r="AV20" i="8" s="1"/>
  <c r="AW20" i="8" s="1"/>
  <c r="AX20" i="8" s="1"/>
  <c r="AY20" i="8" s="1"/>
  <c r="AZ20" i="8" s="1"/>
  <c r="BA20" i="8" s="1"/>
  <c r="BB20" i="8" s="1"/>
  <c r="BD20" i="8" s="1"/>
  <c r="AP20" i="8"/>
  <c r="AE19" i="8"/>
  <c r="AF19" i="8" s="1"/>
  <c r="AG19" i="8" s="1"/>
  <c r="AH19" i="8" s="1"/>
  <c r="AI19" i="8" s="1"/>
  <c r="AJ19" i="8" s="1"/>
  <c r="AK19" i="8" s="1"/>
  <c r="AL19" i="8" s="1"/>
  <c r="AM19" i="8" s="1"/>
  <c r="AN19" i="8" s="1"/>
  <c r="AO19" i="8" s="1"/>
  <c r="AQ19" i="8" s="1"/>
  <c r="AC19" i="8"/>
  <c r="DG26" i="8" l="1"/>
  <c r="AC25" i="8"/>
  <c r="DF21" i="8"/>
  <c r="L54" i="2" s="1"/>
  <c r="DG24" i="8"/>
  <c r="DE25" i="8"/>
  <c r="DG22" i="8"/>
  <c r="M55" i="2" s="1"/>
  <c r="DG27" i="8"/>
  <c r="DF23" i="8"/>
  <c r="BC22" i="8"/>
  <c r="DF25" i="8"/>
  <c r="L53" i="2"/>
  <c r="DG20" i="8"/>
  <c r="DF19" i="8"/>
  <c r="L52" i="2" s="1"/>
  <c r="AP19" i="8"/>
  <c r="AP23" i="8"/>
  <c r="BC20" i="8"/>
  <c r="BC27" i="8"/>
  <c r="BE27" i="8"/>
  <c r="BF27" i="8" s="1"/>
  <c r="BG27" i="8" s="1"/>
  <c r="BH27" i="8" s="1"/>
  <c r="BI27" i="8" s="1"/>
  <c r="BJ27" i="8" s="1"/>
  <c r="BK27" i="8" s="1"/>
  <c r="BL27" i="8" s="1"/>
  <c r="BM27" i="8" s="1"/>
  <c r="BN27" i="8" s="1"/>
  <c r="BO27" i="8" s="1"/>
  <c r="BQ27" i="8" s="1"/>
  <c r="BP27" i="8"/>
  <c r="BE26" i="8"/>
  <c r="BF26" i="8" s="1"/>
  <c r="BG26" i="8" s="1"/>
  <c r="BH26" i="8" s="1"/>
  <c r="BI26" i="8" s="1"/>
  <c r="BJ26" i="8" s="1"/>
  <c r="BK26" i="8" s="1"/>
  <c r="BL26" i="8" s="1"/>
  <c r="BM26" i="8" s="1"/>
  <c r="BN26" i="8" s="1"/>
  <c r="BO26" i="8" s="1"/>
  <c r="BQ26" i="8" s="1"/>
  <c r="BC26" i="8"/>
  <c r="AR25" i="8"/>
  <c r="AS25" i="8" s="1"/>
  <c r="AT25" i="8" s="1"/>
  <c r="AU25" i="8" s="1"/>
  <c r="AV25" i="8" s="1"/>
  <c r="AW25" i="8" s="1"/>
  <c r="AX25" i="8" s="1"/>
  <c r="AY25" i="8" s="1"/>
  <c r="AZ25" i="8" s="1"/>
  <c r="BA25" i="8" s="1"/>
  <c r="BB25" i="8" s="1"/>
  <c r="BD25" i="8" s="1"/>
  <c r="AP25" i="8"/>
  <c r="BC24" i="8"/>
  <c r="BE24" i="8"/>
  <c r="BF24" i="8" s="1"/>
  <c r="BG24" i="8" s="1"/>
  <c r="BH24" i="8" s="1"/>
  <c r="BI24" i="8" s="1"/>
  <c r="BJ24" i="8" s="1"/>
  <c r="BK24" i="8" s="1"/>
  <c r="BL24" i="8" s="1"/>
  <c r="BM24" i="8" s="1"/>
  <c r="BN24" i="8" s="1"/>
  <c r="BO24" i="8" s="1"/>
  <c r="BQ24" i="8" s="1"/>
  <c r="AR23" i="8"/>
  <c r="AS23" i="8" s="1"/>
  <c r="AT23" i="8" s="1"/>
  <c r="AU23" i="8" s="1"/>
  <c r="AV23" i="8" s="1"/>
  <c r="AW23" i="8" s="1"/>
  <c r="AX23" i="8" s="1"/>
  <c r="AY23" i="8" s="1"/>
  <c r="AZ23" i="8" s="1"/>
  <c r="BA23" i="8" s="1"/>
  <c r="BB23" i="8" s="1"/>
  <c r="BD23" i="8" s="1"/>
  <c r="BE22" i="8"/>
  <c r="BF22" i="8" s="1"/>
  <c r="BG22" i="8" s="1"/>
  <c r="BH22" i="8" s="1"/>
  <c r="BI22" i="8" s="1"/>
  <c r="BJ22" i="8" s="1"/>
  <c r="BK22" i="8" s="1"/>
  <c r="BL22" i="8" s="1"/>
  <c r="BM22" i="8" s="1"/>
  <c r="BN22" i="8" s="1"/>
  <c r="BO22" i="8" s="1"/>
  <c r="BQ22" i="8" s="1"/>
  <c r="BP22" i="8"/>
  <c r="AR21" i="8"/>
  <c r="AS21" i="8" s="1"/>
  <c r="AT21" i="8" s="1"/>
  <c r="AU21" i="8" s="1"/>
  <c r="AV21" i="8" s="1"/>
  <c r="AW21" i="8" s="1"/>
  <c r="AX21" i="8" s="1"/>
  <c r="AY21" i="8" s="1"/>
  <c r="AZ21" i="8" s="1"/>
  <c r="BA21" i="8" s="1"/>
  <c r="BB21" i="8" s="1"/>
  <c r="BD21" i="8" s="1"/>
  <c r="AP21" i="8"/>
  <c r="BE20" i="8"/>
  <c r="BF20" i="8" s="1"/>
  <c r="BG20" i="8" s="1"/>
  <c r="BH20" i="8" s="1"/>
  <c r="BI20" i="8" s="1"/>
  <c r="BJ20" i="8" s="1"/>
  <c r="BK20" i="8" s="1"/>
  <c r="BL20" i="8" s="1"/>
  <c r="BM20" i="8" s="1"/>
  <c r="BN20" i="8" s="1"/>
  <c r="BO20" i="8" s="1"/>
  <c r="BQ20" i="8" s="1"/>
  <c r="AR19" i="8"/>
  <c r="AS19" i="8" s="1"/>
  <c r="AT19" i="8" s="1"/>
  <c r="AU19" i="8" s="1"/>
  <c r="AV19" i="8" s="1"/>
  <c r="AW19" i="8" s="1"/>
  <c r="AX19" i="8" s="1"/>
  <c r="AY19" i="8" s="1"/>
  <c r="AZ19" i="8" s="1"/>
  <c r="BA19" i="8" s="1"/>
  <c r="BB19" i="8" s="1"/>
  <c r="BD19" i="8" s="1"/>
  <c r="DH27" i="8" l="1"/>
  <c r="DH24" i="8"/>
  <c r="DH22" i="8"/>
  <c r="N55" i="2" s="1"/>
  <c r="DH26" i="8"/>
  <c r="DG23" i="8"/>
  <c r="DG25" i="8"/>
  <c r="DG21" i="8"/>
  <c r="M54" i="2" s="1"/>
  <c r="M53" i="2"/>
  <c r="DH20" i="8"/>
  <c r="DG19" i="8"/>
  <c r="M52" i="2" s="1"/>
  <c r="BC25" i="8"/>
  <c r="BC19" i="8"/>
  <c r="BC23" i="8"/>
  <c r="BR27" i="8"/>
  <c r="BS27" i="8" s="1"/>
  <c r="BT27" i="8" s="1"/>
  <c r="BU27" i="8" s="1"/>
  <c r="BV27" i="8" s="1"/>
  <c r="BW27" i="8" s="1"/>
  <c r="BX27" i="8" s="1"/>
  <c r="BY27" i="8" s="1"/>
  <c r="BZ27" i="8" s="1"/>
  <c r="CA27" i="8" s="1"/>
  <c r="CB27" i="8" s="1"/>
  <c r="CD27" i="8" s="1"/>
  <c r="BR26" i="8"/>
  <c r="BS26" i="8" s="1"/>
  <c r="BT26" i="8" s="1"/>
  <c r="BU26" i="8" s="1"/>
  <c r="BV26" i="8" s="1"/>
  <c r="BW26" i="8" s="1"/>
  <c r="BX26" i="8" s="1"/>
  <c r="BY26" i="8" s="1"/>
  <c r="BZ26" i="8" s="1"/>
  <c r="CA26" i="8" s="1"/>
  <c r="CB26" i="8" s="1"/>
  <c r="CD26" i="8" s="1"/>
  <c r="BP26" i="8"/>
  <c r="BE25" i="8"/>
  <c r="BF25" i="8" s="1"/>
  <c r="BG25" i="8" s="1"/>
  <c r="BH25" i="8" s="1"/>
  <c r="BI25" i="8" s="1"/>
  <c r="BJ25" i="8" s="1"/>
  <c r="BK25" i="8" s="1"/>
  <c r="BL25" i="8" s="1"/>
  <c r="BM25" i="8" s="1"/>
  <c r="BN25" i="8" s="1"/>
  <c r="BO25" i="8" s="1"/>
  <c r="BQ25" i="8" s="1"/>
  <c r="BR24" i="8"/>
  <c r="BS24" i="8" s="1"/>
  <c r="BT24" i="8" s="1"/>
  <c r="BU24" i="8" s="1"/>
  <c r="BV24" i="8" s="1"/>
  <c r="BW24" i="8" s="1"/>
  <c r="BX24" i="8" s="1"/>
  <c r="BY24" i="8" s="1"/>
  <c r="BZ24" i="8" s="1"/>
  <c r="CA24" i="8" s="1"/>
  <c r="CB24" i="8" s="1"/>
  <c r="CD24" i="8" s="1"/>
  <c r="BP24" i="8"/>
  <c r="BE23" i="8"/>
  <c r="BF23" i="8" s="1"/>
  <c r="BG23" i="8" s="1"/>
  <c r="BH23" i="8" s="1"/>
  <c r="BI23" i="8" s="1"/>
  <c r="BJ23" i="8" s="1"/>
  <c r="BK23" i="8" s="1"/>
  <c r="BL23" i="8" s="1"/>
  <c r="BM23" i="8" s="1"/>
  <c r="BN23" i="8" s="1"/>
  <c r="BO23" i="8" s="1"/>
  <c r="BQ23" i="8" s="1"/>
  <c r="BR22" i="8"/>
  <c r="BS22" i="8" s="1"/>
  <c r="BT22" i="8" s="1"/>
  <c r="BU22" i="8" s="1"/>
  <c r="BV22" i="8" s="1"/>
  <c r="BW22" i="8" s="1"/>
  <c r="BX22" i="8" s="1"/>
  <c r="BY22" i="8" s="1"/>
  <c r="BZ22" i="8" s="1"/>
  <c r="CA22" i="8" s="1"/>
  <c r="CB22" i="8" s="1"/>
  <c r="CD22" i="8" s="1"/>
  <c r="CC22" i="8"/>
  <c r="BC21" i="8"/>
  <c r="BE21" i="8"/>
  <c r="BF21" i="8" s="1"/>
  <c r="BG21" i="8" s="1"/>
  <c r="BH21" i="8" s="1"/>
  <c r="BI21" i="8" s="1"/>
  <c r="BJ21" i="8" s="1"/>
  <c r="BK21" i="8" s="1"/>
  <c r="BL21" i="8" s="1"/>
  <c r="BM21" i="8" s="1"/>
  <c r="BN21" i="8" s="1"/>
  <c r="BO21" i="8" s="1"/>
  <c r="BQ21" i="8" s="1"/>
  <c r="BR20" i="8"/>
  <c r="BS20" i="8" s="1"/>
  <c r="BT20" i="8" s="1"/>
  <c r="BU20" i="8" s="1"/>
  <c r="BV20" i="8" s="1"/>
  <c r="BW20" i="8" s="1"/>
  <c r="BX20" i="8" s="1"/>
  <c r="BY20" i="8" s="1"/>
  <c r="BZ20" i="8" s="1"/>
  <c r="CA20" i="8" s="1"/>
  <c r="CB20" i="8" s="1"/>
  <c r="CD20" i="8" s="1"/>
  <c r="BP20" i="8"/>
  <c r="BE19" i="8"/>
  <c r="BF19" i="8" s="1"/>
  <c r="BG19" i="8" s="1"/>
  <c r="BH19" i="8" s="1"/>
  <c r="BI19" i="8" s="1"/>
  <c r="BJ19" i="8" s="1"/>
  <c r="BK19" i="8" s="1"/>
  <c r="BL19" i="8" s="1"/>
  <c r="BM19" i="8" s="1"/>
  <c r="BN19" i="8" s="1"/>
  <c r="BO19" i="8" s="1"/>
  <c r="BQ19" i="8" s="1"/>
  <c r="DH21" i="8" l="1"/>
  <c r="N54" i="2" s="1"/>
  <c r="DI27" i="8"/>
  <c r="DJ27" i="8"/>
  <c r="DJ24" i="8"/>
  <c r="DI22" i="8"/>
  <c r="O55" i="2" s="1"/>
  <c r="DI24" i="8"/>
  <c r="DJ22" i="8"/>
  <c r="P55" i="2" s="1"/>
  <c r="DJ26" i="8"/>
  <c r="DH23" i="8"/>
  <c r="DI26" i="8"/>
  <c r="DH25" i="8"/>
  <c r="N53" i="2"/>
  <c r="DJ20" i="8"/>
  <c r="DI20" i="8"/>
  <c r="DH19" i="8"/>
  <c r="N52" i="2" s="1"/>
  <c r="CC26" i="8"/>
  <c r="BP21" i="8"/>
  <c r="BP19" i="8"/>
  <c r="BP23" i="8"/>
  <c r="CE27" i="8"/>
  <c r="CF27" i="8" s="1"/>
  <c r="CG27" i="8" s="1"/>
  <c r="CH27" i="8" s="1"/>
  <c r="CI27" i="8" s="1"/>
  <c r="CJ27" i="8" s="1"/>
  <c r="CK27" i="8" s="1"/>
  <c r="CL27" i="8" s="1"/>
  <c r="CM27" i="8" s="1"/>
  <c r="CN27" i="8" s="1"/>
  <c r="CO27" i="8" s="1"/>
  <c r="CQ27" i="8" s="1"/>
  <c r="CC27" i="8"/>
  <c r="CE26" i="8"/>
  <c r="CF26" i="8" s="1"/>
  <c r="CG26" i="8" s="1"/>
  <c r="CH26" i="8" s="1"/>
  <c r="CI26" i="8" s="1"/>
  <c r="CJ26" i="8" s="1"/>
  <c r="CK26" i="8" s="1"/>
  <c r="CL26" i="8" s="1"/>
  <c r="CM26" i="8" s="1"/>
  <c r="CN26" i="8" s="1"/>
  <c r="CO26" i="8" s="1"/>
  <c r="CQ26" i="8" s="1"/>
  <c r="BP25" i="8"/>
  <c r="BR25" i="8"/>
  <c r="BS25" i="8" s="1"/>
  <c r="BT25" i="8" s="1"/>
  <c r="BU25" i="8" s="1"/>
  <c r="BV25" i="8" s="1"/>
  <c r="BW25" i="8" s="1"/>
  <c r="BX25" i="8" s="1"/>
  <c r="BY25" i="8" s="1"/>
  <c r="BZ25" i="8" s="1"/>
  <c r="CA25" i="8" s="1"/>
  <c r="CB25" i="8" s="1"/>
  <c r="CD25" i="8" s="1"/>
  <c r="CE24" i="8"/>
  <c r="CF24" i="8" s="1"/>
  <c r="CG24" i="8" s="1"/>
  <c r="CH24" i="8" s="1"/>
  <c r="CI24" i="8" s="1"/>
  <c r="CJ24" i="8" s="1"/>
  <c r="CK24" i="8" s="1"/>
  <c r="CL24" i="8" s="1"/>
  <c r="CM24" i="8" s="1"/>
  <c r="CN24" i="8" s="1"/>
  <c r="CO24" i="8" s="1"/>
  <c r="CQ24" i="8" s="1"/>
  <c r="CC24" i="8"/>
  <c r="BR23" i="8"/>
  <c r="BS23" i="8" s="1"/>
  <c r="BT23" i="8" s="1"/>
  <c r="BU23" i="8" s="1"/>
  <c r="BV23" i="8" s="1"/>
  <c r="BW23" i="8" s="1"/>
  <c r="BX23" i="8" s="1"/>
  <c r="BY23" i="8" s="1"/>
  <c r="BZ23" i="8" s="1"/>
  <c r="CA23" i="8" s="1"/>
  <c r="CB23" i="8" s="1"/>
  <c r="CD23" i="8" s="1"/>
  <c r="CE22" i="8"/>
  <c r="CF22" i="8" s="1"/>
  <c r="CG22" i="8" s="1"/>
  <c r="CH22" i="8" s="1"/>
  <c r="CI22" i="8" s="1"/>
  <c r="CJ22" i="8" s="1"/>
  <c r="CK22" i="8" s="1"/>
  <c r="CL22" i="8" s="1"/>
  <c r="CM22" i="8" s="1"/>
  <c r="CN22" i="8" s="1"/>
  <c r="CO22" i="8" s="1"/>
  <c r="CQ22" i="8" s="1"/>
  <c r="BR21" i="8"/>
  <c r="BS21" i="8" s="1"/>
  <c r="BT21" i="8" s="1"/>
  <c r="BU21" i="8" s="1"/>
  <c r="BV21" i="8" s="1"/>
  <c r="BW21" i="8" s="1"/>
  <c r="BX21" i="8" s="1"/>
  <c r="BY21" i="8" s="1"/>
  <c r="BZ21" i="8" s="1"/>
  <c r="CA21" i="8" s="1"/>
  <c r="CB21" i="8" s="1"/>
  <c r="CD21" i="8" s="1"/>
  <c r="CE20" i="8"/>
  <c r="CF20" i="8" s="1"/>
  <c r="CG20" i="8" s="1"/>
  <c r="CH20" i="8" s="1"/>
  <c r="CI20" i="8" s="1"/>
  <c r="CJ20" i="8" s="1"/>
  <c r="CK20" i="8" s="1"/>
  <c r="CL20" i="8" s="1"/>
  <c r="CM20" i="8" s="1"/>
  <c r="CN20" i="8" s="1"/>
  <c r="CO20" i="8" s="1"/>
  <c r="CQ20" i="8" s="1"/>
  <c r="CC20" i="8"/>
  <c r="BR19" i="8"/>
  <c r="BS19" i="8" s="1"/>
  <c r="BT19" i="8" s="1"/>
  <c r="BU19" i="8" s="1"/>
  <c r="BV19" i="8" s="1"/>
  <c r="BW19" i="8" s="1"/>
  <c r="BX19" i="8" s="1"/>
  <c r="BY19" i="8" s="1"/>
  <c r="BZ19" i="8" s="1"/>
  <c r="CA19" i="8" s="1"/>
  <c r="CB19" i="8" s="1"/>
  <c r="CD19" i="8" s="1"/>
  <c r="DI19" i="8" l="1"/>
  <c r="O52" i="2" s="1"/>
  <c r="DI25" i="8"/>
  <c r="CP26" i="8"/>
  <c r="DJ25" i="8"/>
  <c r="DJ19" i="8"/>
  <c r="P52" i="2" s="1"/>
  <c r="DK24" i="8"/>
  <c r="DJ23" i="8"/>
  <c r="DI23" i="8"/>
  <c r="DJ21" i="8"/>
  <c r="P54" i="2" s="1"/>
  <c r="DK27" i="8"/>
  <c r="DK22" i="8"/>
  <c r="Q55" i="2" s="1"/>
  <c r="CP22" i="8"/>
  <c r="DI21" i="8"/>
  <c r="O54" i="2" s="1"/>
  <c r="DK26" i="8"/>
  <c r="O53" i="2"/>
  <c r="P53" i="2"/>
  <c r="DK20" i="8"/>
  <c r="CC19" i="8"/>
  <c r="CP24" i="8"/>
  <c r="CP27" i="8"/>
  <c r="CR27" i="8"/>
  <c r="CS27" i="8" s="1"/>
  <c r="CT27" i="8" s="1"/>
  <c r="CU27" i="8" s="1"/>
  <c r="CV27" i="8" s="1"/>
  <c r="CW27" i="8" s="1"/>
  <c r="CX27" i="8" s="1"/>
  <c r="CY27" i="8" s="1"/>
  <c r="CZ27" i="8" s="1"/>
  <c r="DA27" i="8" s="1"/>
  <c r="DB27" i="8" s="1"/>
  <c r="CR26" i="8"/>
  <c r="CS26" i="8" s="1"/>
  <c r="CT26" i="8" s="1"/>
  <c r="CU26" i="8" s="1"/>
  <c r="CV26" i="8" s="1"/>
  <c r="CW26" i="8" s="1"/>
  <c r="CX26" i="8" s="1"/>
  <c r="CY26" i="8" s="1"/>
  <c r="CZ26" i="8" s="1"/>
  <c r="DA26" i="8" s="1"/>
  <c r="DB26" i="8" s="1"/>
  <c r="CC25" i="8"/>
  <c r="CE25" i="8"/>
  <c r="CF25" i="8" s="1"/>
  <c r="CG25" i="8" s="1"/>
  <c r="CH25" i="8" s="1"/>
  <c r="CI25" i="8" s="1"/>
  <c r="CJ25" i="8" s="1"/>
  <c r="CK25" i="8" s="1"/>
  <c r="CL25" i="8" s="1"/>
  <c r="CM25" i="8" s="1"/>
  <c r="CN25" i="8" s="1"/>
  <c r="CO25" i="8" s="1"/>
  <c r="CQ25" i="8" s="1"/>
  <c r="CR24" i="8"/>
  <c r="CS24" i="8" s="1"/>
  <c r="CT24" i="8" s="1"/>
  <c r="CU24" i="8" s="1"/>
  <c r="CV24" i="8" s="1"/>
  <c r="CW24" i="8" s="1"/>
  <c r="CX24" i="8" s="1"/>
  <c r="CY24" i="8" s="1"/>
  <c r="CZ24" i="8" s="1"/>
  <c r="DA24" i="8" s="1"/>
  <c r="DB24" i="8" s="1"/>
  <c r="DC24" i="8" s="1"/>
  <c r="CC23" i="8"/>
  <c r="CE23" i="8"/>
  <c r="CF23" i="8" s="1"/>
  <c r="CG23" i="8" s="1"/>
  <c r="CH23" i="8" s="1"/>
  <c r="CI23" i="8" s="1"/>
  <c r="CJ23" i="8" s="1"/>
  <c r="CK23" i="8" s="1"/>
  <c r="CL23" i="8" s="1"/>
  <c r="CM23" i="8" s="1"/>
  <c r="CN23" i="8" s="1"/>
  <c r="CO23" i="8" s="1"/>
  <c r="CQ23" i="8" s="1"/>
  <c r="CR22" i="8"/>
  <c r="CS22" i="8" s="1"/>
  <c r="CT22" i="8" s="1"/>
  <c r="CU22" i="8" s="1"/>
  <c r="CV22" i="8" s="1"/>
  <c r="CW22" i="8" s="1"/>
  <c r="CX22" i="8" s="1"/>
  <c r="CY22" i="8" s="1"/>
  <c r="CZ22" i="8" s="1"/>
  <c r="DA22" i="8" s="1"/>
  <c r="DB22" i="8" s="1"/>
  <c r="CE21" i="8"/>
  <c r="CF21" i="8" s="1"/>
  <c r="CG21" i="8" s="1"/>
  <c r="CH21" i="8" s="1"/>
  <c r="CI21" i="8" s="1"/>
  <c r="CJ21" i="8" s="1"/>
  <c r="CK21" i="8" s="1"/>
  <c r="CL21" i="8" s="1"/>
  <c r="CM21" i="8" s="1"/>
  <c r="CN21" i="8" s="1"/>
  <c r="CO21" i="8" s="1"/>
  <c r="CQ21" i="8" s="1"/>
  <c r="CC21" i="8"/>
  <c r="CR20" i="8"/>
  <c r="CS20" i="8" s="1"/>
  <c r="CT20" i="8" s="1"/>
  <c r="CU20" i="8" s="1"/>
  <c r="CV20" i="8" s="1"/>
  <c r="CW20" i="8" s="1"/>
  <c r="CX20" i="8" s="1"/>
  <c r="CY20" i="8" s="1"/>
  <c r="CZ20" i="8" s="1"/>
  <c r="DA20" i="8" s="1"/>
  <c r="DB20" i="8" s="1"/>
  <c r="CP20" i="8"/>
  <c r="CE19" i="8"/>
  <c r="CF19" i="8" s="1"/>
  <c r="CG19" i="8" s="1"/>
  <c r="CH19" i="8" s="1"/>
  <c r="CI19" i="8" s="1"/>
  <c r="CJ19" i="8" s="1"/>
  <c r="CK19" i="8" s="1"/>
  <c r="CL19" i="8" s="1"/>
  <c r="CM19" i="8" s="1"/>
  <c r="CN19" i="8" s="1"/>
  <c r="CO19" i="8" s="1"/>
  <c r="CQ19" i="8" s="1"/>
  <c r="CP23" i="8" l="1"/>
  <c r="DK23" i="8"/>
  <c r="DK25" i="8"/>
  <c r="DK21" i="8"/>
  <c r="Q54" i="2" s="1"/>
  <c r="Q53" i="2"/>
  <c r="DK19" i="8"/>
  <c r="Q52" i="2" s="1"/>
  <c r="DC22" i="8"/>
  <c r="CP25" i="8"/>
  <c r="DC27" i="8"/>
  <c r="DC26" i="8"/>
  <c r="CR25" i="8"/>
  <c r="CS25" i="8" s="1"/>
  <c r="CT25" i="8" s="1"/>
  <c r="CU25" i="8" s="1"/>
  <c r="CV25" i="8" s="1"/>
  <c r="CW25" i="8" s="1"/>
  <c r="CX25" i="8" s="1"/>
  <c r="CY25" i="8" s="1"/>
  <c r="CZ25" i="8" s="1"/>
  <c r="DA25" i="8" s="1"/>
  <c r="DB25" i="8" s="1"/>
  <c r="CR23" i="8"/>
  <c r="CS23" i="8" s="1"/>
  <c r="CT23" i="8" s="1"/>
  <c r="CU23" i="8" s="1"/>
  <c r="CV23" i="8" s="1"/>
  <c r="CW23" i="8" s="1"/>
  <c r="CX23" i="8" s="1"/>
  <c r="CY23" i="8" s="1"/>
  <c r="CZ23" i="8" s="1"/>
  <c r="DA23" i="8" s="1"/>
  <c r="DB23" i="8" s="1"/>
  <c r="CP21" i="8"/>
  <c r="CR21" i="8"/>
  <c r="CS21" i="8" s="1"/>
  <c r="CT21" i="8" s="1"/>
  <c r="CU21" i="8" s="1"/>
  <c r="CV21" i="8" s="1"/>
  <c r="CW21" i="8" s="1"/>
  <c r="CX21" i="8" s="1"/>
  <c r="CY21" i="8" s="1"/>
  <c r="CZ21" i="8" s="1"/>
  <c r="DA21" i="8" s="1"/>
  <c r="DB21" i="8" s="1"/>
  <c r="DC20" i="8"/>
  <c r="CR19" i="8"/>
  <c r="CS19" i="8" s="1"/>
  <c r="CT19" i="8" s="1"/>
  <c r="CU19" i="8" s="1"/>
  <c r="CV19" i="8" s="1"/>
  <c r="CW19" i="8" s="1"/>
  <c r="CX19" i="8" s="1"/>
  <c r="CY19" i="8" s="1"/>
  <c r="CZ19" i="8" s="1"/>
  <c r="DA19" i="8" s="1"/>
  <c r="DB19" i="8" s="1"/>
  <c r="CP19" i="8"/>
  <c r="DC23" i="8" l="1"/>
  <c r="DC25" i="8"/>
  <c r="DC21" i="8"/>
  <c r="DC19" i="8"/>
  <c r="G20" i="3" l="1"/>
  <c r="H20" i="3" s="1"/>
  <c r="I20" i="3" s="1"/>
  <c r="J20" i="3" s="1"/>
  <c r="K20" i="3" s="1"/>
  <c r="L20" i="3" s="1"/>
  <c r="G19" i="3"/>
  <c r="H19" i="3" s="1"/>
  <c r="I19" i="3" s="1"/>
  <c r="J19" i="3" s="1"/>
  <c r="K19" i="3" s="1"/>
  <c r="L19" i="3" s="1"/>
  <c r="G18" i="3"/>
  <c r="K44" i="3"/>
  <c r="J44" i="3"/>
  <c r="I44" i="3"/>
  <c r="H44" i="3"/>
  <c r="G44" i="3"/>
  <c r="F44" i="3"/>
  <c r="E21" i="3"/>
  <c r="E20" i="3"/>
  <c r="E19" i="3"/>
  <c r="E18" i="3"/>
  <c r="J17" i="8"/>
  <c r="Q18" i="8"/>
  <c r="Q17" i="8"/>
  <c r="R17" i="8" s="1"/>
  <c r="N17" i="8"/>
  <c r="O17" i="8" s="1"/>
  <c r="Q16" i="8"/>
  <c r="R16" i="8" s="1"/>
  <c r="N16" i="8"/>
  <c r="O16" i="8" s="1"/>
  <c r="Q15" i="8"/>
  <c r="R15" i="8" s="1"/>
  <c r="S15" i="8" s="1"/>
  <c r="T15" i="8" s="1"/>
  <c r="U15" i="8" s="1"/>
  <c r="V15" i="8" s="1"/>
  <c r="W15" i="8" s="1"/>
  <c r="X15" i="8" s="1"/>
  <c r="Y15" i="8" s="1"/>
  <c r="Z15" i="8" s="1"/>
  <c r="AA15" i="8" s="1"/>
  <c r="AB15" i="8" s="1"/>
  <c r="AD15" i="8" s="1"/>
  <c r="N15" i="8"/>
  <c r="O15" i="8" s="1"/>
  <c r="Q14" i="8"/>
  <c r="R14" i="8" s="1"/>
  <c r="N14" i="8"/>
  <c r="O14" i="8" s="1"/>
  <c r="Q13" i="8"/>
  <c r="N13" i="8"/>
  <c r="O13" i="8" s="1"/>
  <c r="Q12" i="8"/>
  <c r="R12" i="8" s="1"/>
  <c r="N12" i="8"/>
  <c r="O12" i="8" s="1"/>
  <c r="Q11" i="8"/>
  <c r="N11" i="8"/>
  <c r="M11" i="8"/>
  <c r="R11" i="8" l="1"/>
  <c r="Q28" i="8"/>
  <c r="R18" i="8"/>
  <c r="S18" i="8" s="1"/>
  <c r="T18" i="8" s="1"/>
  <c r="U18" i="8" s="1"/>
  <c r="V18" i="8" s="1"/>
  <c r="W18" i="8" s="1"/>
  <c r="X18" i="8" s="1"/>
  <c r="Y18" i="8" s="1"/>
  <c r="Z18" i="8" s="1"/>
  <c r="AA18" i="8" s="1"/>
  <c r="AB18" i="8" s="1"/>
  <c r="H18" i="3"/>
  <c r="N28" i="8"/>
  <c r="J16" i="8"/>
  <c r="J12" i="8"/>
  <c r="J15" i="8"/>
  <c r="J11" i="8"/>
  <c r="J13" i="8"/>
  <c r="J14" i="8"/>
  <c r="S16" i="8"/>
  <c r="T16" i="8" s="1"/>
  <c r="U16" i="8" s="1"/>
  <c r="V16" i="8" s="1"/>
  <c r="W16" i="8" s="1"/>
  <c r="X16" i="8" s="1"/>
  <c r="Y16" i="8" s="1"/>
  <c r="Z16" i="8" s="1"/>
  <c r="AA16" i="8" s="1"/>
  <c r="AB16" i="8" s="1"/>
  <c r="AE15" i="8"/>
  <c r="AF15" i="8" s="1"/>
  <c r="AG15" i="8" s="1"/>
  <c r="AH15" i="8" s="1"/>
  <c r="AI15" i="8" s="1"/>
  <c r="AJ15" i="8" s="1"/>
  <c r="AK15" i="8" s="1"/>
  <c r="AL15" i="8" s="1"/>
  <c r="AM15" i="8" s="1"/>
  <c r="AN15" i="8" s="1"/>
  <c r="AO15" i="8" s="1"/>
  <c r="AQ15" i="8" s="1"/>
  <c r="S14" i="8"/>
  <c r="S12" i="8"/>
  <c r="O11" i="8"/>
  <c r="O28" i="8" s="1"/>
  <c r="R13" i="8"/>
  <c r="DE15" i="8"/>
  <c r="K48" i="2" s="1"/>
  <c r="AC15" i="8"/>
  <c r="S17" i="8"/>
  <c r="T17" i="8" s="1"/>
  <c r="U17" i="8" s="1"/>
  <c r="V17" i="8" s="1"/>
  <c r="W17" i="8" s="1"/>
  <c r="X17" i="8" s="1"/>
  <c r="Y17" i="8" s="1"/>
  <c r="Z17" i="8" s="1"/>
  <c r="AA17" i="8" s="1"/>
  <c r="AB17" i="8" s="1"/>
  <c r="AD17" i="8" s="1"/>
  <c r="C37" i="2"/>
  <c r="N9" i="2"/>
  <c r="M9" i="2" s="1"/>
  <c r="L9" i="2" s="1"/>
  <c r="K9" i="2" s="1"/>
  <c r="J12" i="2"/>
  <c r="N17" i="7"/>
  <c r="D22" i="2" s="1"/>
  <c r="F17" i="7"/>
  <c r="D11" i="2" s="1"/>
  <c r="S11" i="8" l="1"/>
  <c r="R28" i="8"/>
  <c r="E28" i="8"/>
  <c r="C28" i="8"/>
  <c r="D28" i="8"/>
  <c r="DE18" i="8"/>
  <c r="K51" i="2" s="1"/>
  <c r="I18" i="3"/>
  <c r="J28" i="8"/>
  <c r="AC17" i="8"/>
  <c r="AD16" i="8"/>
  <c r="AE16" i="8" s="1"/>
  <c r="AD18" i="8"/>
  <c r="AC18" i="8"/>
  <c r="DE16" i="8"/>
  <c r="K49" i="2" s="1"/>
  <c r="DF15" i="8"/>
  <c r="L48" i="2" s="1"/>
  <c r="AP15" i="8"/>
  <c r="AC16" i="8"/>
  <c r="AE17" i="8"/>
  <c r="AF17" i="8" s="1"/>
  <c r="AG17" i="8" s="1"/>
  <c r="AH17" i="8" s="1"/>
  <c r="AI17" i="8" s="1"/>
  <c r="AJ17" i="8" s="1"/>
  <c r="AK17" i="8" s="1"/>
  <c r="AL17" i="8" s="1"/>
  <c r="AM17" i="8" s="1"/>
  <c r="AN17" i="8" s="1"/>
  <c r="AO17" i="8" s="1"/>
  <c r="AQ17" i="8" s="1"/>
  <c r="T14" i="8"/>
  <c r="T12" i="8"/>
  <c r="S13" i="8"/>
  <c r="DE17" i="8"/>
  <c r="K50" i="2" s="1"/>
  <c r="AR15" i="8"/>
  <c r="AS15" i="8" s="1"/>
  <c r="AT15" i="8" s="1"/>
  <c r="AU15" i="8" s="1"/>
  <c r="AV15" i="8" s="1"/>
  <c r="AW15" i="8" s="1"/>
  <c r="AX15" i="8" s="1"/>
  <c r="AY15" i="8" s="1"/>
  <c r="AZ15" i="8" s="1"/>
  <c r="BA15" i="8" s="1"/>
  <c r="BB15" i="8" s="1"/>
  <c r="BD15" i="8" s="1"/>
  <c r="O9" i="2"/>
  <c r="P9" i="2" s="1"/>
  <c r="Q9" i="2" s="1"/>
  <c r="C3" i="2"/>
  <c r="C9" i="2"/>
  <c r="D23" i="4"/>
  <c r="D14" i="4"/>
  <c r="D5" i="4"/>
  <c r="H12" i="3" l="1"/>
  <c r="S28" i="8"/>
  <c r="T11" i="8"/>
  <c r="F12" i="3"/>
  <c r="G12" i="3"/>
  <c r="AE18" i="8"/>
  <c r="AF18" i="8" s="1"/>
  <c r="AG18" i="8" s="1"/>
  <c r="AH18" i="8" s="1"/>
  <c r="AI18" i="8" s="1"/>
  <c r="AJ18" i="8" s="1"/>
  <c r="AK18" i="8" s="1"/>
  <c r="AL18" i="8" s="1"/>
  <c r="AM18" i="8" s="1"/>
  <c r="AN18" i="8" s="1"/>
  <c r="AO18" i="8" s="1"/>
  <c r="AQ18" i="8" s="1"/>
  <c r="J18" i="3"/>
  <c r="I12" i="3"/>
  <c r="DF17" i="8"/>
  <c r="L50" i="2" s="1"/>
  <c r="AF16" i="8"/>
  <c r="AG16" i="8" s="1"/>
  <c r="AH16" i="8" s="1"/>
  <c r="AI16" i="8" s="1"/>
  <c r="AJ16" i="8" s="1"/>
  <c r="AK16" i="8" s="1"/>
  <c r="AL16" i="8" s="1"/>
  <c r="AM16" i="8" s="1"/>
  <c r="AN16" i="8" s="1"/>
  <c r="AO16" i="8" s="1"/>
  <c r="AQ16" i="8" s="1"/>
  <c r="AR16" i="8" s="1"/>
  <c r="AS16" i="8" s="1"/>
  <c r="AT16" i="8" s="1"/>
  <c r="AU16" i="8" s="1"/>
  <c r="AV16" i="8" s="1"/>
  <c r="AW16" i="8" s="1"/>
  <c r="AX16" i="8" s="1"/>
  <c r="AY16" i="8" s="1"/>
  <c r="AZ16" i="8" s="1"/>
  <c r="BA16" i="8" s="1"/>
  <c r="BB16" i="8" s="1"/>
  <c r="BD16" i="8" s="1"/>
  <c r="BC15" i="8"/>
  <c r="BE15" i="8"/>
  <c r="BF15" i="8" s="1"/>
  <c r="BG15" i="8" s="1"/>
  <c r="BH15" i="8" s="1"/>
  <c r="BI15" i="8" s="1"/>
  <c r="BJ15" i="8" s="1"/>
  <c r="BK15" i="8" s="1"/>
  <c r="BL15" i="8" s="1"/>
  <c r="BM15" i="8" s="1"/>
  <c r="BN15" i="8" s="1"/>
  <c r="BO15" i="8" s="1"/>
  <c r="BQ15" i="8" s="1"/>
  <c r="DG15" i="8"/>
  <c r="M48" i="2" s="1"/>
  <c r="U14" i="8"/>
  <c r="AR17" i="8"/>
  <c r="AS17" i="8" s="1"/>
  <c r="AT17" i="8" s="1"/>
  <c r="AU17" i="8" s="1"/>
  <c r="AV17" i="8" s="1"/>
  <c r="AW17" i="8" s="1"/>
  <c r="AX17" i="8" s="1"/>
  <c r="AY17" i="8" s="1"/>
  <c r="AZ17" i="8" s="1"/>
  <c r="BA17" i="8" s="1"/>
  <c r="BB17" i="8" s="1"/>
  <c r="BD17" i="8" s="1"/>
  <c r="T13" i="8"/>
  <c r="U12" i="8"/>
  <c r="AP17" i="8"/>
  <c r="D9" i="2"/>
  <c r="C25" i="2"/>
  <c r="C24" i="2"/>
  <c r="D25" i="2"/>
  <c r="C7" i="5"/>
  <c r="G31" i="2" s="1"/>
  <c r="C6" i="5"/>
  <c r="G32" i="2" s="1"/>
  <c r="F6" i="5"/>
  <c r="G28" i="2" s="1"/>
  <c r="C30" i="2"/>
  <c r="D21" i="2"/>
  <c r="D17" i="2"/>
  <c r="D16" i="2"/>
  <c r="D4" i="9" s="1"/>
  <c r="C15" i="2"/>
  <c r="T28" i="8" l="1"/>
  <c r="U11" i="8"/>
  <c r="DF18" i="8"/>
  <c r="L51" i="2" s="1"/>
  <c r="AP16" i="8"/>
  <c r="AP18" i="8"/>
  <c r="G11" i="2"/>
  <c r="E12" i="3"/>
  <c r="E14" i="3" s="1"/>
  <c r="E22" i="3" s="1"/>
  <c r="DF16" i="8"/>
  <c r="L49" i="2" s="1"/>
  <c r="AR18" i="8"/>
  <c r="K18" i="3"/>
  <c r="J12" i="3"/>
  <c r="BE16" i="8"/>
  <c r="BF16" i="8" s="1"/>
  <c r="BG16" i="8" s="1"/>
  <c r="BH16" i="8" s="1"/>
  <c r="BI16" i="8" s="1"/>
  <c r="BJ16" i="8" s="1"/>
  <c r="BK16" i="8" s="1"/>
  <c r="BL16" i="8" s="1"/>
  <c r="BM16" i="8" s="1"/>
  <c r="BN16" i="8" s="1"/>
  <c r="BO16" i="8" s="1"/>
  <c r="BQ16" i="8" s="1"/>
  <c r="BC16" i="8"/>
  <c r="DG16" i="8"/>
  <c r="M49" i="2" s="1"/>
  <c r="BP15" i="8"/>
  <c r="DH15" i="8"/>
  <c r="N48" i="2" s="1"/>
  <c r="U13" i="8"/>
  <c r="DG17" i="8"/>
  <c r="M50" i="2" s="1"/>
  <c r="V14" i="8"/>
  <c r="BC17" i="8"/>
  <c r="BR15" i="8"/>
  <c r="BS15" i="8" s="1"/>
  <c r="BT15" i="8" s="1"/>
  <c r="BU15" i="8" s="1"/>
  <c r="BV15" i="8" s="1"/>
  <c r="BW15" i="8" s="1"/>
  <c r="BX15" i="8" s="1"/>
  <c r="BY15" i="8" s="1"/>
  <c r="BZ15" i="8" s="1"/>
  <c r="CA15" i="8" s="1"/>
  <c r="CB15" i="8" s="1"/>
  <c r="CD15" i="8" s="1"/>
  <c r="V12" i="8"/>
  <c r="BE17" i="8"/>
  <c r="BF17" i="8" s="1"/>
  <c r="BG17" i="8" s="1"/>
  <c r="BH17" i="8" s="1"/>
  <c r="BI17" i="8" s="1"/>
  <c r="BJ17" i="8" s="1"/>
  <c r="BK17" i="8" s="1"/>
  <c r="BL17" i="8" s="1"/>
  <c r="BM17" i="8" s="1"/>
  <c r="BN17" i="8" s="1"/>
  <c r="BO17" i="8" s="1"/>
  <c r="BQ17" i="8" s="1"/>
  <c r="D15" i="2"/>
  <c r="D8" i="6"/>
  <c r="D7" i="6"/>
  <c r="D9" i="6" s="1"/>
  <c r="D10" i="6" s="1"/>
  <c r="G6" i="6"/>
  <c r="C9" i="5"/>
  <c r="C10" i="5" s="1"/>
  <c r="G14" i="4"/>
  <c r="F14" i="4"/>
  <c r="F5" i="4" s="1"/>
  <c r="U28" i="8" l="1"/>
  <c r="V11" i="8"/>
  <c r="K12" i="3"/>
  <c r="L18" i="3"/>
  <c r="L12" i="3" s="1"/>
  <c r="BP16" i="8"/>
  <c r="DH16" i="8"/>
  <c r="N49" i="2" s="1"/>
  <c r="AS18" i="8"/>
  <c r="DH17" i="8"/>
  <c r="N50" i="2" s="1"/>
  <c r="BP17" i="8"/>
  <c r="BR16" i="8"/>
  <c r="DI15" i="8"/>
  <c r="O48" i="2" s="1"/>
  <c r="CC15" i="8"/>
  <c r="V13" i="8"/>
  <c r="W14" i="8"/>
  <c r="BR17" i="8"/>
  <c r="BS17" i="8" s="1"/>
  <c r="BT17" i="8" s="1"/>
  <c r="BU17" i="8" s="1"/>
  <c r="BV17" i="8" s="1"/>
  <c r="BW17" i="8" s="1"/>
  <c r="BX17" i="8" s="1"/>
  <c r="BY17" i="8" s="1"/>
  <c r="BZ17" i="8" s="1"/>
  <c r="CA17" i="8" s="1"/>
  <c r="CB17" i="8" s="1"/>
  <c r="CD17" i="8" s="1"/>
  <c r="CE15" i="8"/>
  <c r="CF15" i="8" s="1"/>
  <c r="CG15" i="8" s="1"/>
  <c r="CH15" i="8" s="1"/>
  <c r="CI15" i="8" s="1"/>
  <c r="CJ15" i="8" s="1"/>
  <c r="CK15" i="8" s="1"/>
  <c r="CL15" i="8" s="1"/>
  <c r="CM15" i="8" s="1"/>
  <c r="CN15" i="8" s="1"/>
  <c r="CO15" i="8" s="1"/>
  <c r="CQ15" i="8" s="1"/>
  <c r="W12" i="8"/>
  <c r="F353" i="6"/>
  <c r="F348" i="6"/>
  <c r="F354" i="6"/>
  <c r="E354" i="6"/>
  <c r="G362" i="6"/>
  <c r="G353" i="6"/>
  <c r="E376" i="5"/>
  <c r="D376" i="5"/>
  <c r="F371" i="5"/>
  <c r="D367" i="5"/>
  <c r="E358" i="5"/>
  <c r="F349" i="5"/>
  <c r="D345" i="5"/>
  <c r="E374" i="5"/>
  <c r="E369" i="5"/>
  <c r="D360" i="5"/>
  <c r="F355" i="5"/>
  <c r="E346" i="5"/>
  <c r="D374" i="5"/>
  <c r="D369" i="5"/>
  <c r="F364" i="5"/>
  <c r="E355" i="5"/>
  <c r="D346" i="5"/>
  <c r="F341" i="5"/>
  <c r="E372" i="5"/>
  <c r="E367" i="5"/>
  <c r="F362" i="5"/>
  <c r="E353" i="5"/>
  <c r="D344" i="5"/>
  <c r="F360" i="5"/>
  <c r="E344" i="5"/>
  <c r="F365" i="5"/>
  <c r="E360" i="5"/>
  <c r="E349" i="5"/>
  <c r="E375" i="5"/>
  <c r="D364" i="5"/>
  <c r="F353" i="5"/>
  <c r="D348" i="5"/>
  <c r="D371" i="5"/>
  <c r="F358" i="5"/>
  <c r="E352" i="5"/>
  <c r="F346" i="5"/>
  <c r="F370" i="5"/>
  <c r="E364" i="5"/>
  <c r="D358" i="5"/>
  <c r="D352" i="5"/>
  <c r="E370" i="5"/>
  <c r="D368" i="5"/>
  <c r="D356" i="5"/>
  <c r="E343" i="5"/>
  <c r="D370" i="5"/>
  <c r="F369" i="5"/>
  <c r="F354" i="5"/>
  <c r="E362" i="5"/>
  <c r="D355" i="5"/>
  <c r="F347" i="5"/>
  <c r="D362" i="5"/>
  <c r="E347" i="5"/>
  <c r="F359" i="5"/>
  <c r="F344" i="5"/>
  <c r="F374" i="5"/>
  <c r="E359" i="5"/>
  <c r="F351" i="5"/>
  <c r="E357" i="5"/>
  <c r="E348" i="5"/>
  <c r="E366" i="5"/>
  <c r="F367" i="5"/>
  <c r="D357" i="5"/>
  <c r="F376" i="5"/>
  <c r="F366" i="5"/>
  <c r="D347" i="5"/>
  <c r="E373" i="5"/>
  <c r="E363" i="5"/>
  <c r="D353" i="5"/>
  <c r="D343" i="5"/>
  <c r="D373" i="5"/>
  <c r="D363" i="5"/>
  <c r="F342" i="5"/>
  <c r="F361" i="5"/>
  <c r="F352" i="5"/>
  <c r="E342" i="5"/>
  <c r="D342" i="5"/>
  <c r="F356" i="5"/>
  <c r="D372" i="5"/>
  <c r="D341" i="5"/>
  <c r="F373" i="5"/>
  <c r="F357" i="5"/>
  <c r="E341" i="5"/>
  <c r="E356" i="5"/>
  <c r="E354" i="5"/>
  <c r="F372" i="5"/>
  <c r="E371" i="5"/>
  <c r="D354" i="5"/>
  <c r="F368" i="5"/>
  <c r="D366" i="5"/>
  <c r="F350" i="5"/>
  <c r="E350" i="5"/>
  <c r="E365" i="5"/>
  <c r="D350" i="5"/>
  <c r="D365" i="5"/>
  <c r="F375" i="5"/>
  <c r="E368" i="5"/>
  <c r="F363" i="5"/>
  <c r="D375" i="5"/>
  <c r="F343" i="5"/>
  <c r="E361" i="5"/>
  <c r="D361" i="5"/>
  <c r="D359" i="5"/>
  <c r="E351" i="5"/>
  <c r="D351" i="5"/>
  <c r="D349" i="5"/>
  <c r="E345" i="5"/>
  <c r="F348" i="5"/>
  <c r="F345" i="5"/>
  <c r="G372" i="6"/>
  <c r="E368" i="6"/>
  <c r="F359" i="6"/>
  <c r="G350" i="6"/>
  <c r="E346" i="6"/>
  <c r="F372" i="6"/>
  <c r="G363" i="6"/>
  <c r="E359" i="6"/>
  <c r="F350" i="6"/>
  <c r="G341" i="6"/>
  <c r="G370" i="6"/>
  <c r="E366" i="6"/>
  <c r="F357" i="6"/>
  <c r="G348" i="6"/>
  <c r="E344" i="6"/>
  <c r="G374" i="6"/>
  <c r="E370" i="6"/>
  <c r="F361" i="6"/>
  <c r="G352" i="6"/>
  <c r="E348" i="6"/>
  <c r="G376" i="6"/>
  <c r="F371" i="6"/>
  <c r="G360" i="6"/>
  <c r="F355" i="6"/>
  <c r="G344" i="6"/>
  <c r="F376" i="6"/>
  <c r="E371" i="6"/>
  <c r="G365" i="6"/>
  <c r="F360" i="6"/>
  <c r="E355" i="6"/>
  <c r="G349" i="6"/>
  <c r="F344" i="6"/>
  <c r="E376" i="6"/>
  <c r="F370" i="6"/>
  <c r="G364" i="6"/>
  <c r="G358" i="6"/>
  <c r="E341" i="6"/>
  <c r="F364" i="6"/>
  <c r="F358" i="6"/>
  <c r="F352" i="6"/>
  <c r="E364" i="6"/>
  <c r="E358" i="6"/>
  <c r="E352" i="6"/>
  <c r="G346" i="6"/>
  <c r="G375" i="6"/>
  <c r="G369" i="6"/>
  <c r="F346" i="6"/>
  <c r="E375" i="6"/>
  <c r="E369" i="6"/>
  <c r="E363" i="6"/>
  <c r="G357" i="6"/>
  <c r="G351" i="6"/>
  <c r="G345" i="6"/>
  <c r="E362" i="6"/>
  <c r="E356" i="6"/>
  <c r="E350" i="6"/>
  <c r="F375" i="6"/>
  <c r="F367" i="6"/>
  <c r="E351" i="6"/>
  <c r="E343" i="6"/>
  <c r="E367" i="6"/>
  <c r="G359" i="6"/>
  <c r="F373" i="6"/>
  <c r="F365" i="6"/>
  <c r="F368" i="6"/>
  <c r="F374" i="6"/>
  <c r="E365" i="6"/>
  <c r="E347" i="6"/>
  <c r="G354" i="6"/>
  <c r="E374" i="6"/>
  <c r="G355" i="6"/>
  <c r="F345" i="6"/>
  <c r="G371" i="6"/>
  <c r="E361" i="6"/>
  <c r="G342" i="6"/>
  <c r="G373" i="6"/>
  <c r="F362" i="6"/>
  <c r="E373" i="6"/>
  <c r="G361" i="6"/>
  <c r="F349" i="6"/>
  <c r="E357" i="6"/>
  <c r="E345" i="6"/>
  <c r="G356" i="6"/>
  <c r="F343" i="6"/>
  <c r="F356" i="6"/>
  <c r="E342" i="6"/>
  <c r="E372" i="6"/>
  <c r="F342" i="6"/>
  <c r="E353" i="6"/>
  <c r="G366" i="6"/>
  <c r="F351" i="6"/>
  <c r="F363" i="6"/>
  <c r="F366" i="6"/>
  <c r="E349" i="6"/>
  <c r="E360" i="6"/>
  <c r="F341" i="6"/>
  <c r="G367" i="6"/>
  <c r="F347" i="6"/>
  <c r="F369" i="6"/>
  <c r="G368" i="6"/>
  <c r="G347" i="6"/>
  <c r="G343" i="6"/>
  <c r="V28" i="8" l="1"/>
  <c r="W11" i="8"/>
  <c r="AT18" i="8"/>
  <c r="DJ17" i="8"/>
  <c r="P50" i="2" s="1"/>
  <c r="BS16" i="8"/>
  <c r="BT16" i="8" s="1"/>
  <c r="BU16" i="8" s="1"/>
  <c r="BV16" i="8" s="1"/>
  <c r="BW16" i="8" s="1"/>
  <c r="BX16" i="8" s="1"/>
  <c r="BY16" i="8" s="1"/>
  <c r="BZ16" i="8" s="1"/>
  <c r="CA16" i="8" s="1"/>
  <c r="CB16" i="8" s="1"/>
  <c r="CD16" i="8" s="1"/>
  <c r="DI17" i="8"/>
  <c r="O50" i="2" s="1"/>
  <c r="CC17" i="8"/>
  <c r="DJ15" i="8"/>
  <c r="P48" i="2" s="1"/>
  <c r="CP15" i="8"/>
  <c r="X14" i="8"/>
  <c r="W13" i="8"/>
  <c r="CR15" i="8"/>
  <c r="CS15" i="8" s="1"/>
  <c r="CT15" i="8" s="1"/>
  <c r="CU15" i="8" s="1"/>
  <c r="CV15" i="8" s="1"/>
  <c r="CW15" i="8" s="1"/>
  <c r="CX15" i="8" s="1"/>
  <c r="CY15" i="8" s="1"/>
  <c r="CZ15" i="8" s="1"/>
  <c r="DA15" i="8" s="1"/>
  <c r="DB15" i="8" s="1"/>
  <c r="X12" i="8"/>
  <c r="CE17" i="8"/>
  <c r="CF17" i="8" s="1"/>
  <c r="CG17" i="8" s="1"/>
  <c r="CH17" i="8" s="1"/>
  <c r="CI17" i="8" s="1"/>
  <c r="CJ17" i="8" s="1"/>
  <c r="CK17" i="8" s="1"/>
  <c r="CL17" i="8" s="1"/>
  <c r="CM17" i="8" s="1"/>
  <c r="CN17" i="8" s="1"/>
  <c r="CO17" i="8" s="1"/>
  <c r="CQ17" i="8" s="1"/>
  <c r="G341" i="5"/>
  <c r="G368" i="5"/>
  <c r="H368" i="5" s="1"/>
  <c r="H348" i="6"/>
  <c r="I348" i="6" s="1"/>
  <c r="H375" i="6"/>
  <c r="I375" i="6" s="1"/>
  <c r="H345" i="6"/>
  <c r="I345" i="6" s="1"/>
  <c r="H350" i="6"/>
  <c r="I350" i="6" s="1"/>
  <c r="H365" i="6"/>
  <c r="I365" i="6" s="1"/>
  <c r="G365" i="5"/>
  <c r="H373" i="6"/>
  <c r="I373" i="6" s="1"/>
  <c r="H353" i="6"/>
  <c r="I353" i="6" s="1"/>
  <c r="H341" i="6"/>
  <c r="I341" i="6" s="1"/>
  <c r="H354" i="6"/>
  <c r="I354" i="6" s="1"/>
  <c r="H362" i="6"/>
  <c r="I362" i="6" s="1"/>
  <c r="H359" i="6"/>
  <c r="I359" i="6" s="1"/>
  <c r="G351" i="5"/>
  <c r="H351" i="5" s="1"/>
  <c r="H374" i="6"/>
  <c r="I374" i="6" s="1"/>
  <c r="G356" i="5"/>
  <c r="H356" i="5" s="1"/>
  <c r="G352" i="5"/>
  <c r="H352" i="5" s="1"/>
  <c r="G360" i="5"/>
  <c r="H360" i="5" s="1"/>
  <c r="G345" i="5"/>
  <c r="H345" i="5" s="1"/>
  <c r="H367" i="6"/>
  <c r="I367" i="6" s="1"/>
  <c r="H370" i="6"/>
  <c r="I370" i="6" s="1"/>
  <c r="H361" i="6"/>
  <c r="I361" i="6" s="1"/>
  <c r="G371" i="5"/>
  <c r="H371" i="5" s="1"/>
  <c r="G353" i="5"/>
  <c r="H352" i="6"/>
  <c r="I352" i="6" s="1"/>
  <c r="G347" i="5"/>
  <c r="H347" i="5" s="1"/>
  <c r="G367" i="5"/>
  <c r="H367" i="5" s="1"/>
  <c r="H372" i="6"/>
  <c r="I372" i="6" s="1"/>
  <c r="H366" i="6"/>
  <c r="I366" i="6" s="1"/>
  <c r="H360" i="6"/>
  <c r="I360" i="6" s="1"/>
  <c r="H363" i="6"/>
  <c r="I363" i="6" s="1"/>
  <c r="G359" i="5"/>
  <c r="H359" i="5" s="1"/>
  <c r="G362" i="5"/>
  <c r="H362" i="5" s="1"/>
  <c r="H376" i="6"/>
  <c r="I376" i="6" s="1"/>
  <c r="H347" i="6"/>
  <c r="I347" i="6" s="1"/>
  <c r="H356" i="6"/>
  <c r="I356" i="6" s="1"/>
  <c r="G372" i="5"/>
  <c r="H372" i="5" s="1"/>
  <c r="G346" i="5"/>
  <c r="H346" i="5" s="1"/>
  <c r="H346" i="6"/>
  <c r="I346" i="6" s="1"/>
  <c r="G348" i="5"/>
  <c r="H348" i="5" s="1"/>
  <c r="G342" i="5"/>
  <c r="H342" i="5" s="1"/>
  <c r="G364" i="5"/>
  <c r="H364" i="5" s="1"/>
  <c r="H349" i="6"/>
  <c r="I349" i="6" s="1"/>
  <c r="G357" i="5"/>
  <c r="H357" i="5" s="1"/>
  <c r="H358" i="6"/>
  <c r="I358" i="6" s="1"/>
  <c r="H343" i="6"/>
  <c r="I343" i="6" s="1"/>
  <c r="G375" i="5"/>
  <c r="H375" i="5" s="1"/>
  <c r="G355" i="5"/>
  <c r="H355" i="5" s="1"/>
  <c r="H357" i="6"/>
  <c r="I357" i="6" s="1"/>
  <c r="G369" i="5"/>
  <c r="H369" i="5" s="1"/>
  <c r="G366" i="5"/>
  <c r="H366" i="5" s="1"/>
  <c r="G343" i="5"/>
  <c r="H343" i="5" s="1"/>
  <c r="G374" i="5"/>
  <c r="H374" i="5" s="1"/>
  <c r="G344" i="5"/>
  <c r="H344" i="5" s="1"/>
  <c r="H342" i="6"/>
  <c r="I342" i="6" s="1"/>
  <c r="H368" i="6"/>
  <c r="I368" i="6" s="1"/>
  <c r="H364" i="6"/>
  <c r="I364" i="6" s="1"/>
  <c r="G361" i="5"/>
  <c r="H361" i="5" s="1"/>
  <c r="G358" i="5"/>
  <c r="H358" i="5" s="1"/>
  <c r="H351" i="6"/>
  <c r="I351" i="6" s="1"/>
  <c r="G350" i="5"/>
  <c r="H350" i="5" s="1"/>
  <c r="G363" i="5"/>
  <c r="H363" i="5" s="1"/>
  <c r="H344" i="6"/>
  <c r="I344" i="6" s="1"/>
  <c r="G354" i="5"/>
  <c r="H354" i="5" s="1"/>
  <c r="G373" i="5"/>
  <c r="H373" i="5" s="1"/>
  <c r="G370" i="5"/>
  <c r="H370" i="5" s="1"/>
  <c r="G349" i="5"/>
  <c r="H349" i="5" s="1"/>
  <c r="H355" i="6"/>
  <c r="I355" i="6" s="1"/>
  <c r="G376" i="5"/>
  <c r="H376" i="5" s="1"/>
  <c r="H369" i="6"/>
  <c r="I369" i="6" s="1"/>
  <c r="H371" i="6"/>
  <c r="I371" i="6" s="1"/>
  <c r="W28" i="8" l="1"/>
  <c r="X11" i="8"/>
  <c r="CC16" i="8"/>
  <c r="DI16" i="8"/>
  <c r="O49" i="2" s="1"/>
  <c r="AU18" i="8"/>
  <c r="AV18" i="8" s="1"/>
  <c r="AW18" i="8" s="1"/>
  <c r="AX18" i="8" s="1"/>
  <c r="AY18" i="8" s="1"/>
  <c r="AZ18" i="8" s="1"/>
  <c r="BA18" i="8" s="1"/>
  <c r="BB18" i="8" s="1"/>
  <c r="BD18" i="8" s="1"/>
  <c r="CE16" i="8"/>
  <c r="CF16" i="8" s="1"/>
  <c r="CG16" i="8" s="1"/>
  <c r="CH16" i="8" s="1"/>
  <c r="CI16" i="8" s="1"/>
  <c r="CJ16" i="8" s="1"/>
  <c r="CK16" i="8" s="1"/>
  <c r="CL16" i="8" s="1"/>
  <c r="CM16" i="8" s="1"/>
  <c r="CN16" i="8" s="1"/>
  <c r="CO16" i="8" s="1"/>
  <c r="CQ16" i="8" s="1"/>
  <c r="DK17" i="8"/>
  <c r="Q50" i="2" s="1"/>
  <c r="CP17" i="8"/>
  <c r="DK15" i="8"/>
  <c r="Q48" i="2" s="1"/>
  <c r="DC15" i="8"/>
  <c r="X13" i="8"/>
  <c r="Y12" i="8"/>
  <c r="Y14" i="8"/>
  <c r="CR17" i="8"/>
  <c r="CS17" i="8" s="1"/>
  <c r="CT17" i="8" s="1"/>
  <c r="CU17" i="8" s="1"/>
  <c r="CV17" i="8" s="1"/>
  <c r="CW17" i="8" s="1"/>
  <c r="CX17" i="8" s="1"/>
  <c r="CY17" i="8" s="1"/>
  <c r="CZ17" i="8" s="1"/>
  <c r="DA17" i="8" s="1"/>
  <c r="DB17" i="8" s="1"/>
  <c r="H365" i="5"/>
  <c r="I376" i="5"/>
  <c r="H353" i="5"/>
  <c r="I364" i="5"/>
  <c r="H341" i="5"/>
  <c r="I352" i="5"/>
  <c r="X28" i="8" l="1"/>
  <c r="Y11" i="8"/>
  <c r="CP16" i="8"/>
  <c r="BC18" i="8"/>
  <c r="BE18" i="8"/>
  <c r="BF18" i="8" s="1"/>
  <c r="BG18" i="8" s="1"/>
  <c r="BH18" i="8" s="1"/>
  <c r="BI18" i="8" s="1"/>
  <c r="BJ18" i="8" s="1"/>
  <c r="BK18" i="8" s="1"/>
  <c r="BL18" i="8" s="1"/>
  <c r="BM18" i="8" s="1"/>
  <c r="BN18" i="8" s="1"/>
  <c r="BO18" i="8" s="1"/>
  <c r="BQ18" i="8" s="1"/>
  <c r="DG18" i="8"/>
  <c r="DJ16" i="8"/>
  <c r="P49" i="2" s="1"/>
  <c r="CR16" i="8"/>
  <c r="CS16" i="8" s="1"/>
  <c r="CT16" i="8" s="1"/>
  <c r="CU16" i="8" s="1"/>
  <c r="CV16" i="8" s="1"/>
  <c r="CW16" i="8" s="1"/>
  <c r="CX16" i="8" s="1"/>
  <c r="CY16" i="8" s="1"/>
  <c r="CZ16" i="8" s="1"/>
  <c r="DA16" i="8" s="1"/>
  <c r="DB16" i="8" s="1"/>
  <c r="Z12" i="8"/>
  <c r="Y13" i="8"/>
  <c r="Z14" i="8"/>
  <c r="DC17" i="8"/>
  <c r="Y28" i="8" l="1"/>
  <c r="Z11" i="8"/>
  <c r="BP18" i="8"/>
  <c r="M51" i="2"/>
  <c r="BR18" i="8"/>
  <c r="BS18" i="8" s="1"/>
  <c r="BT18" i="8" s="1"/>
  <c r="BU18" i="8" s="1"/>
  <c r="BV18" i="8" s="1"/>
  <c r="BW18" i="8" s="1"/>
  <c r="BX18" i="8" s="1"/>
  <c r="BY18" i="8" s="1"/>
  <c r="BZ18" i="8" s="1"/>
  <c r="CA18" i="8" s="1"/>
  <c r="CB18" i="8" s="1"/>
  <c r="CD18" i="8" s="1"/>
  <c r="DH18" i="8"/>
  <c r="DK16" i="8"/>
  <c r="Q49" i="2" s="1"/>
  <c r="DC16" i="8"/>
  <c r="AA14" i="8"/>
  <c r="AA12" i="8"/>
  <c r="Z13" i="8"/>
  <c r="Z28" i="8" l="1"/>
  <c r="AA11" i="8"/>
  <c r="CC18" i="8"/>
  <c r="N51" i="2"/>
  <c r="CE18" i="8"/>
  <c r="CF18" i="8" s="1"/>
  <c r="CG18" i="8" s="1"/>
  <c r="CH18" i="8" s="1"/>
  <c r="CI18" i="8" s="1"/>
  <c r="CJ18" i="8" s="1"/>
  <c r="CK18" i="8" s="1"/>
  <c r="CL18" i="8" s="1"/>
  <c r="CM18" i="8" s="1"/>
  <c r="CN18" i="8" s="1"/>
  <c r="CO18" i="8" s="1"/>
  <c r="CQ18" i="8" s="1"/>
  <c r="DJ18" i="8"/>
  <c r="DI18" i="8"/>
  <c r="AA13" i="8"/>
  <c r="AB12" i="8"/>
  <c r="AD12" i="8" s="1"/>
  <c r="AB14" i="8"/>
  <c r="AD14" i="8" s="1"/>
  <c r="AA28" i="8" l="1"/>
  <c r="AB11" i="8"/>
  <c r="CP18" i="8"/>
  <c r="O51" i="2"/>
  <c r="P51" i="2"/>
  <c r="CR18" i="8"/>
  <c r="CS18" i="8" s="1"/>
  <c r="CT18" i="8" s="1"/>
  <c r="CU18" i="8" s="1"/>
  <c r="CV18" i="8" s="1"/>
  <c r="CW18" i="8" s="1"/>
  <c r="CX18" i="8" s="1"/>
  <c r="CY18" i="8" s="1"/>
  <c r="CZ18" i="8" s="1"/>
  <c r="DA18" i="8" s="1"/>
  <c r="DB18" i="8" s="1"/>
  <c r="DK18" i="8"/>
  <c r="DE14" i="8"/>
  <c r="K47" i="2" s="1"/>
  <c r="AC12" i="8"/>
  <c r="DE12" i="8"/>
  <c r="K45" i="2" s="1"/>
  <c r="AC14" i="8"/>
  <c r="AB13" i="8"/>
  <c r="AD13" i="8" s="1"/>
  <c r="AD11" i="8" l="1"/>
  <c r="AE11" i="8" s="1"/>
  <c r="AF11" i="8" s="1"/>
  <c r="AB28" i="8"/>
  <c r="AC11" i="8"/>
  <c r="DE11" i="8"/>
  <c r="K44" i="2" s="1"/>
  <c r="Q51" i="2"/>
  <c r="DC18" i="8"/>
  <c r="AE12" i="8"/>
  <c r="AC13" i="8"/>
  <c r="DE13" i="8"/>
  <c r="AE14" i="8"/>
  <c r="AC28" i="8" l="1"/>
  <c r="DE28" i="8"/>
  <c r="F9" i="3" s="1"/>
  <c r="G9" i="2" s="1"/>
  <c r="K46" i="2"/>
  <c r="K56" i="2" s="1"/>
  <c r="K37" i="2" s="1"/>
  <c r="AE13" i="8"/>
  <c r="AD28" i="8"/>
  <c r="AF14" i="8"/>
  <c r="AG11" i="8"/>
  <c r="AF12" i="8"/>
  <c r="F10" i="3" l="1"/>
  <c r="AG12" i="8"/>
  <c r="AF13" i="8"/>
  <c r="AE28" i="8"/>
  <c r="AG14" i="8"/>
  <c r="AH11" i="8"/>
  <c r="F11" i="3" l="1"/>
  <c r="F21" i="3" s="1"/>
  <c r="G13" i="2" s="1"/>
  <c r="G10" i="2"/>
  <c r="G12" i="2" s="1"/>
  <c r="AI11" i="8"/>
  <c r="AG13" i="8"/>
  <c r="AF28" i="8"/>
  <c r="AH14" i="8"/>
  <c r="AH12" i="8"/>
  <c r="F14" i="3" l="1"/>
  <c r="F22" i="3" s="1"/>
  <c r="F45" i="3" s="1"/>
  <c r="F46" i="3" s="1"/>
  <c r="G14" i="2"/>
  <c r="AI14" i="8"/>
  <c r="AI12" i="8"/>
  <c r="AJ11" i="8"/>
  <c r="AH13" i="8"/>
  <c r="AH28" i="8" s="1"/>
  <c r="AG28" i="8"/>
  <c r="AJ14" i="8" l="1"/>
  <c r="AK11" i="8"/>
  <c r="AI13" i="8"/>
  <c r="AI28" i="8" s="1"/>
  <c r="AJ12" i="8"/>
  <c r="AL11" i="8" l="1"/>
  <c r="AK12" i="8"/>
  <c r="AJ13" i="8"/>
  <c r="AK14" i="8"/>
  <c r="AM11" i="8" l="1"/>
  <c r="AL14" i="8"/>
  <c r="AK13" i="8"/>
  <c r="AL12" i="8"/>
  <c r="AJ28" i="8"/>
  <c r="AN11" i="8" l="1"/>
  <c r="AL13" i="8"/>
  <c r="AL28" i="8" s="1"/>
  <c r="AK28" i="8"/>
  <c r="AM12" i="8"/>
  <c r="AM14" i="8"/>
  <c r="AM13" i="8" l="1"/>
  <c r="AO11" i="8"/>
  <c r="AQ11" i="8" s="1"/>
  <c r="AN14" i="8"/>
  <c r="AN12" i="8"/>
  <c r="AO12" i="8" l="1"/>
  <c r="AN13" i="8"/>
  <c r="AN28" i="8" s="1"/>
  <c r="AO14" i="8"/>
  <c r="AQ14" i="8" s="1"/>
  <c r="AM28" i="8"/>
  <c r="AP11" i="8"/>
  <c r="DF11" i="8"/>
  <c r="L44" i="2" l="1"/>
  <c r="DF12" i="8"/>
  <c r="L45" i="2" s="1"/>
  <c r="AQ12" i="8"/>
  <c r="AP14" i="8"/>
  <c r="DF14" i="8"/>
  <c r="L47" i="2" s="1"/>
  <c r="AR11" i="8"/>
  <c r="AO13" i="8"/>
  <c r="AP12" i="8"/>
  <c r="DF13" i="8" l="1"/>
  <c r="L46" i="2" s="1"/>
  <c r="AQ13" i="8"/>
  <c r="AP13" i="8"/>
  <c r="AP28" i="8" s="1"/>
  <c r="AO28" i="8"/>
  <c r="AR14" i="8"/>
  <c r="AR12" i="8"/>
  <c r="AS11" i="8"/>
  <c r="DF28" i="8" l="1"/>
  <c r="G9" i="3" s="1"/>
  <c r="AT11" i="8"/>
  <c r="AR13" i="8"/>
  <c r="AQ28" i="8"/>
  <c r="AS14" i="8"/>
  <c r="AS12" i="8"/>
  <c r="G10" i="3" l="1"/>
  <c r="G11" i="3" s="1"/>
  <c r="AS13" i="8"/>
  <c r="AS28" i="8" s="1"/>
  <c r="AR28" i="8"/>
  <c r="AT12" i="8"/>
  <c r="AU11" i="8"/>
  <c r="AT14" i="8"/>
  <c r="G21" i="3" l="1"/>
  <c r="G14" i="3"/>
  <c r="AV11" i="8"/>
  <c r="AU12" i="8"/>
  <c r="AT13" i="8"/>
  <c r="AT28" i="8" s="1"/>
  <c r="AU14" i="8"/>
  <c r="G22" i="3" l="1"/>
  <c r="G45" i="3" s="1"/>
  <c r="G46" i="3" s="1"/>
  <c r="AU13" i="8"/>
  <c r="AW11" i="8"/>
  <c r="AV14" i="8"/>
  <c r="AV12" i="8"/>
  <c r="AX11" i="8" l="1"/>
  <c r="AW12" i="8"/>
  <c r="AW14" i="8"/>
  <c r="AV13" i="8"/>
  <c r="AU28" i="8"/>
  <c r="AW13" i="8" l="1"/>
  <c r="AV28" i="8"/>
  <c r="AY11" i="8"/>
  <c r="AX14" i="8"/>
  <c r="AX12" i="8"/>
  <c r="AZ11" i="8" l="1"/>
  <c r="AY14" i="8"/>
  <c r="AX13" i="8"/>
  <c r="AX28" i="8" s="1"/>
  <c r="AW28" i="8"/>
  <c r="AY12" i="8"/>
  <c r="BA11" i="8" l="1"/>
  <c r="AY13" i="8"/>
  <c r="AZ14" i="8"/>
  <c r="AZ12" i="8"/>
  <c r="L56" i="2"/>
  <c r="L57" i="2" l="1"/>
  <c r="L38" i="2" s="1"/>
  <c r="L37" i="2"/>
  <c r="BA12" i="8"/>
  <c r="BB11" i="8"/>
  <c r="BD11" i="8" s="1"/>
  <c r="BA14" i="8"/>
  <c r="AZ13" i="8"/>
  <c r="AZ28" i="8" s="1"/>
  <c r="AY28" i="8"/>
  <c r="BC11" i="8" l="1"/>
  <c r="DG11" i="8"/>
  <c r="BA13" i="8"/>
  <c r="BB12" i="8"/>
  <c r="BD12" i="8" s="1"/>
  <c r="BB14" i="8"/>
  <c r="BD14" i="8" s="1"/>
  <c r="M44" i="2" l="1"/>
  <c r="DG14" i="8"/>
  <c r="M47" i="2" s="1"/>
  <c r="BE11" i="8"/>
  <c r="BC14" i="8"/>
  <c r="BC12" i="8"/>
  <c r="DG12" i="8"/>
  <c r="M45" i="2" s="1"/>
  <c r="BB13" i="8"/>
  <c r="BD13" i="8" s="1"/>
  <c r="BA28" i="8"/>
  <c r="BE14" i="8" l="1"/>
  <c r="BE12" i="8"/>
  <c r="BF11" i="8"/>
  <c r="BC13" i="8"/>
  <c r="BC28" i="8" s="1"/>
  <c r="BB28" i="8"/>
  <c r="DG13" i="8"/>
  <c r="M46" i="2" s="1"/>
  <c r="DG28" i="8" l="1"/>
  <c r="H9" i="3" s="1"/>
  <c r="H10" i="3" s="1"/>
  <c r="H11" i="3" s="1"/>
  <c r="M56" i="2"/>
  <c r="BG11" i="8"/>
  <c r="BE13" i="8"/>
  <c r="BD28" i="8"/>
  <c r="BF14" i="8"/>
  <c r="BF12" i="8"/>
  <c r="P34" i="2"/>
  <c r="D27" i="2" s="1"/>
  <c r="O34" i="2"/>
  <c r="D12" i="2" s="1"/>
  <c r="K34" i="2"/>
  <c r="G22" i="2" s="1"/>
  <c r="G41" i="7" l="1"/>
  <c r="G40" i="7"/>
  <c r="G31" i="7"/>
  <c r="M57" i="2"/>
  <c r="M38" i="2" s="1"/>
  <c r="M37" i="2"/>
  <c r="H21" i="3"/>
  <c r="H14" i="3"/>
  <c r="BH11" i="8"/>
  <c r="BG12" i="8"/>
  <c r="BG14" i="8"/>
  <c r="BF13" i="8"/>
  <c r="BF28" i="8" s="1"/>
  <c r="BE28" i="8"/>
  <c r="D36" i="2"/>
  <c r="O10" i="7"/>
  <c r="O9" i="7"/>
  <c r="O16" i="7"/>
  <c r="O8" i="7"/>
  <c r="O15" i="7"/>
  <c r="O7" i="7"/>
  <c r="O14" i="7"/>
  <c r="O6" i="7"/>
  <c r="O13" i="7"/>
  <c r="O5" i="7"/>
  <c r="O12" i="7"/>
  <c r="O11" i="7"/>
  <c r="O17" i="7"/>
  <c r="G26" i="7"/>
  <c r="G27" i="7"/>
  <c r="G17" i="7"/>
  <c r="G28" i="7"/>
  <c r="G21" i="7"/>
  <c r="G22" i="7"/>
  <c r="G30" i="7"/>
  <c r="G24" i="7"/>
  <c r="G25" i="7"/>
  <c r="G29" i="7"/>
  <c r="G23" i="7"/>
  <c r="G42" i="7"/>
  <c r="G20" i="7"/>
  <c r="G23" i="2"/>
  <c r="H22" i="3" l="1"/>
  <c r="H45" i="3" s="1"/>
  <c r="BH14" i="8"/>
  <c r="BI11" i="8"/>
  <c r="BG13" i="8"/>
  <c r="BH12" i="8"/>
  <c r="H46" i="3" l="1"/>
  <c r="BH13" i="8"/>
  <c r="BG28" i="8"/>
  <c r="BI12" i="8"/>
  <c r="BI14" i="8"/>
  <c r="BJ11" i="8"/>
  <c r="BH28" i="8"/>
  <c r="BJ14" i="8" l="1"/>
  <c r="BI13" i="8"/>
  <c r="BI28" i="8" s="1"/>
  <c r="BK11" i="8"/>
  <c r="BJ12" i="8"/>
  <c r="BL11" i="8" l="1"/>
  <c r="BK14" i="8"/>
  <c r="BK12" i="8"/>
  <c r="BJ13" i="8"/>
  <c r="BL14" i="8" l="1"/>
  <c r="BM11" i="8"/>
  <c r="BL12" i="8"/>
  <c r="BK13" i="8"/>
  <c r="BJ28" i="8"/>
  <c r="BL13" i="8" l="1"/>
  <c r="BK28" i="8"/>
  <c r="BM14" i="8"/>
  <c r="BM12" i="8"/>
  <c r="BN11" i="8"/>
  <c r="BO11" i="8" l="1"/>
  <c r="BQ11" i="8" s="1"/>
  <c r="BN14" i="8"/>
  <c r="BM13" i="8"/>
  <c r="BL28" i="8"/>
  <c r="BN12" i="8"/>
  <c r="DH11" i="8" l="1"/>
  <c r="N44" i="2" s="1"/>
  <c r="BO12" i="8"/>
  <c r="BQ12" i="8" s="1"/>
  <c r="BO14" i="8"/>
  <c r="BQ14" i="8" s="1"/>
  <c r="BP11" i="8"/>
  <c r="BN13" i="8"/>
  <c r="BN28" i="8" s="1"/>
  <c r="BM28" i="8"/>
  <c r="BO13" i="8" l="1"/>
  <c r="BQ13" i="8" s="1"/>
  <c r="BP12" i="8"/>
  <c r="BR11" i="8"/>
  <c r="BP14" i="8"/>
  <c r="DH12" i="8"/>
  <c r="DH14" i="8"/>
  <c r="N47" i="2" s="1"/>
  <c r="DH13" i="8" l="1"/>
  <c r="N46" i="2" s="1"/>
  <c r="N45" i="2"/>
  <c r="BS11" i="8"/>
  <c r="BR14" i="8"/>
  <c r="BR12" i="8"/>
  <c r="BP13" i="8"/>
  <c r="BP28" i="8" s="1"/>
  <c r="BO28" i="8"/>
  <c r="DH28" i="8" l="1"/>
  <c r="I9" i="3" s="1"/>
  <c r="N56" i="2"/>
  <c r="BS12" i="8"/>
  <c r="BT11" i="8"/>
  <c r="BR13" i="8"/>
  <c r="BS14" i="8"/>
  <c r="BQ28" i="8"/>
  <c r="N57" i="2" l="1"/>
  <c r="N38" i="2" s="1"/>
  <c r="N37" i="2"/>
  <c r="I10" i="3"/>
  <c r="I11" i="3" s="1"/>
  <c r="BT14" i="8"/>
  <c r="BS13" i="8"/>
  <c r="BU11" i="8"/>
  <c r="BT12" i="8"/>
  <c r="BR28" i="8"/>
  <c r="I21" i="3" l="1"/>
  <c r="I14" i="3"/>
  <c r="BT13" i="8"/>
  <c r="BS28" i="8"/>
  <c r="BV11" i="8"/>
  <c r="BU12" i="8"/>
  <c r="BU14" i="8"/>
  <c r="I22" i="3" l="1"/>
  <c r="BV14" i="8"/>
  <c r="BW11" i="8"/>
  <c r="BU13" i="8"/>
  <c r="BT28" i="8"/>
  <c r="BV12" i="8"/>
  <c r="I45" i="3" l="1"/>
  <c r="I46" i="3" s="1"/>
  <c r="M11" i="2"/>
  <c r="M12" i="2" s="1"/>
  <c r="L11" i="2"/>
  <c r="L12" i="2" s="1"/>
  <c r="Q11" i="2"/>
  <c r="Q12" i="2" s="1"/>
  <c r="K11" i="2"/>
  <c r="K12" i="2" s="1"/>
  <c r="P11" i="2"/>
  <c r="P12" i="2" s="1"/>
  <c r="O11" i="2"/>
  <c r="O12" i="2" s="1"/>
  <c r="N11" i="2"/>
  <c r="N12" i="2" s="1"/>
  <c r="BX11" i="8"/>
  <c r="BW12" i="8"/>
  <c r="BW14" i="8"/>
  <c r="BV13" i="8"/>
  <c r="BU28" i="8"/>
  <c r="BX12" i="8" l="1"/>
  <c r="BY11" i="8"/>
  <c r="BW13" i="8"/>
  <c r="BW28" i="8" s="1"/>
  <c r="BV28" i="8"/>
  <c r="BX14" i="8"/>
  <c r="BY12" i="8" l="1"/>
  <c r="BX13" i="8"/>
  <c r="BY14" i="8"/>
  <c r="BZ11" i="8"/>
  <c r="BY13" i="8" l="1"/>
  <c r="BX28" i="8"/>
  <c r="CA11" i="8"/>
  <c r="BZ12" i="8"/>
  <c r="BZ14" i="8"/>
  <c r="CB11" i="8" l="1"/>
  <c r="CD11" i="8" s="1"/>
  <c r="CA12" i="8"/>
  <c r="BZ13" i="8"/>
  <c r="BY28" i="8"/>
  <c r="CA14" i="8"/>
  <c r="CB12" i="8" l="1"/>
  <c r="CD12" i="8" s="1"/>
  <c r="CB14" i="8"/>
  <c r="CD14" i="8" s="1"/>
  <c r="CC11" i="8"/>
  <c r="DI11" i="8"/>
  <c r="CA13" i="8"/>
  <c r="CA28" i="8" s="1"/>
  <c r="BZ28" i="8"/>
  <c r="O44" i="2" l="1"/>
  <c r="DI12" i="8"/>
  <c r="O45" i="2" s="1"/>
  <c r="CB13" i="8"/>
  <c r="CE11" i="8"/>
  <c r="CC14" i="8"/>
  <c r="CC12" i="8"/>
  <c r="DI14" i="8"/>
  <c r="O47" i="2" s="1"/>
  <c r="DI13" i="8" l="1"/>
  <c r="DI28" i="8" s="1"/>
  <c r="J9" i="3" s="1"/>
  <c r="CD13" i="8"/>
  <c r="CC13" i="8"/>
  <c r="CC28" i="8" s="1"/>
  <c r="CB28" i="8"/>
  <c r="CF11" i="8"/>
  <c r="CE12" i="8"/>
  <c r="CE14" i="8"/>
  <c r="O46" i="2" l="1"/>
  <c r="O56" i="2" s="1"/>
  <c r="CE13" i="8"/>
  <c r="CD28" i="8"/>
  <c r="CG11" i="8"/>
  <c r="CF14" i="8"/>
  <c r="CF12" i="8"/>
  <c r="O57" i="2" l="1"/>
  <c r="O38" i="2" s="1"/>
  <c r="O37" i="2"/>
  <c r="J10" i="3"/>
  <c r="J11" i="3" s="1"/>
  <c r="CF13" i="8"/>
  <c r="CE28" i="8"/>
  <c r="CG14" i="8"/>
  <c r="CG12" i="8"/>
  <c r="CH11" i="8"/>
  <c r="J21" i="3" l="1"/>
  <c r="J14" i="3"/>
  <c r="CI11" i="8"/>
  <c r="CH14" i="8"/>
  <c r="CG13" i="8"/>
  <c r="CF28" i="8"/>
  <c r="CH12" i="8"/>
  <c r="J22" i="3" l="1"/>
  <c r="J45" i="3" s="1"/>
  <c r="J46" i="3" s="1"/>
  <c r="CI14" i="8"/>
  <c r="CJ11" i="8"/>
  <c r="CI12" i="8"/>
  <c r="CH13" i="8"/>
  <c r="CG28" i="8"/>
  <c r="CI13" i="8" l="1"/>
  <c r="CK11" i="8"/>
  <c r="CH28" i="8"/>
  <c r="CJ12" i="8"/>
  <c r="CJ14" i="8"/>
  <c r="CK12" i="8" l="1"/>
  <c r="CK14" i="8"/>
  <c r="CL11" i="8"/>
  <c r="CJ13" i="8"/>
  <c r="CI28" i="8"/>
  <c r="CM11" i="8" l="1"/>
  <c r="CK13" i="8"/>
  <c r="CL14" i="8"/>
  <c r="CL12" i="8"/>
  <c r="CJ28" i="8"/>
  <c r="CL13" i="8" l="1"/>
  <c r="CK28" i="8"/>
  <c r="CM12" i="8"/>
  <c r="CN11" i="8"/>
  <c r="CM14" i="8"/>
  <c r="CN14" i="8" l="1"/>
  <c r="CO11" i="8"/>
  <c r="CQ11" i="8" s="1"/>
  <c r="DJ11" i="8"/>
  <c r="CM13" i="8"/>
  <c r="CN12" i="8"/>
  <c r="CL28" i="8"/>
  <c r="P44" i="2" l="1"/>
  <c r="CP11" i="8"/>
  <c r="CO12" i="8"/>
  <c r="CQ12" i="8" s="1"/>
  <c r="CO14" i="8"/>
  <c r="CQ14" i="8" s="1"/>
  <c r="CN13" i="8"/>
  <c r="CM28" i="8"/>
  <c r="CO13" i="8" l="1"/>
  <c r="CQ13" i="8" s="1"/>
  <c r="CN28" i="8"/>
  <c r="CP14" i="8"/>
  <c r="DJ14" i="8"/>
  <c r="P47" i="2" s="1"/>
  <c r="CR11" i="8"/>
  <c r="DJ13" i="8"/>
  <c r="P46" i="2" s="1"/>
  <c r="CP12" i="8"/>
  <c r="CO28" i="8"/>
  <c r="DJ12" i="8"/>
  <c r="P45" i="2" l="1"/>
  <c r="P56" i="2" s="1"/>
  <c r="DJ28" i="8"/>
  <c r="K9" i="3" s="1"/>
  <c r="CS11" i="8"/>
  <c r="CP13" i="8"/>
  <c r="CP28" i="8" s="1"/>
  <c r="CR14" i="8"/>
  <c r="CR12" i="8"/>
  <c r="P57" i="2" l="1"/>
  <c r="P38" i="2" s="1"/>
  <c r="P37" i="2"/>
  <c r="K10" i="3"/>
  <c r="K11" i="3" s="1"/>
  <c r="CR13" i="8"/>
  <c r="CR28" i="8" s="1"/>
  <c r="CQ28" i="8"/>
  <c r="CT11" i="8"/>
  <c r="CS12" i="8"/>
  <c r="CS14" i="8"/>
  <c r="K14" i="3" l="1"/>
  <c r="K21" i="3"/>
  <c r="CU11" i="8"/>
  <c r="CT14" i="8"/>
  <c r="CT12" i="8"/>
  <c r="CS13" i="8"/>
  <c r="K22" i="3" l="1"/>
  <c r="K45" i="3" s="1"/>
  <c r="K46" i="3" s="1"/>
  <c r="CT13" i="8"/>
  <c r="CT28" i="8" s="1"/>
  <c r="CS28" i="8"/>
  <c r="CU12" i="8"/>
  <c r="CU14" i="8"/>
  <c r="CV11" i="8"/>
  <c r="CU13" i="8" l="1"/>
  <c r="CU28" i="8" s="1"/>
  <c r="CV12" i="8"/>
  <c r="CW11" i="8"/>
  <c r="CV14" i="8"/>
  <c r="CW14" i="8" l="1"/>
  <c r="CW12" i="8"/>
  <c r="CV13" i="8"/>
  <c r="CV28" i="8" s="1"/>
  <c r="CX11" i="8"/>
  <c r="CW13" i="8" l="1"/>
  <c r="CX12" i="8"/>
  <c r="CY11" i="8"/>
  <c r="CW28" i="8"/>
  <c r="CX14" i="8"/>
  <c r="CZ11" i="8" l="1"/>
  <c r="CY14" i="8"/>
  <c r="CY12" i="8"/>
  <c r="CX13" i="8"/>
  <c r="DA11" i="8" l="1"/>
  <c r="CZ12" i="8"/>
  <c r="CZ14" i="8"/>
  <c r="CY13" i="8"/>
  <c r="CY28" i="8" s="1"/>
  <c r="CX28" i="8"/>
  <c r="DA14" i="8" l="1"/>
  <c r="DA12" i="8"/>
  <c r="CZ13" i="8"/>
  <c r="CZ28" i="8" s="1"/>
  <c r="DB11" i="8"/>
  <c r="DK11" i="8" s="1"/>
  <c r="Q44" i="2" l="1"/>
  <c r="DA13" i="8"/>
  <c r="DA28" i="8" s="1"/>
  <c r="DC11" i="8"/>
  <c r="DB12" i="8"/>
  <c r="DB14" i="8"/>
  <c r="DC12" i="8" l="1"/>
  <c r="DC14" i="8"/>
  <c r="DK14" i="8"/>
  <c r="Q47" i="2" s="1"/>
  <c r="DK12" i="8"/>
  <c r="DB13" i="8"/>
  <c r="DB28" i="8" s="1"/>
  <c r="Q45" i="2" l="1"/>
  <c r="DC13" i="8"/>
  <c r="DC28" i="8" s="1"/>
  <c r="DK13" i="8"/>
  <c r="Q46" i="2" s="1"/>
  <c r="DK28" i="8" l="1"/>
  <c r="L9" i="3" s="1"/>
  <c r="L10" i="3" s="1"/>
  <c r="L11" i="3" s="1"/>
  <c r="Q56" i="2"/>
  <c r="Q57" i="2" l="1"/>
  <c r="Q38" i="2" s="1"/>
  <c r="Q37" i="2"/>
  <c r="L21" i="3"/>
  <c r="L14" i="3"/>
  <c r="F43" i="7"/>
  <c r="L22" i="3" l="1"/>
  <c r="L45" i="3" s="1"/>
  <c r="L46" i="3" s="1"/>
  <c r="D10" i="2"/>
  <c r="D13" i="2" s="1"/>
  <c r="D35" i="2" s="1"/>
  <c r="D3" i="9"/>
  <c r="G43" i="7"/>
  <c r="D29" i="2" l="1"/>
  <c r="D8" i="9" s="1"/>
  <c r="D12" i="9" s="1"/>
  <c r="D16" i="9" s="1"/>
  <c r="D30" i="2" l="1"/>
  <c r="D14" i="9"/>
  <c r="D15" i="9"/>
  <c r="D17" i="9" s="1"/>
  <c r="D37" i="2" l="1"/>
  <c r="H5" i="5"/>
  <c r="D32" i="2"/>
  <c r="G21" i="2" s="1"/>
  <c r="G5" i="6" l="1"/>
  <c r="G7" i="6" s="1"/>
  <c r="G8" i="6" s="1"/>
  <c r="D38" i="2"/>
  <c r="F5" i="5"/>
  <c r="F7" i="5" s="1"/>
  <c r="F8" i="5" s="1"/>
  <c r="G27" i="2"/>
  <c r="G29" i="2" s="1"/>
  <c r="G30" i="2" s="1"/>
  <c r="P14" i="3" s="1"/>
  <c r="Q10" i="2"/>
  <c r="P10" i="2"/>
  <c r="N10" i="2"/>
  <c r="G24" i="2"/>
  <c r="P13" i="3" s="1"/>
  <c r="K10" i="2"/>
  <c r="M10" i="2"/>
  <c r="L10" i="2"/>
  <c r="O10" i="2"/>
  <c r="L49" i="3" l="1"/>
  <c r="L31" i="3"/>
  <c r="G31" i="3"/>
  <c r="F31" i="3"/>
  <c r="I31" i="3"/>
  <c r="H31" i="3"/>
  <c r="K31" i="3"/>
  <c r="J31" i="3"/>
  <c r="O15" i="2"/>
  <c r="M15" i="2"/>
  <c r="L15" i="2"/>
  <c r="P15" i="2"/>
  <c r="Q15" i="2"/>
  <c r="N15" i="2"/>
  <c r="K15" i="2"/>
  <c r="D6" i="4"/>
  <c r="C5" i="5"/>
  <c r="C13" i="5" s="1"/>
  <c r="G33" i="2"/>
  <c r="G34" i="2" s="1"/>
  <c r="E335" i="5" l="1"/>
  <c r="E340" i="5"/>
  <c r="E338" i="5"/>
  <c r="E337" i="5"/>
  <c r="E339" i="5"/>
  <c r="E336" i="5"/>
  <c r="E332" i="5"/>
  <c r="E334" i="5"/>
  <c r="E330" i="5"/>
  <c r="E331" i="5"/>
  <c r="E329" i="5"/>
  <c r="E333" i="5"/>
  <c r="J49" i="3"/>
  <c r="K49" i="3"/>
  <c r="G49" i="3"/>
  <c r="I49" i="3"/>
  <c r="H49" i="3"/>
  <c r="F49" i="3"/>
  <c r="E322" i="5"/>
  <c r="E318" i="5"/>
  <c r="E305" i="5"/>
  <c r="E317" i="5"/>
  <c r="E327" i="5"/>
  <c r="E319" i="5"/>
  <c r="E314" i="5"/>
  <c r="E325" i="5"/>
  <c r="E321" i="5"/>
  <c r="E324" i="5"/>
  <c r="E320" i="5"/>
  <c r="E315" i="5"/>
  <c r="E308" i="5"/>
  <c r="E289" i="5"/>
  <c r="E280" i="5"/>
  <c r="E276" i="5"/>
  <c r="E272" i="5"/>
  <c r="E267" i="5"/>
  <c r="E323" i="5"/>
  <c r="E306" i="5"/>
  <c r="E293" i="5"/>
  <c r="E300" i="5"/>
  <c r="E296" i="5"/>
  <c r="E291" i="5"/>
  <c r="E287" i="5"/>
  <c r="E274" i="5"/>
  <c r="E257" i="5"/>
  <c r="E328" i="5"/>
  <c r="E316" i="5"/>
  <c r="E307" i="5"/>
  <c r="E297" i="5"/>
  <c r="E281" i="5"/>
  <c r="E288" i="5"/>
  <c r="E275" i="5"/>
  <c r="E326" i="5"/>
  <c r="E303" i="5"/>
  <c r="E299" i="5"/>
  <c r="E295" i="5"/>
  <c r="E290" i="5"/>
  <c r="E286" i="5"/>
  <c r="E269" i="5"/>
  <c r="E313" i="5"/>
  <c r="E310" i="5"/>
  <c r="E283" i="5"/>
  <c r="E270" i="5"/>
  <c r="E265" i="5"/>
  <c r="E312" i="5"/>
  <c r="E309" i="5"/>
  <c r="E304" i="5"/>
  <c r="E302" i="5"/>
  <c r="E273" i="5"/>
  <c r="E262" i="5"/>
  <c r="E245" i="5"/>
  <c r="E249" i="5"/>
  <c r="E244" i="5"/>
  <c r="E236" i="5"/>
  <c r="E225" i="5"/>
  <c r="E277" i="5"/>
  <c r="E271" i="5"/>
  <c r="E263" i="5"/>
  <c r="E259" i="5"/>
  <c r="E254" i="5"/>
  <c r="E238" i="5"/>
  <c r="E231" i="5"/>
  <c r="E311" i="5"/>
  <c r="E285" i="5"/>
  <c r="E261" i="5"/>
  <c r="E255" i="5"/>
  <c r="E252" i="5"/>
  <c r="E248" i="5"/>
  <c r="E228" i="5"/>
  <c r="E258" i="5"/>
  <c r="E253" i="5"/>
  <c r="E233" i="5"/>
  <c r="E230" i="5"/>
  <c r="E220" i="5"/>
  <c r="E282" i="5"/>
  <c r="E278" i="5"/>
  <c r="E260" i="5"/>
  <c r="E251" i="5"/>
  <c r="E242" i="5"/>
  <c r="E232" i="5"/>
  <c r="E227" i="5"/>
  <c r="E294" i="5"/>
  <c r="E292" i="5"/>
  <c r="E264" i="5"/>
  <c r="E250" i="5"/>
  <c r="E235" i="5"/>
  <c r="E223" i="5"/>
  <c r="E216" i="5"/>
  <c r="E189" i="5"/>
  <c r="E178" i="5"/>
  <c r="E301" i="5"/>
  <c r="E240" i="5"/>
  <c r="E197" i="5"/>
  <c r="E198" i="5"/>
  <c r="E191" i="5"/>
  <c r="E186" i="5"/>
  <c r="E173" i="5"/>
  <c r="E174" i="5"/>
  <c r="E161" i="5"/>
  <c r="E284" i="5"/>
  <c r="E268" i="5"/>
  <c r="E247" i="5"/>
  <c r="E243" i="5"/>
  <c r="E224" i="5"/>
  <c r="E214" i="5"/>
  <c r="E204" i="5"/>
  <c r="E194" i="5"/>
  <c r="E188" i="5"/>
  <c r="E237" i="5"/>
  <c r="E221" i="5"/>
  <c r="E226" i="5"/>
  <c r="E212" i="5"/>
  <c r="E207" i="5"/>
  <c r="E201" i="5"/>
  <c r="E196" i="5"/>
  <c r="E183" i="5"/>
  <c r="E279" i="5"/>
  <c r="E239" i="5"/>
  <c r="E229" i="5"/>
  <c r="E217" i="5"/>
  <c r="E208" i="5"/>
  <c r="E202" i="5"/>
  <c r="E185" i="5"/>
  <c r="E190" i="5"/>
  <c r="E246" i="5"/>
  <c r="E209" i="5"/>
  <c r="E199" i="5"/>
  <c r="E181" i="5"/>
  <c r="E175" i="5"/>
  <c r="E256" i="5"/>
  <c r="E241" i="5"/>
  <c r="E210" i="5"/>
  <c r="E172" i="5"/>
  <c r="E159" i="5"/>
  <c r="E155" i="5"/>
  <c r="E151" i="5"/>
  <c r="E150" i="5"/>
  <c r="E137" i="5"/>
  <c r="E144" i="5"/>
  <c r="E140" i="5"/>
  <c r="E129" i="5"/>
  <c r="E200" i="5"/>
  <c r="E180" i="5"/>
  <c r="E168" i="5"/>
  <c r="E164" i="5"/>
  <c r="E134" i="5"/>
  <c r="E298" i="5"/>
  <c r="E218" i="5"/>
  <c r="E203" i="5"/>
  <c r="E193" i="5"/>
  <c r="E187" i="5"/>
  <c r="E184" i="5"/>
  <c r="E182" i="5"/>
  <c r="E177" i="5"/>
  <c r="E165" i="5"/>
  <c r="E158" i="5"/>
  <c r="E154" i="5"/>
  <c r="E147" i="5"/>
  <c r="E143" i="5"/>
  <c r="E125" i="5"/>
  <c r="E128" i="5"/>
  <c r="E266" i="5"/>
  <c r="E222" i="5"/>
  <c r="E215" i="5"/>
  <c r="E206" i="5"/>
  <c r="E171" i="5"/>
  <c r="E167" i="5"/>
  <c r="E160" i="5"/>
  <c r="E133" i="5"/>
  <c r="E192" i="5"/>
  <c r="E169" i="5"/>
  <c r="E157" i="5"/>
  <c r="E153" i="5"/>
  <c r="E146" i="5"/>
  <c r="E142" i="5"/>
  <c r="E126" i="5"/>
  <c r="E211" i="5"/>
  <c r="E205" i="5"/>
  <c r="E170" i="5"/>
  <c r="E166" i="5"/>
  <c r="E148" i="5"/>
  <c r="E139" i="5"/>
  <c r="E132" i="5"/>
  <c r="E234" i="5"/>
  <c r="E219" i="5"/>
  <c r="E195" i="5"/>
  <c r="E179" i="5"/>
  <c r="E176" i="5"/>
  <c r="E152" i="5"/>
  <c r="E130" i="5"/>
  <c r="E121" i="5"/>
  <c r="E110" i="5"/>
  <c r="E97" i="5"/>
  <c r="E85" i="5"/>
  <c r="E65" i="5"/>
  <c r="E68" i="5"/>
  <c r="E67" i="5"/>
  <c r="E136" i="5"/>
  <c r="E118" i="5"/>
  <c r="E112" i="5"/>
  <c r="E99" i="5"/>
  <c r="E91" i="5"/>
  <c r="E83" i="5"/>
  <c r="E71" i="5"/>
  <c r="E145" i="5"/>
  <c r="E124" i="5"/>
  <c r="E120" i="5"/>
  <c r="E109" i="5"/>
  <c r="E96" i="5"/>
  <c r="E84" i="5"/>
  <c r="E79" i="5"/>
  <c r="E74" i="5"/>
  <c r="E53" i="5"/>
  <c r="E138" i="5"/>
  <c r="E135" i="5"/>
  <c r="E117" i="5"/>
  <c r="E106" i="5"/>
  <c r="E82" i="5"/>
  <c r="E69" i="5"/>
  <c r="E163" i="5"/>
  <c r="E149" i="5"/>
  <c r="E141" i="5"/>
  <c r="E127" i="5"/>
  <c r="E123" i="5"/>
  <c r="E119" i="5"/>
  <c r="E101" i="5"/>
  <c r="E108" i="5"/>
  <c r="E100" i="5"/>
  <c r="E95" i="5"/>
  <c r="E92" i="5"/>
  <c r="E88" i="5"/>
  <c r="E87" i="5"/>
  <c r="E131" i="5"/>
  <c r="E113" i="5"/>
  <c r="E116" i="5"/>
  <c r="E115" i="5"/>
  <c r="E105" i="5"/>
  <c r="E102" i="5"/>
  <c r="E81" i="5"/>
  <c r="E76" i="5"/>
  <c r="E75" i="5"/>
  <c r="E162" i="5"/>
  <c r="E156" i="5"/>
  <c r="E122" i="5"/>
  <c r="E213" i="5"/>
  <c r="E111" i="5"/>
  <c r="E98" i="5"/>
  <c r="E62" i="5"/>
  <c r="E54" i="5"/>
  <c r="E52" i="5"/>
  <c r="E51" i="5"/>
  <c r="E114" i="5"/>
  <c r="E104" i="5"/>
  <c r="E77" i="5"/>
  <c r="E78" i="5"/>
  <c r="E57" i="5"/>
  <c r="E46" i="5"/>
  <c r="E45" i="5"/>
  <c r="H8" i="5"/>
  <c r="E107" i="5"/>
  <c r="E94" i="5"/>
  <c r="E90" i="5"/>
  <c r="E70" i="5"/>
  <c r="E60" i="5"/>
  <c r="E49" i="5"/>
  <c r="E103" i="5"/>
  <c r="E63" i="5"/>
  <c r="E55" i="5"/>
  <c r="E41" i="5"/>
  <c r="E86" i="5"/>
  <c r="E58" i="5"/>
  <c r="E47" i="5"/>
  <c r="E44" i="5"/>
  <c r="E89" i="5"/>
  <c r="E80" i="5"/>
  <c r="E73" i="5"/>
  <c r="E64" i="5"/>
  <c r="E61" i="5"/>
  <c r="E50" i="5"/>
  <c r="E42" i="5"/>
  <c r="H16" i="5"/>
  <c r="D17" i="5" s="1"/>
  <c r="E72" i="5"/>
  <c r="E56" i="5"/>
  <c r="E93" i="5"/>
  <c r="E66" i="5"/>
  <c r="E59" i="5"/>
  <c r="E48" i="5"/>
  <c r="E43" i="5"/>
  <c r="C11" i="5"/>
  <c r="C12" i="5" s="1"/>
  <c r="F7" i="4"/>
  <c r="D15" i="4"/>
  <c r="D10" i="4"/>
  <c r="G23" i="3" l="1"/>
  <c r="I23" i="3"/>
  <c r="L23" i="3"/>
  <c r="H23" i="3"/>
  <c r="J23" i="3"/>
  <c r="K23" i="3"/>
  <c r="F23" i="3"/>
  <c r="G16" i="4"/>
  <c r="D24" i="4"/>
  <c r="D19" i="4"/>
  <c r="F17" i="5"/>
  <c r="E17" i="5" s="1"/>
  <c r="G17" i="5" s="1"/>
  <c r="H17" i="5" l="1"/>
  <c r="F18" i="5" s="1"/>
  <c r="E18" i="5" s="1"/>
  <c r="G18" i="5" s="1"/>
  <c r="H25" i="4"/>
  <c r="D28" i="4"/>
  <c r="D33" i="4"/>
  <c r="D18" i="5" l="1"/>
  <c r="H18" i="5" s="1"/>
  <c r="I34" i="4"/>
  <c r="D42" i="4"/>
  <c r="D51" i="4" s="1"/>
  <c r="D37" i="4"/>
  <c r="D55" i="4" l="1"/>
  <c r="K52" i="4"/>
  <c r="F19" i="5"/>
  <c r="E19" i="5" s="1"/>
  <c r="G19" i="5" s="1"/>
  <c r="D19" i="5"/>
  <c r="J43" i="4"/>
  <c r="D46" i="4"/>
  <c r="H19" i="5" l="1"/>
  <c r="D20" i="5" s="1"/>
  <c r="F20" i="5" l="1"/>
  <c r="E20" i="5" s="1"/>
  <c r="G20" i="5" s="1"/>
  <c r="H20" i="5" l="1"/>
  <c r="F21" i="5" s="1"/>
  <c r="E21" i="5" s="1"/>
  <c r="G21" i="5" s="1"/>
  <c r="D21" i="5" l="1"/>
  <c r="H21" i="5" s="1"/>
  <c r="D22" i="5" s="1"/>
  <c r="F22" i="5" l="1"/>
  <c r="E22" i="5" s="1"/>
  <c r="G22" i="5" s="1"/>
  <c r="H22" i="5" l="1"/>
  <c r="F23" i="5" s="1"/>
  <c r="E23" i="5" s="1"/>
  <c r="G23" i="5" s="1"/>
  <c r="D23" i="5" l="1"/>
  <c r="H23" i="5" s="1"/>
  <c r="F24" i="5" l="1"/>
  <c r="E24" i="5" s="1"/>
  <c r="G24" i="5" s="1"/>
  <c r="D24" i="5"/>
  <c r="H24" i="5" l="1"/>
  <c r="F25" i="5" s="1"/>
  <c r="E25" i="5" s="1"/>
  <c r="G25" i="5" s="1"/>
  <c r="D25" i="5" l="1"/>
  <c r="H25" i="5" s="1"/>
  <c r="F26" i="5" l="1"/>
  <c r="E26" i="5" s="1"/>
  <c r="G26" i="5" s="1"/>
  <c r="D26" i="5"/>
  <c r="H26" i="5" l="1"/>
  <c r="F27" i="5" s="1"/>
  <c r="E27" i="5" s="1"/>
  <c r="G27" i="5" s="1"/>
  <c r="D27" i="5" l="1"/>
  <c r="H27" i="5" s="1"/>
  <c r="D28" i="5" l="1"/>
  <c r="F28" i="5"/>
  <c r="E28" i="5" s="1"/>
  <c r="G28" i="5" s="1"/>
  <c r="I28" i="5" s="1"/>
  <c r="E29" i="5"/>
  <c r="H28" i="5" l="1"/>
  <c r="D29" i="5" s="1"/>
  <c r="F47" i="3"/>
  <c r="M13" i="2" s="1"/>
  <c r="M14" i="2" s="1"/>
  <c r="M17" i="2" s="1"/>
  <c r="M18" i="2" s="1"/>
  <c r="F29" i="5"/>
  <c r="G29" i="5" s="1"/>
  <c r="L13" i="2"/>
  <c r="L14" i="2" s="1"/>
  <c r="L17" i="2" s="1"/>
  <c r="L18" i="2" s="1"/>
  <c r="P13" i="2"/>
  <c r="P14" i="2" s="1"/>
  <c r="P17" i="2" s="1"/>
  <c r="P18" i="2" s="1"/>
  <c r="F48" i="3"/>
  <c r="F50" i="3" s="1"/>
  <c r="F53" i="3" s="1"/>
  <c r="O13" i="2"/>
  <c r="O14" i="2" s="1"/>
  <c r="O17" i="2" s="1"/>
  <c r="O18" i="2" s="1"/>
  <c r="K13" i="2" l="1"/>
  <c r="K14" i="2" s="1"/>
  <c r="K17" i="2" s="1"/>
  <c r="K18" i="2" s="1"/>
  <c r="Q13" i="2"/>
  <c r="Q14" i="2" s="1"/>
  <c r="Q17" i="2" s="1"/>
  <c r="Q18" i="2" s="1"/>
  <c r="H29" i="5"/>
  <c r="D30" i="5" s="1"/>
  <c r="N13" i="2"/>
  <c r="N14" i="2" s="1"/>
  <c r="N17" i="2" s="1"/>
  <c r="N18" i="2" s="1"/>
  <c r="F52" i="3"/>
  <c r="F30" i="5"/>
  <c r="E30" i="5"/>
  <c r="G30" i="5" l="1"/>
  <c r="H30" i="5" s="1"/>
  <c r="F31" i="5" s="1"/>
  <c r="D31" i="5" l="1"/>
  <c r="E31" i="5"/>
  <c r="G31" i="5" s="1"/>
  <c r="H31" i="5" l="1"/>
  <c r="D32" i="5" s="1"/>
  <c r="F32" i="5"/>
  <c r="E32" i="5" l="1"/>
  <c r="G32" i="5" s="1"/>
  <c r="H32" i="5" s="1"/>
  <c r="F33" i="5" l="1"/>
  <c r="D33" i="5"/>
  <c r="E33" i="5" l="1"/>
  <c r="G33" i="5" s="1"/>
  <c r="H33" i="5" s="1"/>
  <c r="F34" i="5" l="1"/>
  <c r="D34" i="5"/>
  <c r="E34" i="5" l="1"/>
  <c r="G34" i="5" s="1"/>
  <c r="H34" i="5" s="1"/>
  <c r="F35" i="5" l="1"/>
  <c r="D35" i="5"/>
  <c r="E35" i="5" l="1"/>
  <c r="G35" i="5" s="1"/>
  <c r="H35" i="5" s="1"/>
  <c r="F36" i="5" l="1"/>
  <c r="D36" i="5"/>
  <c r="E36" i="5" l="1"/>
  <c r="G36" i="5" s="1"/>
  <c r="H36" i="5" s="1"/>
  <c r="F37" i="5" l="1"/>
  <c r="D37" i="5"/>
  <c r="E37" i="5" l="1"/>
  <c r="G37" i="5" s="1"/>
  <c r="H37" i="5" s="1"/>
  <c r="F38" i="5" l="1"/>
  <c r="D38" i="5"/>
  <c r="E38" i="5" l="1"/>
  <c r="G38" i="5" s="1"/>
  <c r="H38" i="5" s="1"/>
  <c r="F39" i="5" l="1"/>
  <c r="D39" i="5"/>
  <c r="E39" i="5" l="1"/>
  <c r="G39" i="5" s="1"/>
  <c r="H39" i="5" s="1"/>
  <c r="F40" i="5" l="1"/>
  <c r="D40" i="5"/>
  <c r="E40" i="5" l="1"/>
  <c r="G40" i="5" s="1"/>
  <c r="I40" i="5" l="1"/>
  <c r="H40" i="5"/>
  <c r="D41" i="5" l="1"/>
  <c r="G47" i="3"/>
  <c r="G48" i="3" s="1"/>
  <c r="G50" i="3" s="1"/>
  <c r="F41" i="5"/>
  <c r="G41" i="5" s="1"/>
  <c r="F25" i="3"/>
  <c r="G15" i="2"/>
  <c r="F24" i="3"/>
  <c r="G18" i="2" l="1"/>
  <c r="G17" i="2"/>
  <c r="G19" i="2" s="1"/>
  <c r="G53" i="3"/>
  <c r="F9" i="4"/>
  <c r="G52" i="3"/>
  <c r="F28" i="3"/>
  <c r="E44" i="4"/>
  <c r="E46" i="4" s="1"/>
  <c r="E53" i="4"/>
  <c r="E55" i="4" s="1"/>
  <c r="E35" i="4"/>
  <c r="F39" i="3"/>
  <c r="G25" i="3"/>
  <c r="G24" i="3"/>
  <c r="H41" i="5"/>
  <c r="F53" i="4" l="1"/>
  <c r="F55" i="4" s="1"/>
  <c r="G28" i="3"/>
  <c r="G29" i="3" s="1"/>
  <c r="G39" i="3"/>
  <c r="F35" i="4"/>
  <c r="F44" i="4"/>
  <c r="F46" i="4" s="1"/>
  <c r="H24" i="3"/>
  <c r="H25" i="3"/>
  <c r="D42" i="5"/>
  <c r="F42" i="5"/>
  <c r="G42" i="5" s="1"/>
  <c r="F29" i="3"/>
  <c r="F40" i="3"/>
  <c r="E37" i="4"/>
  <c r="E26" i="4"/>
  <c r="G40" i="3" l="1"/>
  <c r="H42" i="5"/>
  <c r="D43" i="5" s="1"/>
  <c r="F37" i="4"/>
  <c r="F26" i="4"/>
  <c r="E17" i="4"/>
  <c r="E28" i="4"/>
  <c r="G53" i="4"/>
  <c r="G55" i="4" s="1"/>
  <c r="G35" i="4"/>
  <c r="G44" i="4"/>
  <c r="G46" i="4" s="1"/>
  <c r="H39" i="3"/>
  <c r="H28" i="3"/>
  <c r="H29" i="3" s="1"/>
  <c r="G32" i="3"/>
  <c r="G35" i="3" s="1"/>
  <c r="G38" i="3" s="1"/>
  <c r="I24" i="3"/>
  <c r="I25" i="3"/>
  <c r="F32" i="3"/>
  <c r="F35" i="3" s="1"/>
  <c r="F38" i="3" s="1"/>
  <c r="F43" i="5" l="1"/>
  <c r="G43" i="5" s="1"/>
  <c r="H43" i="5" s="1"/>
  <c r="G34" i="3"/>
  <c r="G37" i="3" s="1"/>
  <c r="F34" i="3"/>
  <c r="F37" i="3" s="1"/>
  <c r="H35" i="4"/>
  <c r="H44" i="4"/>
  <c r="H46" i="4" s="1"/>
  <c r="I39" i="3"/>
  <c r="H53" i="4"/>
  <c r="H55" i="4" s="1"/>
  <c r="I28" i="3"/>
  <c r="I29" i="3" s="1"/>
  <c r="E19" i="4"/>
  <c r="E8" i="4"/>
  <c r="E10" i="4" s="1"/>
  <c r="J24" i="3"/>
  <c r="J25" i="3"/>
  <c r="G26" i="4"/>
  <c r="G37" i="4"/>
  <c r="F28" i="4"/>
  <c r="F17" i="4"/>
  <c r="H32" i="3"/>
  <c r="H35" i="3" s="1"/>
  <c r="H38" i="3" s="1"/>
  <c r="H34" i="3" l="1"/>
  <c r="H37" i="3" s="1"/>
  <c r="G17" i="4"/>
  <c r="G28" i="4"/>
  <c r="I53" i="4"/>
  <c r="I55" i="4" s="1"/>
  <c r="I35" i="4"/>
  <c r="J39" i="3"/>
  <c r="J28" i="3"/>
  <c r="J29" i="3" s="1"/>
  <c r="I44" i="4"/>
  <c r="I46" i="4" s="1"/>
  <c r="I32" i="3"/>
  <c r="I35" i="3" s="1"/>
  <c r="I38" i="3" s="1"/>
  <c r="F19" i="4"/>
  <c r="F8" i="4"/>
  <c r="F10" i="4" s="1"/>
  <c r="G10" i="4" s="1"/>
  <c r="G41" i="3" s="1"/>
  <c r="F44" i="5"/>
  <c r="G44" i="5" s="1"/>
  <c r="D44" i="5"/>
  <c r="K24" i="3"/>
  <c r="K25" i="3"/>
  <c r="H26" i="4"/>
  <c r="H37" i="4"/>
  <c r="I34" i="3" l="1"/>
  <c r="I37" i="3" s="1"/>
  <c r="H44" i="5"/>
  <c r="F45" i="5" s="1"/>
  <c r="G45" i="5" s="1"/>
  <c r="L24" i="3"/>
  <c r="L25" i="3"/>
  <c r="J53" i="4"/>
  <c r="J55" i="4" s="1"/>
  <c r="K28" i="3"/>
  <c r="K29" i="3" s="1"/>
  <c r="J44" i="4"/>
  <c r="K39" i="3"/>
  <c r="J32" i="3"/>
  <c r="J35" i="3" s="1"/>
  <c r="J38" i="3" s="1"/>
  <c r="J34" i="3" l="1"/>
  <c r="J37" i="3" s="1"/>
  <c r="D45" i="5"/>
  <c r="H45" i="5" s="1"/>
  <c r="K32" i="3"/>
  <c r="K35" i="3" s="1"/>
  <c r="K38" i="3" s="1"/>
  <c r="L39" i="3"/>
  <c r="L28" i="3"/>
  <c r="L29" i="3" s="1"/>
  <c r="K53" i="4"/>
  <c r="K34" i="3" l="1"/>
  <c r="K37" i="3" s="1"/>
  <c r="L32" i="3"/>
  <c r="L35" i="3" s="1"/>
  <c r="L38" i="3" s="1"/>
  <c r="D46" i="5"/>
  <c r="F46" i="5"/>
  <c r="G46" i="5" s="1"/>
  <c r="L34" i="3" l="1"/>
  <c r="L37" i="3" s="1"/>
  <c r="H46" i="5"/>
  <c r="D47" i="5" l="1"/>
  <c r="F47" i="5"/>
  <c r="G47" i="5" s="1"/>
  <c r="H47" i="5" l="1"/>
  <c r="D48" i="5" l="1"/>
  <c r="F48" i="5"/>
  <c r="G48" i="5" s="1"/>
  <c r="H48" i="5" l="1"/>
  <c r="D49" i="5" l="1"/>
  <c r="F49" i="5"/>
  <c r="G49" i="5" s="1"/>
  <c r="H49" i="5" l="1"/>
  <c r="D50" i="5" l="1"/>
  <c r="F50" i="5"/>
  <c r="G50" i="5" s="1"/>
  <c r="H50" i="5" l="1"/>
  <c r="F51" i="5" l="1"/>
  <c r="G51" i="5" s="1"/>
  <c r="D51" i="5"/>
  <c r="H51" i="5" l="1"/>
  <c r="D52" i="5" s="1"/>
  <c r="F52" i="5" l="1"/>
  <c r="G52" i="5" s="1"/>
  <c r="I52" i="5" s="1"/>
  <c r="H52" i="5" l="1"/>
  <c r="D53" i="5" s="1"/>
  <c r="F53" i="5"/>
  <c r="G53" i="5" s="1"/>
  <c r="H53" i="5" l="1"/>
  <c r="F54" i="5" s="1"/>
  <c r="G54" i="5" s="1"/>
  <c r="H47" i="3"/>
  <c r="H48" i="3" s="1"/>
  <c r="H50" i="3" s="1"/>
  <c r="H52" i="3" s="1"/>
  <c r="D54" i="5" l="1"/>
  <c r="H54" i="5" s="1"/>
  <c r="H40" i="3"/>
  <c r="H53" i="3"/>
  <c r="G18" i="4"/>
  <c r="G19" i="4" s="1"/>
  <c r="H19" i="4" s="1"/>
  <c r="H41" i="3" s="1"/>
  <c r="D55" i="5" l="1"/>
  <c r="F55" i="5"/>
  <c r="G55" i="5" s="1"/>
  <c r="H55" i="5" l="1"/>
  <c r="D56" i="5" l="1"/>
  <c r="F56" i="5"/>
  <c r="G56" i="5" s="1"/>
  <c r="H56" i="5" l="1"/>
  <c r="F57" i="5" l="1"/>
  <c r="G57" i="5" s="1"/>
  <c r="D57" i="5"/>
  <c r="H57" i="5" l="1"/>
  <c r="D58" i="5" s="1"/>
  <c r="F58" i="5" l="1"/>
  <c r="G58" i="5" s="1"/>
  <c r="H58" i="5" s="1"/>
  <c r="F59" i="5" l="1"/>
  <c r="G59" i="5" s="1"/>
  <c r="D59" i="5"/>
  <c r="H59" i="5" l="1"/>
  <c r="F60" i="5" s="1"/>
  <c r="G60" i="5" s="1"/>
  <c r="D60" i="5" l="1"/>
  <c r="H60" i="5" s="1"/>
  <c r="F61" i="5" l="1"/>
  <c r="G61" i="5" s="1"/>
  <c r="D61" i="5"/>
  <c r="H61" i="5" l="1"/>
  <c r="F62" i="5" s="1"/>
  <c r="G62" i="5" s="1"/>
  <c r="D62" i="5" l="1"/>
  <c r="H62" i="5" s="1"/>
  <c r="F63" i="5" s="1"/>
  <c r="G63" i="5" s="1"/>
  <c r="D63" i="5" l="1"/>
  <c r="H63" i="5" s="1"/>
  <c r="D64" i="5" s="1"/>
  <c r="F64" i="5" l="1"/>
  <c r="G64" i="5" s="1"/>
  <c r="I64" i="5" s="1"/>
  <c r="H64" i="5" l="1"/>
  <c r="I47" i="3" s="1"/>
  <c r="I48" i="3" s="1"/>
  <c r="I50" i="3" s="1"/>
  <c r="I40" i="3" l="1"/>
  <c r="F65" i="5"/>
  <c r="G65" i="5" s="1"/>
  <c r="D65" i="5"/>
  <c r="I52" i="3"/>
  <c r="I53" i="3"/>
  <c r="H27" i="4"/>
  <c r="H28" i="4" s="1"/>
  <c r="I28" i="4" s="1"/>
  <c r="I41" i="3" s="1"/>
  <c r="H65" i="5" l="1"/>
  <c r="F66" i="5" s="1"/>
  <c r="G66" i="5" s="1"/>
  <c r="D66" i="5" l="1"/>
  <c r="H66" i="5" s="1"/>
  <c r="D67" i="5" s="1"/>
  <c r="F67" i="5"/>
  <c r="G67" i="5" s="1"/>
  <c r="H67" i="5" s="1"/>
  <c r="F68" i="5" s="1"/>
  <c r="G68" i="5" s="1"/>
  <c r="D68" i="5" l="1"/>
  <c r="H68" i="5" s="1"/>
  <c r="D69" i="5" l="1"/>
  <c r="F69" i="5"/>
  <c r="G69" i="5" s="1"/>
  <c r="H69" i="5" l="1"/>
  <c r="F70" i="5" l="1"/>
  <c r="G70" i="5" s="1"/>
  <c r="D70" i="5"/>
  <c r="H70" i="5" l="1"/>
  <c r="F71" i="5" s="1"/>
  <c r="G71" i="5" s="1"/>
  <c r="D71" i="5" l="1"/>
  <c r="H71" i="5" s="1"/>
  <c r="D72" i="5" l="1"/>
  <c r="F72" i="5"/>
  <c r="G72" i="5" s="1"/>
  <c r="H72" i="5" l="1"/>
  <c r="F73" i="5" l="1"/>
  <c r="G73" i="5" s="1"/>
  <c r="D73" i="5"/>
  <c r="H73" i="5" l="1"/>
  <c r="F74" i="5" s="1"/>
  <c r="G74" i="5" s="1"/>
  <c r="D74" i="5" l="1"/>
  <c r="H74" i="5" s="1"/>
  <c r="F75" i="5" s="1"/>
  <c r="G75" i="5" s="1"/>
  <c r="D75" i="5" l="1"/>
  <c r="H75" i="5" s="1"/>
  <c r="D76" i="5" s="1"/>
  <c r="F76" i="5" l="1"/>
  <c r="G76" i="5" s="1"/>
  <c r="I76" i="5" s="1"/>
  <c r="H76" i="5" l="1"/>
  <c r="D77" i="5" s="1"/>
  <c r="J47" i="3"/>
  <c r="J48" i="3" s="1"/>
  <c r="F77" i="5"/>
  <c r="G77" i="5" s="1"/>
  <c r="D5" i="6"/>
  <c r="F253" i="6" l="1"/>
  <c r="F258" i="6"/>
  <c r="F146" i="6"/>
  <c r="F131" i="6"/>
  <c r="F194" i="6"/>
  <c r="F246" i="6"/>
  <c r="F212" i="6"/>
  <c r="F316" i="6"/>
  <c r="F238" i="6"/>
  <c r="F226" i="6"/>
  <c r="F172" i="6"/>
  <c r="F44" i="6"/>
  <c r="F181" i="6"/>
  <c r="F331" i="6"/>
  <c r="F299" i="6"/>
  <c r="F308" i="6"/>
  <c r="F216" i="6"/>
  <c r="F222" i="6"/>
  <c r="F155" i="6"/>
  <c r="F99" i="6"/>
  <c r="F230" i="6"/>
  <c r="F192" i="6"/>
  <c r="F72" i="6"/>
  <c r="F293" i="6"/>
  <c r="F283" i="6"/>
  <c r="F127" i="6"/>
  <c r="F90" i="6"/>
  <c r="F245" i="6"/>
  <c r="F224" i="6"/>
  <c r="F220" i="6"/>
  <c r="F311" i="6"/>
  <c r="F235" i="6"/>
  <c r="F153" i="6"/>
  <c r="F104" i="6"/>
  <c r="F50" i="6"/>
  <c r="F64" i="6"/>
  <c r="F120" i="6"/>
  <c r="F63" i="6"/>
  <c r="F326" i="6"/>
  <c r="F319" i="6"/>
  <c r="F313" i="6"/>
  <c r="F82" i="6"/>
  <c r="F187" i="6"/>
  <c r="F337" i="6"/>
  <c r="F307" i="6"/>
  <c r="F241" i="6"/>
  <c r="F176" i="6"/>
  <c r="F322" i="6"/>
  <c r="F130" i="6"/>
  <c r="F144" i="6"/>
  <c r="F183" i="6"/>
  <c r="F265" i="6"/>
  <c r="F227" i="6"/>
  <c r="F53" i="6"/>
  <c r="F200" i="6"/>
  <c r="F278" i="6"/>
  <c r="F161" i="6"/>
  <c r="F143" i="6"/>
  <c r="F97" i="6"/>
  <c r="F116" i="6"/>
  <c r="F240" i="6"/>
  <c r="F171" i="6"/>
  <c r="F335" i="6"/>
  <c r="F260" i="6"/>
  <c r="F170" i="6"/>
  <c r="F112" i="6"/>
  <c r="F47" i="6"/>
  <c r="F163" i="6"/>
  <c r="F174" i="6"/>
  <c r="F169" i="6"/>
  <c r="F327" i="6"/>
  <c r="F255" i="6"/>
  <c r="F166" i="6"/>
  <c r="F114" i="6"/>
  <c r="I16" i="6"/>
  <c r="E17" i="6" s="1"/>
  <c r="G17" i="6" s="1"/>
  <c r="F17" i="6" s="1"/>
  <c r="H17" i="6" s="1"/>
  <c r="I17" i="6" s="1"/>
  <c r="F165" i="6"/>
  <c r="F80" i="6"/>
  <c r="F106" i="6"/>
  <c r="F318" i="6"/>
  <c r="F190" i="6"/>
  <c r="F134" i="6"/>
  <c r="F74" i="6"/>
  <c r="F201" i="6"/>
  <c r="F157" i="6"/>
  <c r="F231" i="6"/>
  <c r="F338" i="6"/>
  <c r="F215" i="6"/>
  <c r="F167" i="6"/>
  <c r="F91" i="6"/>
  <c r="F46" i="6"/>
  <c r="F56" i="6"/>
  <c r="F332" i="6"/>
  <c r="F179" i="6"/>
  <c r="F49" i="6"/>
  <c r="F102" i="6"/>
  <c r="F108" i="6"/>
  <c r="F182" i="6"/>
  <c r="F199" i="6"/>
  <c r="F333" i="6"/>
  <c r="F136" i="6"/>
  <c r="F329" i="6"/>
  <c r="F277" i="6"/>
  <c r="F178" i="6"/>
  <c r="F250" i="6"/>
  <c r="F288" i="6"/>
  <c r="F100" i="6"/>
  <c r="F233" i="6"/>
  <c r="F269" i="6"/>
  <c r="F145" i="6"/>
  <c r="F239" i="6"/>
  <c r="F275" i="6"/>
  <c r="F129" i="6"/>
  <c r="F281" i="6"/>
  <c r="F236" i="6"/>
  <c r="F320" i="6"/>
  <c r="F123" i="6"/>
  <c r="F103" i="6"/>
  <c r="F75" i="6"/>
  <c r="F149" i="6"/>
  <c r="F137" i="6"/>
  <c r="F271" i="6"/>
  <c r="F304" i="6"/>
  <c r="F196" i="6"/>
  <c r="F148" i="6"/>
  <c r="F62" i="6"/>
  <c r="F154" i="6"/>
  <c r="F156" i="6"/>
  <c r="F223" i="6"/>
  <c r="F263" i="6"/>
  <c r="F272" i="6"/>
  <c r="F186" i="6"/>
  <c r="F115" i="6"/>
  <c r="F57" i="6"/>
  <c r="F185" i="6"/>
  <c r="F92" i="6"/>
  <c r="F321" i="6"/>
  <c r="F257" i="6"/>
  <c r="F229" i="6"/>
  <c r="F117" i="6"/>
  <c r="F86" i="6"/>
  <c r="F184" i="6"/>
  <c r="F162" i="6"/>
  <c r="F128" i="6"/>
  <c r="F274" i="6"/>
  <c r="F234" i="6"/>
  <c r="F328" i="6"/>
  <c r="F65" i="6"/>
  <c r="F60" i="6"/>
  <c r="F295" i="6"/>
  <c r="F286" i="6"/>
  <c r="F205" i="6"/>
  <c r="F336" i="6"/>
  <c r="F96" i="6"/>
  <c r="F244" i="6"/>
  <c r="F42" i="6"/>
  <c r="F177" i="6"/>
  <c r="F208" i="6"/>
  <c r="F268" i="6"/>
  <c r="F93" i="6"/>
  <c r="F132" i="6"/>
  <c r="F248" i="6"/>
  <c r="F289" i="6"/>
  <c r="F109" i="6"/>
  <c r="F211" i="6"/>
  <c r="F273" i="6"/>
  <c r="F325" i="6"/>
  <c r="F180" i="6"/>
  <c r="F191" i="6"/>
  <c r="F202" i="6"/>
  <c r="F59" i="6"/>
  <c r="F324" i="6"/>
  <c r="F243" i="6"/>
  <c r="F247" i="6"/>
  <c r="F188" i="6"/>
  <c r="F48" i="6"/>
  <c r="F51" i="6"/>
  <c r="F68" i="6"/>
  <c r="F126" i="6"/>
  <c r="F298" i="6"/>
  <c r="F323" i="6"/>
  <c r="F204" i="6"/>
  <c r="F110" i="6"/>
  <c r="F55" i="6"/>
  <c r="F77" i="6"/>
  <c r="F219" i="6"/>
  <c r="F193" i="6"/>
  <c r="F290" i="6"/>
  <c r="F291" i="6"/>
  <c r="F195" i="6"/>
  <c r="F107" i="6"/>
  <c r="F85" i="6"/>
  <c r="F84" i="6"/>
  <c r="F287" i="6"/>
  <c r="F259" i="6"/>
  <c r="F218" i="6"/>
  <c r="F173" i="6"/>
  <c r="F139" i="6"/>
  <c r="F43" i="6"/>
  <c r="F164" i="6"/>
  <c r="F135" i="6"/>
  <c r="F111" i="6"/>
  <c r="F285" i="6"/>
  <c r="F254" i="6"/>
  <c r="F118" i="6"/>
  <c r="F83" i="6"/>
  <c r="F305" i="6"/>
  <c r="F294" i="6"/>
  <c r="F279" i="6"/>
  <c r="F197" i="6"/>
  <c r="F237" i="6"/>
  <c r="F67" i="6"/>
  <c r="F225" i="6"/>
  <c r="F150" i="6"/>
  <c r="F73" i="6"/>
  <c r="F296" i="6"/>
  <c r="F314" i="6"/>
  <c r="F88" i="6"/>
  <c r="F95" i="6"/>
  <c r="F213" i="6"/>
  <c r="F69" i="6"/>
  <c r="F302" i="6"/>
  <c r="F261" i="6"/>
  <c r="F214" i="6"/>
  <c r="F198" i="6"/>
  <c r="F282" i="6"/>
  <c r="F252" i="6"/>
  <c r="F52" i="6"/>
  <c r="F256" i="6"/>
  <c r="F267" i="6"/>
  <c r="F175" i="6"/>
  <c r="F121" i="6"/>
  <c r="F58" i="6"/>
  <c r="D11" i="6"/>
  <c r="D12" i="6" s="1"/>
  <c r="F66" i="6"/>
  <c r="F119" i="6"/>
  <c r="F309" i="6"/>
  <c r="F206" i="6"/>
  <c r="F138" i="6"/>
  <c r="F98" i="6"/>
  <c r="F284" i="6"/>
  <c r="F125" i="6"/>
  <c r="F71" i="6"/>
  <c r="F160" i="6"/>
  <c r="F301" i="6"/>
  <c r="F315" i="6"/>
  <c r="F133" i="6"/>
  <c r="F94" i="6"/>
  <c r="F303" i="6"/>
  <c r="F81" i="6"/>
  <c r="F251" i="6"/>
  <c r="F300" i="6"/>
  <c r="F210" i="6"/>
  <c r="F207" i="6"/>
  <c r="F151" i="6"/>
  <c r="F61" i="6"/>
  <c r="F142" i="6"/>
  <c r="F122" i="6"/>
  <c r="F105" i="6"/>
  <c r="F310" i="6"/>
  <c r="F189" i="6"/>
  <c r="F124" i="6"/>
  <c r="F70" i="6"/>
  <c r="F312" i="6"/>
  <c r="F217" i="6"/>
  <c r="F264" i="6"/>
  <c r="F203" i="6"/>
  <c r="F276" i="6"/>
  <c r="F45" i="6"/>
  <c r="F76" i="6"/>
  <c r="F334" i="6"/>
  <c r="F221" i="6"/>
  <c r="F141" i="6"/>
  <c r="F101" i="6"/>
  <c r="F266" i="6"/>
  <c r="F113" i="6"/>
  <c r="F140" i="6"/>
  <c r="F330" i="6"/>
  <c r="F340" i="6"/>
  <c r="F158" i="6"/>
  <c r="F79" i="6"/>
  <c r="F339" i="6"/>
  <c r="F249" i="6"/>
  <c r="F306" i="6"/>
  <c r="F270" i="6"/>
  <c r="F297" i="6"/>
  <c r="F262" i="6"/>
  <c r="F209" i="6"/>
  <c r="F242" i="6"/>
  <c r="F41" i="6"/>
  <c r="F168" i="6"/>
  <c r="F159" i="6"/>
  <c r="F317" i="6"/>
  <c r="F280" i="6"/>
  <c r="F232" i="6"/>
  <c r="F89" i="6"/>
  <c r="F228" i="6"/>
  <c r="F54" i="6"/>
  <c r="F152" i="6"/>
  <c r="F78" i="6"/>
  <c r="F292" i="6"/>
  <c r="F147" i="6"/>
  <c r="F87" i="6"/>
  <c r="H77" i="5"/>
  <c r="J40" i="3"/>
  <c r="J50" i="3"/>
  <c r="E18" i="6" l="1"/>
  <c r="G18" i="6"/>
  <c r="F18" i="6" s="1"/>
  <c r="H18" i="6" s="1"/>
  <c r="I18" i="6" s="1"/>
  <c r="D78" i="5"/>
  <c r="F78" i="5"/>
  <c r="G78" i="5" s="1"/>
  <c r="I36" i="4"/>
  <c r="I37" i="4" s="1"/>
  <c r="J37" i="4" s="1"/>
  <c r="J41" i="3" s="1"/>
  <c r="J53" i="3"/>
  <c r="J52" i="3"/>
  <c r="G19" i="6" l="1"/>
  <c r="F19" i="6" s="1"/>
  <c r="H19" i="6" s="1"/>
  <c r="E19" i="6"/>
  <c r="H78" i="5"/>
  <c r="I19" i="6" l="1"/>
  <c r="G20" i="6" s="1"/>
  <c r="F20" i="6" s="1"/>
  <c r="H20" i="6" s="1"/>
  <c r="D79" i="5"/>
  <c r="F79" i="5"/>
  <c r="G79" i="5" s="1"/>
  <c r="E20" i="6" l="1"/>
  <c r="I20" i="6" s="1"/>
  <c r="E21" i="6" s="1"/>
  <c r="H79" i="5"/>
  <c r="D80" i="5" s="1"/>
  <c r="G21" i="6" l="1"/>
  <c r="F21" i="6" s="1"/>
  <c r="H21" i="6" s="1"/>
  <c r="I21" i="6" s="1"/>
  <c r="F80" i="5"/>
  <c r="G80" i="5" s="1"/>
  <c r="H80" i="5" s="1"/>
  <c r="F81" i="5" l="1"/>
  <c r="G81" i="5" s="1"/>
  <c r="D81" i="5"/>
  <c r="E22" i="6"/>
  <c r="G22" i="6"/>
  <c r="F22" i="6" s="1"/>
  <c r="H22" i="6" s="1"/>
  <c r="H81" i="5" l="1"/>
  <c r="F82" i="5" s="1"/>
  <c r="G82" i="5" s="1"/>
  <c r="I22" i="6"/>
  <c r="D82" i="5" l="1"/>
  <c r="H82" i="5" s="1"/>
  <c r="D83" i="5" s="1"/>
  <c r="G23" i="6"/>
  <c r="F23" i="6" s="1"/>
  <c r="H23" i="6" s="1"/>
  <c r="E23" i="6"/>
  <c r="F83" i="5" l="1"/>
  <c r="G83" i="5" s="1"/>
  <c r="H83" i="5" s="1"/>
  <c r="D84" i="5" s="1"/>
  <c r="I23" i="6"/>
  <c r="E24" i="6" s="1"/>
  <c r="G24" i="6" l="1"/>
  <c r="F24" i="6" s="1"/>
  <c r="H24" i="6" s="1"/>
  <c r="I24" i="6" s="1"/>
  <c r="E25" i="6" s="1"/>
  <c r="F84" i="5"/>
  <c r="G84" i="5" s="1"/>
  <c r="H84" i="5" s="1"/>
  <c r="G25" i="6" l="1"/>
  <c r="F25" i="6" s="1"/>
  <c r="H25" i="6" s="1"/>
  <c r="I25" i="6" s="1"/>
  <c r="F85" i="5"/>
  <c r="G85" i="5" s="1"/>
  <c r="D85" i="5"/>
  <c r="H85" i="5" l="1"/>
  <c r="F86" i="5" s="1"/>
  <c r="G86" i="5" s="1"/>
  <c r="G26" i="6"/>
  <c r="F26" i="6" s="1"/>
  <c r="H26" i="6" s="1"/>
  <c r="E26" i="6"/>
  <c r="D86" i="5" l="1"/>
  <c r="H86" i="5" s="1"/>
  <c r="I26" i="6"/>
  <c r="G27" i="6" s="1"/>
  <c r="F27" i="6" s="1"/>
  <c r="H27" i="6" s="1"/>
  <c r="D87" i="5" l="1"/>
  <c r="F87" i="5"/>
  <c r="G87" i="5" s="1"/>
  <c r="E27" i="6"/>
  <c r="I27" i="6" s="1"/>
  <c r="H87" i="5" l="1"/>
  <c r="F88" i="5" s="1"/>
  <c r="G88" i="5" s="1"/>
  <c r="I88" i="5" s="1"/>
  <c r="E28" i="6"/>
  <c r="G28" i="6"/>
  <c r="F28" i="6" s="1"/>
  <c r="H28" i="6" s="1"/>
  <c r="J28" i="6" s="1"/>
  <c r="D88" i="5"/>
  <c r="I28" i="6" l="1"/>
  <c r="E29" i="6" s="1"/>
  <c r="H88" i="5"/>
  <c r="F89" i="5" s="1"/>
  <c r="G89" i="5" s="1"/>
  <c r="D89" i="5" l="1"/>
  <c r="H89" i="5" s="1"/>
  <c r="F90" i="5" s="1"/>
  <c r="G90" i="5" s="1"/>
  <c r="G29" i="6"/>
  <c r="F29" i="6" s="1"/>
  <c r="H29" i="6" s="1"/>
  <c r="I29" i="6" s="1"/>
  <c r="K47" i="3"/>
  <c r="K48" i="3" s="1"/>
  <c r="K40" i="3" s="1"/>
  <c r="D90" i="5" l="1"/>
  <c r="H90" i="5" s="1"/>
  <c r="D91" i="5" s="1"/>
  <c r="K50" i="3"/>
  <c r="K52" i="3" s="1"/>
  <c r="G30" i="6"/>
  <c r="F30" i="6" s="1"/>
  <c r="H30" i="6" s="1"/>
  <c r="E30" i="6"/>
  <c r="F91" i="5" l="1"/>
  <c r="G91" i="5" s="1"/>
  <c r="H91" i="5" s="1"/>
  <c r="J45" i="4"/>
  <c r="J46" i="4" s="1"/>
  <c r="K46" i="4" s="1"/>
  <c r="K41" i="3" s="1"/>
  <c r="K53" i="3"/>
  <c r="I30" i="6"/>
  <c r="G31" i="6" s="1"/>
  <c r="F31" i="6" s="1"/>
  <c r="H31" i="6" s="1"/>
  <c r="E31" i="6" l="1"/>
  <c r="I31" i="6" s="1"/>
  <c r="G32" i="6" s="1"/>
  <c r="F32" i="6" s="1"/>
  <c r="H32" i="6" s="1"/>
  <c r="D92" i="5"/>
  <c r="F92" i="5"/>
  <c r="G92" i="5" s="1"/>
  <c r="E32" i="6" l="1"/>
  <c r="I32" i="6" s="1"/>
  <c r="H92" i="5"/>
  <c r="G33" i="6" l="1"/>
  <c r="F33" i="6" s="1"/>
  <c r="H33" i="6" s="1"/>
  <c r="E33" i="6"/>
  <c r="F93" i="5"/>
  <c r="G93" i="5" s="1"/>
  <c r="D93" i="5"/>
  <c r="I33" i="6" l="1"/>
  <c r="G34" i="6" s="1"/>
  <c r="F34" i="6" s="1"/>
  <c r="H34" i="6" s="1"/>
  <c r="H93" i="5"/>
  <c r="F94" i="5" s="1"/>
  <c r="G94" i="5" s="1"/>
  <c r="E34" i="6" l="1"/>
  <c r="I34" i="6" s="1"/>
  <c r="E35" i="6" s="1"/>
  <c r="D94" i="5"/>
  <c r="H94" i="5" s="1"/>
  <c r="F95" i="5" s="1"/>
  <c r="G95" i="5" s="1"/>
  <c r="G35" i="6" l="1"/>
  <c r="F35" i="6" s="1"/>
  <c r="H35" i="6" s="1"/>
  <c r="I35" i="6" s="1"/>
  <c r="D95" i="5"/>
  <c r="H95" i="5" s="1"/>
  <c r="D96" i="5" s="1"/>
  <c r="F96" i="5" l="1"/>
  <c r="G96" i="5" s="1"/>
  <c r="H96" i="5" s="1"/>
  <c r="G36" i="6"/>
  <c r="F36" i="6" s="1"/>
  <c r="H36" i="6" s="1"/>
  <c r="E36" i="6"/>
  <c r="I36" i="6" l="1"/>
  <c r="E37" i="6" s="1"/>
  <c r="F97" i="5"/>
  <c r="G97" i="5" s="1"/>
  <c r="D97" i="5"/>
  <c r="G37" i="6" l="1"/>
  <c r="F37" i="6" s="1"/>
  <c r="H37" i="6" s="1"/>
  <c r="I37" i="6" s="1"/>
  <c r="E38" i="6" s="1"/>
  <c r="H97" i="5"/>
  <c r="D98" i="5" s="1"/>
  <c r="F98" i="5" l="1"/>
  <c r="G98" i="5" s="1"/>
  <c r="H98" i="5" s="1"/>
  <c r="G38" i="6"/>
  <c r="F38" i="6" s="1"/>
  <c r="H38" i="6" s="1"/>
  <c r="I38" i="6" s="1"/>
  <c r="G39" i="6" l="1"/>
  <c r="F39" i="6" s="1"/>
  <c r="H39" i="6" s="1"/>
  <c r="E39" i="6"/>
  <c r="D99" i="5"/>
  <c r="F99" i="5"/>
  <c r="G99" i="5" s="1"/>
  <c r="I39" i="6" l="1"/>
  <c r="G40" i="6" s="1"/>
  <c r="F40" i="6" s="1"/>
  <c r="H40" i="6" s="1"/>
  <c r="J40" i="6" s="1"/>
  <c r="H99" i="5"/>
  <c r="F100" i="5" s="1"/>
  <c r="G100" i="5" s="1"/>
  <c r="I100" i="5" s="1"/>
  <c r="E40" i="6" l="1"/>
  <c r="I40" i="6" s="1"/>
  <c r="D100" i="5"/>
  <c r="H100" i="5" s="1"/>
  <c r="E41" i="6" l="1"/>
  <c r="G41" i="6"/>
  <c r="H41" i="6" s="1"/>
  <c r="D101" i="5"/>
  <c r="L47" i="3"/>
  <c r="L48" i="3" s="1"/>
  <c r="F101" i="5"/>
  <c r="G101" i="5" s="1"/>
  <c r="L40" i="3" l="1"/>
  <c r="L50" i="3"/>
  <c r="H101" i="5"/>
  <c r="I41" i="6"/>
  <c r="E42" i="6" l="1"/>
  <c r="G42" i="6"/>
  <c r="H42" i="6" s="1"/>
  <c r="D102" i="5"/>
  <c r="F102" i="5"/>
  <c r="G102" i="5" s="1"/>
  <c r="L52" i="3"/>
  <c r="K54" i="4"/>
  <c r="K55" i="4" s="1"/>
  <c r="L55" i="4" s="1"/>
  <c r="L41" i="3" s="1"/>
  <c r="L53" i="3"/>
  <c r="H102" i="5" l="1"/>
  <c r="F103" i="5" s="1"/>
  <c r="G103" i="5" s="1"/>
  <c r="I42" i="6"/>
  <c r="D103" i="5" l="1"/>
  <c r="H103" i="5" s="1"/>
  <c r="F104" i="5" s="1"/>
  <c r="G104" i="5" s="1"/>
  <c r="E43" i="6"/>
  <c r="G43" i="6"/>
  <c r="H43" i="6" s="1"/>
  <c r="D104" i="5" l="1"/>
  <c r="H104" i="5" s="1"/>
  <c r="I43" i="6"/>
  <c r="D105" i="5" l="1"/>
  <c r="F105" i="5"/>
  <c r="G105" i="5" s="1"/>
  <c r="G44" i="6"/>
  <c r="H44" i="6" s="1"/>
  <c r="E44" i="6"/>
  <c r="H105" i="5" l="1"/>
  <c r="D106" i="5" s="1"/>
  <c r="I44" i="6"/>
  <c r="G45" i="6" s="1"/>
  <c r="H45" i="6" s="1"/>
  <c r="F106" i="5" l="1"/>
  <c r="G106" i="5" s="1"/>
  <c r="H106" i="5" s="1"/>
  <c r="D107" i="5" s="1"/>
  <c r="E45" i="6"/>
  <c r="I45" i="6" s="1"/>
  <c r="F107" i="5" l="1"/>
  <c r="G107" i="5" s="1"/>
  <c r="H107" i="5" s="1"/>
  <c r="D108" i="5" s="1"/>
  <c r="G46" i="6"/>
  <c r="H46" i="6" s="1"/>
  <c r="E46" i="6"/>
  <c r="F108" i="5" l="1"/>
  <c r="G108" i="5" s="1"/>
  <c r="H108" i="5" s="1"/>
  <c r="F109" i="5" s="1"/>
  <c r="G109" i="5" s="1"/>
  <c r="I46" i="6"/>
  <c r="E47" i="6" s="1"/>
  <c r="D109" i="5" l="1"/>
  <c r="H109" i="5" s="1"/>
  <c r="D110" i="5" s="1"/>
  <c r="G47" i="6"/>
  <c r="H47" i="6" s="1"/>
  <c r="I47" i="6" s="1"/>
  <c r="F110" i="5" l="1"/>
  <c r="G110" i="5" s="1"/>
  <c r="H110" i="5" s="1"/>
  <c r="G48" i="6"/>
  <c r="H48" i="6" s="1"/>
  <c r="E48" i="6"/>
  <c r="F111" i="5" l="1"/>
  <c r="G111" i="5" s="1"/>
  <c r="D111" i="5"/>
  <c r="I48" i="6"/>
  <c r="E49" i="6" s="1"/>
  <c r="G49" i="6" l="1"/>
  <c r="H49" i="6" s="1"/>
  <c r="I49" i="6" s="1"/>
  <c r="H111" i="5"/>
  <c r="F112" i="5" s="1"/>
  <c r="G112" i="5" s="1"/>
  <c r="I112" i="5" s="1"/>
  <c r="D112" i="5" l="1"/>
  <c r="H112" i="5" s="1"/>
  <c r="E50" i="6"/>
  <c r="G50" i="6"/>
  <c r="H50" i="6" s="1"/>
  <c r="F113" i="5" l="1"/>
  <c r="G113" i="5" s="1"/>
  <c r="D113" i="5"/>
  <c r="I50" i="6"/>
  <c r="H113" i="5" l="1"/>
  <c r="F114" i="5" s="1"/>
  <c r="G114" i="5" s="1"/>
  <c r="G51" i="6"/>
  <c r="H51" i="6" s="1"/>
  <c r="E51" i="6"/>
  <c r="D114" i="5" l="1"/>
  <c r="H114" i="5" s="1"/>
  <c r="F115" i="5" s="1"/>
  <c r="G115" i="5" s="1"/>
  <c r="I51" i="6"/>
  <c r="G52" i="6" s="1"/>
  <c r="H52" i="6" s="1"/>
  <c r="J52" i="6" s="1"/>
  <c r="D115" i="5" l="1"/>
  <c r="H115" i="5"/>
  <c r="F116" i="5" s="1"/>
  <c r="G116" i="5" s="1"/>
  <c r="E52" i="6"/>
  <c r="I52" i="6" s="1"/>
  <c r="G53" i="6" s="1"/>
  <c r="H53" i="6" s="1"/>
  <c r="D116" i="5"/>
  <c r="H116" i="5" l="1"/>
  <c r="F117" i="5" s="1"/>
  <c r="G117" i="5" s="1"/>
  <c r="D117" i="5"/>
  <c r="E53" i="6"/>
  <c r="I53" i="6" s="1"/>
  <c r="H117" i="5" l="1"/>
  <c r="D118" i="5" s="1"/>
  <c r="G54" i="6"/>
  <c r="H54" i="6" s="1"/>
  <c r="E54" i="6"/>
  <c r="F118" i="5" l="1"/>
  <c r="G118" i="5" s="1"/>
  <c r="H118" i="5" s="1"/>
  <c r="I54" i="6"/>
  <c r="E55" i="6" s="1"/>
  <c r="G55" i="6" l="1"/>
  <c r="H55" i="6" s="1"/>
  <c r="F119" i="5"/>
  <c r="G119" i="5" s="1"/>
  <c r="D119" i="5"/>
  <c r="I55" i="6"/>
  <c r="E56" i="6" s="1"/>
  <c r="H119" i="5" l="1"/>
  <c r="F120" i="5" s="1"/>
  <c r="G120" i="5" s="1"/>
  <c r="D120" i="5"/>
  <c r="H120" i="5" s="1"/>
  <c r="G56" i="6"/>
  <c r="H56" i="6" s="1"/>
  <c r="I56" i="6" s="1"/>
  <c r="G57" i="6" l="1"/>
  <c r="H57" i="6" s="1"/>
  <c r="E57" i="6"/>
  <c r="D121" i="5"/>
  <c r="F121" i="5"/>
  <c r="G121" i="5" s="1"/>
  <c r="I57" i="6" l="1"/>
  <c r="G58" i="6" s="1"/>
  <c r="H58" i="6" s="1"/>
  <c r="H121" i="5"/>
  <c r="D122" i="5" s="1"/>
  <c r="E58" i="6" l="1"/>
  <c r="F122" i="5"/>
  <c r="G122" i="5" s="1"/>
  <c r="H122" i="5" s="1"/>
  <c r="I58" i="6"/>
  <c r="D123" i="5" l="1"/>
  <c r="F123" i="5"/>
  <c r="G123" i="5" s="1"/>
  <c r="E59" i="6"/>
  <c r="G59" i="6"/>
  <c r="H59" i="6" s="1"/>
  <c r="I59" i="6" l="1"/>
  <c r="H123" i="5"/>
  <c r="D124" i="5" l="1"/>
  <c r="F124" i="5"/>
  <c r="G124" i="5" s="1"/>
  <c r="I124" i="5" s="1"/>
  <c r="G60" i="6"/>
  <c r="H60" i="6" s="1"/>
  <c r="E60" i="6"/>
  <c r="I60" i="6" l="1"/>
  <c r="H124" i="5"/>
  <c r="D125" i="5" l="1"/>
  <c r="F125" i="5"/>
  <c r="G125" i="5" s="1"/>
  <c r="G61" i="6"/>
  <c r="H61" i="6" s="1"/>
  <c r="E61" i="6"/>
  <c r="I61" i="6" l="1"/>
  <c r="G62" i="6" s="1"/>
  <c r="H62" i="6" s="1"/>
  <c r="H125" i="5"/>
  <c r="E62" i="6" l="1"/>
  <c r="I62" i="6"/>
  <c r="G63" i="6" s="1"/>
  <c r="H63" i="6" s="1"/>
  <c r="F126" i="5"/>
  <c r="G126" i="5" s="1"/>
  <c r="D126" i="5"/>
  <c r="E63" i="6" l="1"/>
  <c r="I63" i="6" s="1"/>
  <c r="G64" i="6" s="1"/>
  <c r="H64" i="6" s="1"/>
  <c r="J64" i="6" s="1"/>
  <c r="H126" i="5"/>
  <c r="D127" i="5" s="1"/>
  <c r="F127" i="5" l="1"/>
  <c r="G127" i="5" s="1"/>
  <c r="H127" i="5" s="1"/>
  <c r="E64" i="6"/>
  <c r="I64" i="6" s="1"/>
  <c r="G65" i="6" l="1"/>
  <c r="H65" i="6" s="1"/>
  <c r="E65" i="6"/>
  <c r="D128" i="5"/>
  <c r="F128" i="5"/>
  <c r="G128" i="5" s="1"/>
  <c r="I65" i="6" l="1"/>
  <c r="E66" i="6" s="1"/>
  <c r="H128" i="5"/>
  <c r="F129" i="5" s="1"/>
  <c r="G129" i="5" s="1"/>
  <c r="D129" i="5" l="1"/>
  <c r="H129" i="5" s="1"/>
  <c r="F130" i="5" s="1"/>
  <c r="G130" i="5" s="1"/>
  <c r="G66" i="6"/>
  <c r="H66" i="6" s="1"/>
  <c r="I66" i="6" s="1"/>
  <c r="D130" i="5" l="1"/>
  <c r="H130" i="5" s="1"/>
  <c r="D131" i="5" s="1"/>
  <c r="G67" i="6"/>
  <c r="H67" i="6" s="1"/>
  <c r="E67" i="6"/>
  <c r="I67" i="6" l="1"/>
  <c r="G68" i="6" s="1"/>
  <c r="H68" i="6" s="1"/>
  <c r="F131" i="5"/>
  <c r="G131" i="5" s="1"/>
  <c r="H131" i="5" s="1"/>
  <c r="E68" i="6" l="1"/>
  <c r="I68" i="6" s="1"/>
  <c r="G69" i="6" s="1"/>
  <c r="H69" i="6" s="1"/>
  <c r="F132" i="5"/>
  <c r="G132" i="5" s="1"/>
  <c r="D132" i="5"/>
  <c r="E69" i="6" l="1"/>
  <c r="I69" i="6" s="1"/>
  <c r="E70" i="6" s="1"/>
  <c r="H132" i="5"/>
  <c r="F133" i="5" s="1"/>
  <c r="G133" i="5" s="1"/>
  <c r="G70" i="6" l="1"/>
  <c r="H70" i="6" s="1"/>
  <c r="I70" i="6" s="1"/>
  <c r="G71" i="6" s="1"/>
  <c r="H71" i="6" s="1"/>
  <c r="D133" i="5"/>
  <c r="H133" i="5" s="1"/>
  <c r="F134" i="5" s="1"/>
  <c r="G134" i="5" s="1"/>
  <c r="E71" i="6" l="1"/>
  <c r="I71" i="6" s="1"/>
  <c r="E72" i="6" s="1"/>
  <c r="D134" i="5"/>
  <c r="H134" i="5" s="1"/>
  <c r="G72" i="6" l="1"/>
  <c r="H72" i="6" s="1"/>
  <c r="I72" i="6" s="1"/>
  <c r="F135" i="5"/>
  <c r="G135" i="5" s="1"/>
  <c r="D135" i="5"/>
  <c r="H135" i="5" l="1"/>
  <c r="G73" i="6"/>
  <c r="H73" i="6" s="1"/>
  <c r="E73" i="6"/>
  <c r="F136" i="5" l="1"/>
  <c r="G136" i="5" s="1"/>
  <c r="I136" i="5" s="1"/>
  <c r="D136" i="5"/>
  <c r="I73" i="6"/>
  <c r="G74" i="6" s="1"/>
  <c r="H74" i="6" s="1"/>
  <c r="H136" i="5" l="1"/>
  <c r="F137" i="5" s="1"/>
  <c r="G137" i="5" s="1"/>
  <c r="E74" i="6"/>
  <c r="I74" i="6" s="1"/>
  <c r="E75" i="6" s="1"/>
  <c r="D137" i="5"/>
  <c r="H137" i="5" l="1"/>
  <c r="F138" i="5" s="1"/>
  <c r="G138" i="5" s="1"/>
  <c r="G75" i="6"/>
  <c r="H75" i="6" s="1"/>
  <c r="I75" i="6" s="1"/>
  <c r="E76" i="6" s="1"/>
  <c r="D138" i="5" l="1"/>
  <c r="H138" i="5" s="1"/>
  <c r="F139" i="5" s="1"/>
  <c r="G139" i="5" s="1"/>
  <c r="G76" i="6"/>
  <c r="H76" i="6" s="1"/>
  <c r="J76" i="6" s="1"/>
  <c r="D139" i="5" l="1"/>
  <c r="H139" i="5"/>
  <c r="F140" i="5" s="1"/>
  <c r="G140" i="5" s="1"/>
  <c r="I76" i="6"/>
  <c r="E77" i="6" s="1"/>
  <c r="D140" i="5" l="1"/>
  <c r="H140" i="5" s="1"/>
  <c r="G77" i="6"/>
  <c r="H77" i="6" s="1"/>
  <c r="I77" i="6" s="1"/>
  <c r="E78" i="6" s="1"/>
  <c r="F141" i="5"/>
  <c r="G141" i="5" s="1"/>
  <c r="D141" i="5"/>
  <c r="G78" i="6" l="1"/>
  <c r="H78" i="6" s="1"/>
  <c r="I78" i="6" s="1"/>
  <c r="E79" i="6" s="1"/>
  <c r="H141" i="5"/>
  <c r="D142" i="5" s="1"/>
  <c r="G79" i="6" l="1"/>
  <c r="H79" i="6" s="1"/>
  <c r="I79" i="6" s="1"/>
  <c r="E80" i="6" s="1"/>
  <c r="F142" i="5"/>
  <c r="G142" i="5" s="1"/>
  <c r="H142" i="5" s="1"/>
  <c r="D143" i="5" s="1"/>
  <c r="G80" i="6" l="1"/>
  <c r="H80" i="6" s="1"/>
  <c r="I80" i="6" s="1"/>
  <c r="F143" i="5"/>
  <c r="G143" i="5" s="1"/>
  <c r="H143" i="5" s="1"/>
  <c r="D144" i="5" s="1"/>
  <c r="E81" i="6" l="1"/>
  <c r="G81" i="6"/>
  <c r="H81" i="6" s="1"/>
  <c r="F144" i="5"/>
  <c r="G144" i="5" s="1"/>
  <c r="H144" i="5" s="1"/>
  <c r="F145" i="5" s="1"/>
  <c r="G145" i="5" s="1"/>
  <c r="I81" i="6" l="1"/>
  <c r="D145" i="5"/>
  <c r="H145" i="5" s="1"/>
  <c r="F146" i="5" s="1"/>
  <c r="G146" i="5" s="1"/>
  <c r="G82" i="6" l="1"/>
  <c r="H82" i="6" s="1"/>
  <c r="E82" i="6"/>
  <c r="D146" i="5"/>
  <c r="H146" i="5" s="1"/>
  <c r="I82" i="6" l="1"/>
  <c r="E83" i="6" s="1"/>
  <c r="D147" i="5"/>
  <c r="F147" i="5"/>
  <c r="G147" i="5" s="1"/>
  <c r="G83" i="6" l="1"/>
  <c r="H83" i="6" s="1"/>
  <c r="I83" i="6" s="1"/>
  <c r="E84" i="6" s="1"/>
  <c r="H147" i="5"/>
  <c r="G84" i="6" l="1"/>
  <c r="H84" i="6" s="1"/>
  <c r="I84" i="6" s="1"/>
  <c r="D148" i="5"/>
  <c r="F148" i="5"/>
  <c r="G148" i="5" s="1"/>
  <c r="I148" i="5" s="1"/>
  <c r="G85" i="6" l="1"/>
  <c r="H85" i="6" s="1"/>
  <c r="E85" i="6"/>
  <c r="H148" i="5"/>
  <c r="I85" i="6" l="1"/>
  <c r="G86" i="6" s="1"/>
  <c r="H86" i="6" s="1"/>
  <c r="D149" i="5"/>
  <c r="F149" i="5"/>
  <c r="G149" i="5" s="1"/>
  <c r="E86" i="6" l="1"/>
  <c r="I86" i="6" s="1"/>
  <c r="G87" i="6" s="1"/>
  <c r="H87" i="6" s="1"/>
  <c r="H149" i="5"/>
  <c r="E87" i="6" l="1"/>
  <c r="I87" i="6" s="1"/>
  <c r="G88" i="6" s="1"/>
  <c r="H88" i="6" s="1"/>
  <c r="J88" i="6" s="1"/>
  <c r="D150" i="5"/>
  <c r="F150" i="5"/>
  <c r="G150" i="5" s="1"/>
  <c r="E88" i="6" l="1"/>
  <c r="I88" i="6" s="1"/>
  <c r="H150" i="5"/>
  <c r="E89" i="6" l="1"/>
  <c r="G89" i="6"/>
  <c r="H89" i="6" s="1"/>
  <c r="F151" i="5"/>
  <c r="G151" i="5" s="1"/>
  <c r="D151" i="5"/>
  <c r="I89" i="6" l="1"/>
  <c r="G90" i="6" s="1"/>
  <c r="H90" i="6" s="1"/>
  <c r="H151" i="5"/>
  <c r="F152" i="5" s="1"/>
  <c r="G152" i="5" s="1"/>
  <c r="E90" i="6" l="1"/>
  <c r="I90" i="6" s="1"/>
  <c r="D152" i="5"/>
  <c r="H152" i="5" s="1"/>
  <c r="E91" i="6" l="1"/>
  <c r="G91" i="6"/>
  <c r="H91" i="6" s="1"/>
  <c r="D153" i="5"/>
  <c r="F153" i="5"/>
  <c r="G153" i="5" s="1"/>
  <c r="I91" i="6" l="1"/>
  <c r="H153" i="5"/>
  <c r="D154" i="5" s="1"/>
  <c r="G92" i="6" l="1"/>
  <c r="H92" i="6" s="1"/>
  <c r="E92" i="6"/>
  <c r="F154" i="5"/>
  <c r="G154" i="5" s="1"/>
  <c r="H154" i="5" s="1"/>
  <c r="F155" i="5" s="1"/>
  <c r="G155" i="5" s="1"/>
  <c r="I92" i="6" l="1"/>
  <c r="E93" i="6" s="1"/>
  <c r="D155" i="5"/>
  <c r="H155" i="5" s="1"/>
  <c r="G93" i="6" l="1"/>
  <c r="H93" i="6" s="1"/>
  <c r="I93" i="6" s="1"/>
  <c r="F156" i="5"/>
  <c r="G156" i="5" s="1"/>
  <c r="D156" i="5"/>
  <c r="E94" i="6" l="1"/>
  <c r="G94" i="6"/>
  <c r="H94" i="6" s="1"/>
  <c r="H156" i="5"/>
  <c r="D157" i="5" s="1"/>
  <c r="I94" i="6" l="1"/>
  <c r="F157" i="5"/>
  <c r="G157" i="5" s="1"/>
  <c r="H157" i="5" s="1"/>
  <c r="D158" i="5" s="1"/>
  <c r="E95" i="6" l="1"/>
  <c r="G95" i="6"/>
  <c r="H95" i="6" s="1"/>
  <c r="F158" i="5"/>
  <c r="G158" i="5" s="1"/>
  <c r="H158" i="5" s="1"/>
  <c r="I95" i="6" l="1"/>
  <c r="F159" i="5"/>
  <c r="G159" i="5" s="1"/>
  <c r="D159" i="5"/>
  <c r="H159" i="5" l="1"/>
  <c r="F160" i="5" s="1"/>
  <c r="G160" i="5" s="1"/>
  <c r="I160" i="5" s="1"/>
  <c r="G96" i="6"/>
  <c r="H96" i="6" s="1"/>
  <c r="E96" i="6"/>
  <c r="D160" i="5" l="1"/>
  <c r="H160" i="5" s="1"/>
  <c r="I96" i="6"/>
  <c r="G97" i="6" s="1"/>
  <c r="H97" i="6" s="1"/>
  <c r="F161" i="5"/>
  <c r="G161" i="5" s="1"/>
  <c r="D161" i="5"/>
  <c r="E97" i="6" l="1"/>
  <c r="I97" i="6" s="1"/>
  <c r="G98" i="6" s="1"/>
  <c r="H98" i="6" s="1"/>
  <c r="H161" i="5"/>
  <c r="F162" i="5" s="1"/>
  <c r="G162" i="5" s="1"/>
  <c r="E98" i="6" l="1"/>
  <c r="I98" i="6" s="1"/>
  <c r="D162" i="5"/>
  <c r="H162" i="5" s="1"/>
  <c r="F163" i="5" s="1"/>
  <c r="G163" i="5" s="1"/>
  <c r="G99" i="6" l="1"/>
  <c r="H99" i="6" s="1"/>
  <c r="E99" i="6"/>
  <c r="D163" i="5"/>
  <c r="H163" i="5" s="1"/>
  <c r="F164" i="5" s="1"/>
  <c r="G164" i="5" s="1"/>
  <c r="I99" i="6" l="1"/>
  <c r="D164" i="5"/>
  <c r="H164" i="5" s="1"/>
  <c r="D165" i="5" s="1"/>
  <c r="G100" i="6" l="1"/>
  <c r="H100" i="6" s="1"/>
  <c r="J100" i="6" s="1"/>
  <c r="E100" i="6"/>
  <c r="F165" i="5"/>
  <c r="G165" i="5" s="1"/>
  <c r="H165" i="5" s="1"/>
  <c r="F166" i="5" s="1"/>
  <c r="G166" i="5" s="1"/>
  <c r="I100" i="6" l="1"/>
  <c r="E101" i="6" s="1"/>
  <c r="D166" i="5"/>
  <c r="H166" i="5" s="1"/>
  <c r="G101" i="6" l="1"/>
  <c r="H101" i="6" s="1"/>
  <c r="I101" i="6" s="1"/>
  <c r="D167" i="5"/>
  <c r="F167" i="5"/>
  <c r="G167" i="5" s="1"/>
  <c r="E102" i="6" l="1"/>
  <c r="G102" i="6"/>
  <c r="H102" i="6" s="1"/>
  <c r="H167" i="5"/>
  <c r="I102" i="6" l="1"/>
  <c r="E103" i="6" s="1"/>
  <c r="F168" i="5"/>
  <c r="G168" i="5" s="1"/>
  <c r="D168" i="5"/>
  <c r="G103" i="6" l="1"/>
  <c r="H103" i="6" s="1"/>
  <c r="I103" i="6" s="1"/>
  <c r="H168" i="5"/>
  <c r="F169" i="5" s="1"/>
  <c r="G169" i="5" s="1"/>
  <c r="G104" i="6" l="1"/>
  <c r="H104" i="6" s="1"/>
  <c r="E104" i="6"/>
  <c r="D169" i="5"/>
  <c r="H169" i="5" s="1"/>
  <c r="F170" i="5" s="1"/>
  <c r="G170" i="5" s="1"/>
  <c r="I104" i="6" l="1"/>
  <c r="E105" i="6" s="1"/>
  <c r="D170" i="5"/>
  <c r="H170" i="5" s="1"/>
  <c r="G105" i="6" l="1"/>
  <c r="H105" i="6" s="1"/>
  <c r="I105" i="6" s="1"/>
  <c r="G106" i="6" s="1"/>
  <c r="H106" i="6" s="1"/>
  <c r="D171" i="5"/>
  <c r="F171" i="5"/>
  <c r="G171" i="5" s="1"/>
  <c r="E106" i="6" l="1"/>
  <c r="I106" i="6" s="1"/>
  <c r="E107" i="6" s="1"/>
  <c r="H171" i="5"/>
  <c r="G107" i="6" l="1"/>
  <c r="H107" i="6" s="1"/>
  <c r="I107" i="6" s="1"/>
  <c r="G108" i="6" s="1"/>
  <c r="H108" i="6" s="1"/>
  <c r="D172" i="5"/>
  <c r="F172" i="5"/>
  <c r="G172" i="5" s="1"/>
  <c r="I172" i="5" s="1"/>
  <c r="E108" i="6" l="1"/>
  <c r="I108" i="6" s="1"/>
  <c r="G109" i="6" s="1"/>
  <c r="H109" i="6" s="1"/>
  <c r="H172" i="5"/>
  <c r="E109" i="6" l="1"/>
  <c r="I109" i="6" s="1"/>
  <c r="G110" i="6" s="1"/>
  <c r="H110" i="6" s="1"/>
  <c r="F173" i="5"/>
  <c r="G173" i="5" s="1"/>
  <c r="D173" i="5"/>
  <c r="E110" i="6" l="1"/>
  <c r="I110" i="6" s="1"/>
  <c r="G111" i="6" s="1"/>
  <c r="H111" i="6" s="1"/>
  <c r="H173" i="5"/>
  <c r="D174" i="5" s="1"/>
  <c r="E111" i="6" l="1"/>
  <c r="I111" i="6" s="1"/>
  <c r="G112" i="6" s="1"/>
  <c r="H112" i="6" s="1"/>
  <c r="J112" i="6" s="1"/>
  <c r="F174" i="5"/>
  <c r="G174" i="5" s="1"/>
  <c r="H174" i="5" s="1"/>
  <c r="E112" i="6" l="1"/>
  <c r="I112" i="6" s="1"/>
  <c r="D175" i="5"/>
  <c r="F175" i="5"/>
  <c r="G175" i="5" s="1"/>
  <c r="E113" i="6" l="1"/>
  <c r="G113" i="6"/>
  <c r="H113" i="6" s="1"/>
  <c r="H175" i="5"/>
  <c r="F176" i="5" s="1"/>
  <c r="G176" i="5" s="1"/>
  <c r="I113" i="6" l="1"/>
  <c r="D176" i="5"/>
  <c r="H176" i="5" s="1"/>
  <c r="G114" i="6" l="1"/>
  <c r="H114" i="6" s="1"/>
  <c r="E114" i="6"/>
  <c r="D177" i="5"/>
  <c r="F177" i="5"/>
  <c r="G177" i="5" s="1"/>
  <c r="I114" i="6" l="1"/>
  <c r="H177" i="5"/>
  <c r="D178" i="5" s="1"/>
  <c r="G115" i="6" l="1"/>
  <c r="H115" i="6" s="1"/>
  <c r="E115" i="6"/>
  <c r="F178" i="5"/>
  <c r="G178" i="5" s="1"/>
  <c r="H178" i="5" s="1"/>
  <c r="I115" i="6" l="1"/>
  <c r="E116" i="6" s="1"/>
  <c r="F179" i="5"/>
  <c r="G179" i="5" s="1"/>
  <c r="D179" i="5"/>
  <c r="G116" i="6" l="1"/>
  <c r="H116" i="6" s="1"/>
  <c r="I116" i="6" s="1"/>
  <c r="E117" i="6" s="1"/>
  <c r="H179" i="5"/>
  <c r="D180" i="5" s="1"/>
  <c r="G117" i="6" l="1"/>
  <c r="H117" i="6" s="1"/>
  <c r="F180" i="5"/>
  <c r="G180" i="5" s="1"/>
  <c r="H180" i="5" s="1"/>
  <c r="I117" i="6"/>
  <c r="G118" i="6" s="1"/>
  <c r="H118" i="6" s="1"/>
  <c r="E118" i="6" l="1"/>
  <c r="I118" i="6" s="1"/>
  <c r="F181" i="5"/>
  <c r="G181" i="5" s="1"/>
  <c r="D181" i="5"/>
  <c r="E119" i="6" l="1"/>
  <c r="G119" i="6"/>
  <c r="H119" i="6" s="1"/>
  <c r="H181" i="5"/>
  <c r="F182" i="5" s="1"/>
  <c r="G182" i="5" s="1"/>
  <c r="I119" i="6" l="1"/>
  <c r="E120" i="6" s="1"/>
  <c r="D182" i="5"/>
  <c r="H182" i="5" s="1"/>
  <c r="D183" i="5" s="1"/>
  <c r="G120" i="6" l="1"/>
  <c r="H120" i="6" s="1"/>
  <c r="I120" i="6" s="1"/>
  <c r="G121" i="6" s="1"/>
  <c r="H121" i="6" s="1"/>
  <c r="F183" i="5"/>
  <c r="G183" i="5" s="1"/>
  <c r="H183" i="5" s="1"/>
  <c r="E121" i="6" l="1"/>
  <c r="I121" i="6" s="1"/>
  <c r="D184" i="5"/>
  <c r="F184" i="5"/>
  <c r="G184" i="5" s="1"/>
  <c r="I184" i="5" s="1"/>
  <c r="E122" i="6" l="1"/>
  <c r="G122" i="6"/>
  <c r="H122" i="6" s="1"/>
  <c r="H184" i="5"/>
  <c r="I122" i="6" l="1"/>
  <c r="G123" i="6" s="1"/>
  <c r="H123" i="6" s="1"/>
  <c r="D185" i="5"/>
  <c r="F185" i="5"/>
  <c r="G185" i="5" s="1"/>
  <c r="E123" i="6" l="1"/>
  <c r="I123" i="6" s="1"/>
  <c r="E124" i="6" s="1"/>
  <c r="H185" i="5"/>
  <c r="G124" i="6" l="1"/>
  <c r="H124" i="6" s="1"/>
  <c r="J124" i="6" s="1"/>
  <c r="D186" i="5"/>
  <c r="F186" i="5"/>
  <c r="G186" i="5" s="1"/>
  <c r="I124" i="6" l="1"/>
  <c r="E125" i="6" s="1"/>
  <c r="H186" i="5"/>
  <c r="G125" i="6" l="1"/>
  <c r="H125" i="6" s="1"/>
  <c r="I125" i="6" s="1"/>
  <c r="E126" i="6" s="1"/>
  <c r="D187" i="5"/>
  <c r="F187" i="5"/>
  <c r="G187" i="5" s="1"/>
  <c r="G126" i="6" l="1"/>
  <c r="H126" i="6" s="1"/>
  <c r="I126" i="6" s="1"/>
  <c r="E127" i="6" s="1"/>
  <c r="H187" i="5"/>
  <c r="G127" i="6" l="1"/>
  <c r="H127" i="6" s="1"/>
  <c r="I127" i="6" s="1"/>
  <c r="G128" i="6" s="1"/>
  <c r="H128" i="6" s="1"/>
  <c r="D188" i="5"/>
  <c r="F188" i="5"/>
  <c r="G188" i="5" s="1"/>
  <c r="E128" i="6" l="1"/>
  <c r="I128" i="6" s="1"/>
  <c r="G129" i="6" s="1"/>
  <c r="H129" i="6" s="1"/>
  <c r="H188" i="5"/>
  <c r="E129" i="6" l="1"/>
  <c r="I129" i="6" s="1"/>
  <c r="F189" i="5"/>
  <c r="G189" i="5" s="1"/>
  <c r="D189" i="5"/>
  <c r="G130" i="6" l="1"/>
  <c r="H130" i="6" s="1"/>
  <c r="E130" i="6"/>
  <c r="H189" i="5"/>
  <c r="F190" i="5" s="1"/>
  <c r="G190" i="5" s="1"/>
  <c r="D190" i="5" l="1"/>
  <c r="H190" i="5" s="1"/>
  <c r="F191" i="5" s="1"/>
  <c r="G191" i="5" s="1"/>
  <c r="I130" i="6"/>
  <c r="E131" i="6" s="1"/>
  <c r="G131" i="6" l="1"/>
  <c r="H131" i="6" s="1"/>
  <c r="I131" i="6" s="1"/>
  <c r="D191" i="5"/>
  <c r="H191" i="5" s="1"/>
  <c r="G132" i="6" l="1"/>
  <c r="H132" i="6" s="1"/>
  <c r="E132" i="6"/>
  <c r="D192" i="5"/>
  <c r="F192" i="5"/>
  <c r="G192" i="5" s="1"/>
  <c r="I132" i="6" l="1"/>
  <c r="E133" i="6" s="1"/>
  <c r="H192" i="5"/>
  <c r="D193" i="5" s="1"/>
  <c r="F193" i="5" l="1"/>
  <c r="G193" i="5" s="1"/>
  <c r="H193" i="5" s="1"/>
  <c r="G133" i="6"/>
  <c r="H133" i="6" s="1"/>
  <c r="I133" i="6" s="1"/>
  <c r="E134" i="6" l="1"/>
  <c r="G134" i="6"/>
  <c r="H134" i="6" s="1"/>
  <c r="D194" i="5"/>
  <c r="F194" i="5"/>
  <c r="G194" i="5" s="1"/>
  <c r="H194" i="5" l="1"/>
  <c r="I134" i="6"/>
  <c r="G135" i="6" l="1"/>
  <c r="H135" i="6" s="1"/>
  <c r="E135" i="6"/>
  <c r="F195" i="5"/>
  <c r="G195" i="5" s="1"/>
  <c r="D195" i="5"/>
  <c r="I135" i="6" l="1"/>
  <c r="G136" i="6" s="1"/>
  <c r="H136" i="6" s="1"/>
  <c r="J136" i="6" s="1"/>
  <c r="H195" i="5"/>
  <c r="E136" i="6" l="1"/>
  <c r="I136" i="6" s="1"/>
  <c r="E137" i="6" s="1"/>
  <c r="F196" i="5"/>
  <c r="G196" i="5" s="1"/>
  <c r="I196" i="5" s="1"/>
  <c r="D196" i="5"/>
  <c r="G137" i="6" l="1"/>
  <c r="H137" i="6" s="1"/>
  <c r="I137" i="6" s="1"/>
  <c r="H196" i="5"/>
  <c r="F197" i="5" s="1"/>
  <c r="G197" i="5" s="1"/>
  <c r="D197" i="5" l="1"/>
  <c r="H197" i="5" s="1"/>
  <c r="G138" i="6"/>
  <c r="H138" i="6" s="1"/>
  <c r="E138" i="6"/>
  <c r="I138" i="6" l="1"/>
  <c r="E139" i="6" s="1"/>
  <c r="D198" i="5"/>
  <c r="F198" i="5"/>
  <c r="G198" i="5" s="1"/>
  <c r="G139" i="6" l="1"/>
  <c r="H139" i="6" s="1"/>
  <c r="I139" i="6" s="1"/>
  <c r="H198" i="5"/>
  <c r="F199" i="5" l="1"/>
  <c r="G199" i="5" s="1"/>
  <c r="D199" i="5"/>
  <c r="E140" i="6"/>
  <c r="G140" i="6"/>
  <c r="H140" i="6" s="1"/>
  <c r="H199" i="5" l="1"/>
  <c r="F200" i="5" s="1"/>
  <c r="G200" i="5" s="1"/>
  <c r="I140" i="6"/>
  <c r="D200" i="5" l="1"/>
  <c r="H200" i="5" s="1"/>
  <c r="F201" i="5" s="1"/>
  <c r="G201" i="5" s="1"/>
  <c r="E141" i="6"/>
  <c r="G141" i="6"/>
  <c r="H141" i="6" s="1"/>
  <c r="D201" i="5" l="1"/>
  <c r="H201" i="5" s="1"/>
  <c r="D202" i="5" s="1"/>
  <c r="I141" i="6"/>
  <c r="F202" i="5" l="1"/>
  <c r="G202" i="5" s="1"/>
  <c r="H202" i="5" s="1"/>
  <c r="D203" i="5" s="1"/>
  <c r="G142" i="6"/>
  <c r="H142" i="6" s="1"/>
  <c r="E142" i="6"/>
  <c r="F203" i="5" l="1"/>
  <c r="G203" i="5" s="1"/>
  <c r="H203" i="5" s="1"/>
  <c r="I142" i="6"/>
  <c r="E143" i="6" s="1"/>
  <c r="G143" i="6" l="1"/>
  <c r="H143" i="6" s="1"/>
  <c r="I143" i="6" s="1"/>
  <c r="D204" i="5"/>
  <c r="F204" i="5"/>
  <c r="G204" i="5" s="1"/>
  <c r="G144" i="6" l="1"/>
  <c r="H144" i="6" s="1"/>
  <c r="E144" i="6"/>
  <c r="H204" i="5"/>
  <c r="I144" i="6" l="1"/>
  <c r="G145" i="6" s="1"/>
  <c r="H145" i="6" s="1"/>
  <c r="F205" i="5"/>
  <c r="G205" i="5" s="1"/>
  <c r="D205" i="5"/>
  <c r="E145" i="6"/>
  <c r="H205" i="5" l="1"/>
  <c r="D206" i="5" s="1"/>
  <c r="I145" i="6"/>
  <c r="E146" i="6" s="1"/>
  <c r="F206" i="5" l="1"/>
  <c r="G206" i="5" s="1"/>
  <c r="H206" i="5" s="1"/>
  <c r="D207" i="5" s="1"/>
  <c r="G146" i="6"/>
  <c r="H146" i="6" s="1"/>
  <c r="I146" i="6" s="1"/>
  <c r="F207" i="5" l="1"/>
  <c r="G207" i="5" s="1"/>
  <c r="H207" i="5" s="1"/>
  <c r="E147" i="6"/>
  <c r="G147" i="6"/>
  <c r="H147" i="6" s="1"/>
  <c r="D208" i="5" l="1"/>
  <c r="F208" i="5"/>
  <c r="G208" i="5" s="1"/>
  <c r="I208" i="5" s="1"/>
  <c r="I147" i="6"/>
  <c r="G148" i="6" l="1"/>
  <c r="H148" i="6" s="1"/>
  <c r="J148" i="6" s="1"/>
  <c r="E148" i="6"/>
  <c r="H208" i="5"/>
  <c r="I148" i="6" l="1"/>
  <c r="E149" i="6" s="1"/>
  <c r="F209" i="5"/>
  <c r="G209" i="5" s="1"/>
  <c r="D209" i="5"/>
  <c r="G149" i="6" l="1"/>
  <c r="H149" i="6" s="1"/>
  <c r="I149" i="6" s="1"/>
  <c r="H209" i="5"/>
  <c r="D210" i="5" s="1"/>
  <c r="F210" i="5" l="1"/>
  <c r="G210" i="5" s="1"/>
  <c r="H210" i="5" s="1"/>
  <c r="E150" i="6"/>
  <c r="G150" i="6"/>
  <c r="H150" i="6" s="1"/>
  <c r="I150" i="6" l="1"/>
  <c r="F211" i="5"/>
  <c r="G211" i="5" s="1"/>
  <c r="D211" i="5"/>
  <c r="H211" i="5" l="1"/>
  <c r="F212" i="5" s="1"/>
  <c r="G212" i="5" s="1"/>
  <c r="G151" i="6"/>
  <c r="H151" i="6" s="1"/>
  <c r="E151" i="6"/>
  <c r="D212" i="5" l="1"/>
  <c r="H212" i="5" s="1"/>
  <c r="I151" i="6"/>
  <c r="E152" i="6" s="1"/>
  <c r="G152" i="6" l="1"/>
  <c r="H152" i="6" s="1"/>
  <c r="I152" i="6" s="1"/>
  <c r="D213" i="5"/>
  <c r="F213" i="5"/>
  <c r="G213" i="5" s="1"/>
  <c r="H213" i="5" l="1"/>
  <c r="D214" i="5" s="1"/>
  <c r="G153" i="6"/>
  <c r="H153" i="6" s="1"/>
  <c r="E153" i="6"/>
  <c r="F214" i="5" l="1"/>
  <c r="G214" i="5" s="1"/>
  <c r="H214" i="5" s="1"/>
  <c r="I153" i="6"/>
  <c r="E154" i="6" s="1"/>
  <c r="G154" i="6" l="1"/>
  <c r="H154" i="6" s="1"/>
  <c r="I154" i="6" s="1"/>
  <c r="F215" i="5"/>
  <c r="G215" i="5" s="1"/>
  <c r="D215" i="5"/>
  <c r="H215" i="5" l="1"/>
  <c r="F216" i="5" s="1"/>
  <c r="G216" i="5" s="1"/>
  <c r="G155" i="6"/>
  <c r="H155" i="6" s="1"/>
  <c r="E155" i="6"/>
  <c r="I155" i="6" l="1"/>
  <c r="E156" i="6" s="1"/>
  <c r="D216" i="5"/>
  <c r="H216" i="5" s="1"/>
  <c r="F217" i="5" s="1"/>
  <c r="G217" i="5" s="1"/>
  <c r="G156" i="6" l="1"/>
  <c r="H156" i="6" s="1"/>
  <c r="I156" i="6" s="1"/>
  <c r="D217" i="5"/>
  <c r="H217" i="5" s="1"/>
  <c r="D218" i="5" l="1"/>
  <c r="F218" i="5"/>
  <c r="G218" i="5" s="1"/>
  <c r="E157" i="6"/>
  <c r="G157" i="6"/>
  <c r="H157" i="6" s="1"/>
  <c r="H218" i="5" l="1"/>
  <c r="D219" i="5" s="1"/>
  <c r="I157" i="6"/>
  <c r="F219" i="5" l="1"/>
  <c r="G219" i="5" s="1"/>
  <c r="H219" i="5" s="1"/>
  <c r="E158" i="6"/>
  <c r="G158" i="6"/>
  <c r="H158" i="6" s="1"/>
  <c r="I158" i="6" l="1"/>
  <c r="D220" i="5"/>
  <c r="F220" i="5"/>
  <c r="G220" i="5" s="1"/>
  <c r="I220" i="5" s="1"/>
  <c r="H220" i="5" l="1"/>
  <c r="E159" i="6"/>
  <c r="G159" i="6"/>
  <c r="H159" i="6" s="1"/>
  <c r="I159" i="6" l="1"/>
  <c r="D221" i="5"/>
  <c r="F221" i="5"/>
  <c r="G221" i="5" s="1"/>
  <c r="H221" i="5" l="1"/>
  <c r="G160" i="6"/>
  <c r="H160" i="6" s="1"/>
  <c r="E160" i="6"/>
  <c r="I160" i="6" l="1"/>
  <c r="E161" i="6" s="1"/>
  <c r="D222" i="5"/>
  <c r="F222" i="5"/>
  <c r="G222" i="5" s="1"/>
  <c r="G161" i="6" l="1"/>
  <c r="H161" i="6" s="1"/>
  <c r="I161" i="6" s="1"/>
  <c r="G162" i="6" s="1"/>
  <c r="H162" i="6" s="1"/>
  <c r="H222" i="5"/>
  <c r="E162" i="6" l="1"/>
  <c r="I162" i="6" s="1"/>
  <c r="E163" i="6" s="1"/>
  <c r="F223" i="5"/>
  <c r="G223" i="5" s="1"/>
  <c r="D223" i="5"/>
  <c r="G163" i="6" l="1"/>
  <c r="H163" i="6" s="1"/>
  <c r="I163" i="6" s="1"/>
  <c r="H223" i="5"/>
  <c r="D224" i="5" s="1"/>
  <c r="F224" i="5" l="1"/>
  <c r="G224" i="5" s="1"/>
  <c r="H224" i="5" s="1"/>
  <c r="G164" i="6"/>
  <c r="H164" i="6" s="1"/>
  <c r="E164" i="6"/>
  <c r="F225" i="5" l="1"/>
  <c r="G225" i="5" s="1"/>
  <c r="D225" i="5"/>
  <c r="I164" i="6"/>
  <c r="G165" i="6" s="1"/>
  <c r="H165" i="6" s="1"/>
  <c r="H225" i="5" l="1"/>
  <c r="D226" i="5" s="1"/>
  <c r="E165" i="6"/>
  <c r="I165" i="6" s="1"/>
  <c r="F226" i="5" l="1"/>
  <c r="G226" i="5" s="1"/>
  <c r="H226" i="5" s="1"/>
  <c r="D227" i="5" s="1"/>
  <c r="G166" i="6"/>
  <c r="H166" i="6" s="1"/>
  <c r="E166" i="6"/>
  <c r="F227" i="5" l="1"/>
  <c r="G227" i="5" s="1"/>
  <c r="H227" i="5" s="1"/>
  <c r="I166" i="6"/>
  <c r="E167" i="6" s="1"/>
  <c r="G167" i="6" l="1"/>
  <c r="H167" i="6" s="1"/>
  <c r="I167" i="6" s="1"/>
  <c r="F228" i="5"/>
  <c r="G228" i="5" s="1"/>
  <c r="D228" i="5"/>
  <c r="H228" i="5" l="1"/>
  <c r="F229" i="5" s="1"/>
  <c r="G229" i="5" s="1"/>
  <c r="E168" i="6"/>
  <c r="G168" i="6"/>
  <c r="H168" i="6" s="1"/>
  <c r="D229" i="5" l="1"/>
  <c r="H229" i="5" s="1"/>
  <c r="D230" i="5" s="1"/>
  <c r="I168" i="6"/>
  <c r="F230" i="5" l="1"/>
  <c r="G230" i="5" s="1"/>
  <c r="H230" i="5" s="1"/>
  <c r="G169" i="6"/>
  <c r="H169" i="6" s="1"/>
  <c r="E169" i="6"/>
  <c r="I169" i="6" l="1"/>
  <c r="G170" i="6" s="1"/>
  <c r="H170" i="6" s="1"/>
  <c r="D231" i="5"/>
  <c r="F231" i="5"/>
  <c r="G231" i="5" s="1"/>
  <c r="E170" i="6" l="1"/>
  <c r="I170" i="6" s="1"/>
  <c r="H231" i="5"/>
  <c r="F232" i="5" l="1"/>
  <c r="G232" i="5" s="1"/>
  <c r="I232" i="5" s="1"/>
  <c r="D232" i="5"/>
  <c r="E171" i="6"/>
  <c r="G171" i="6"/>
  <c r="H171" i="6" s="1"/>
  <c r="H232" i="5" l="1"/>
  <c r="D233" i="5" s="1"/>
  <c r="I171" i="6"/>
  <c r="F233" i="5" l="1"/>
  <c r="G233" i="5" s="1"/>
  <c r="H233" i="5" s="1"/>
  <c r="G172" i="6"/>
  <c r="H172" i="6" s="1"/>
  <c r="E172" i="6"/>
  <c r="I172" i="6" l="1"/>
  <c r="E173" i="6" s="1"/>
  <c r="F234" i="5"/>
  <c r="G234" i="5" s="1"/>
  <c r="D234" i="5"/>
  <c r="G173" i="6" l="1"/>
  <c r="H173" i="6" s="1"/>
  <c r="I173" i="6" s="1"/>
  <c r="H234" i="5"/>
  <c r="D235" i="5" s="1"/>
  <c r="F235" i="5" l="1"/>
  <c r="G235" i="5" s="1"/>
  <c r="H235" i="5" s="1"/>
  <c r="F236" i="5" s="1"/>
  <c r="G236" i="5" s="1"/>
  <c r="G174" i="6"/>
  <c r="H174" i="6" s="1"/>
  <c r="E174" i="6"/>
  <c r="D236" i="5" l="1"/>
  <c r="H236" i="5" s="1"/>
  <c r="I174" i="6"/>
  <c r="G175" i="6" s="1"/>
  <c r="H175" i="6" s="1"/>
  <c r="E175" i="6" l="1"/>
  <c r="I175" i="6" s="1"/>
  <c r="F237" i="5"/>
  <c r="G237" i="5" s="1"/>
  <c r="D237" i="5"/>
  <c r="H237" i="5" l="1"/>
  <c r="D238" i="5" s="1"/>
  <c r="E176" i="6"/>
  <c r="G176" i="6"/>
  <c r="H176" i="6" s="1"/>
  <c r="F238" i="5" l="1"/>
  <c r="G238" i="5" s="1"/>
  <c r="H238" i="5" s="1"/>
  <c r="I176" i="6"/>
  <c r="F239" i="5" l="1"/>
  <c r="G239" i="5" s="1"/>
  <c r="D239" i="5"/>
  <c r="G177" i="6"/>
  <c r="H177" i="6" s="1"/>
  <c r="E177" i="6"/>
  <c r="I177" i="6" l="1"/>
  <c r="E178" i="6" s="1"/>
  <c r="H239" i="5"/>
  <c r="F240" i="5" s="1"/>
  <c r="G240" i="5" s="1"/>
  <c r="D240" i="5" l="1"/>
  <c r="H240" i="5" s="1"/>
  <c r="F241" i="5" s="1"/>
  <c r="G241" i="5" s="1"/>
  <c r="G178" i="6"/>
  <c r="H178" i="6" s="1"/>
  <c r="I178" i="6" s="1"/>
  <c r="D241" i="5" l="1"/>
  <c r="H241" i="5" s="1"/>
  <c r="G179" i="6"/>
  <c r="H179" i="6" s="1"/>
  <c r="E179" i="6"/>
  <c r="D242" i="5" l="1"/>
  <c r="F242" i="5"/>
  <c r="G242" i="5" s="1"/>
  <c r="I179" i="6"/>
  <c r="E180" i="6" s="1"/>
  <c r="H242" i="5" l="1"/>
  <c r="D243" i="5" s="1"/>
  <c r="G180" i="6"/>
  <c r="H180" i="6" s="1"/>
  <c r="I180" i="6" s="1"/>
  <c r="F243" i="5" l="1"/>
  <c r="G243" i="5" s="1"/>
  <c r="H243" i="5" s="1"/>
  <c r="F244" i="5" s="1"/>
  <c r="G244" i="5" s="1"/>
  <c r="I244" i="5" s="1"/>
  <c r="E181" i="6"/>
  <c r="G181" i="6"/>
  <c r="H181" i="6" s="1"/>
  <c r="D244" i="5" l="1"/>
  <c r="H244" i="5" s="1"/>
  <c r="F245" i="5" s="1"/>
  <c r="G245" i="5" s="1"/>
  <c r="I181" i="6"/>
  <c r="D245" i="5" l="1"/>
  <c r="H245" i="5" s="1"/>
  <c r="G182" i="6"/>
  <c r="H182" i="6" s="1"/>
  <c r="E182" i="6"/>
  <c r="F246" i="5" l="1"/>
  <c r="G246" i="5" s="1"/>
  <c r="D246" i="5"/>
  <c r="I182" i="6"/>
  <c r="G183" i="6" s="1"/>
  <c r="H183" i="6" s="1"/>
  <c r="E183" i="6" l="1"/>
  <c r="I183" i="6" s="1"/>
  <c r="E184" i="6" s="1"/>
  <c r="H246" i="5"/>
  <c r="F247" i="5" s="1"/>
  <c r="G247" i="5" s="1"/>
  <c r="D247" i="5" l="1"/>
  <c r="H247" i="5" s="1"/>
  <c r="D248" i="5" s="1"/>
  <c r="G184" i="6"/>
  <c r="H184" i="6" s="1"/>
  <c r="I184" i="6" s="1"/>
  <c r="F248" i="5" l="1"/>
  <c r="G248" i="5" s="1"/>
  <c r="H248" i="5" s="1"/>
  <c r="G185" i="6"/>
  <c r="H185" i="6" s="1"/>
  <c r="E185" i="6"/>
  <c r="I185" i="6" l="1"/>
  <c r="E186" i="6" s="1"/>
  <c r="F249" i="5"/>
  <c r="G249" i="5" s="1"/>
  <c r="D249" i="5"/>
  <c r="G186" i="6" l="1"/>
  <c r="H186" i="6" s="1"/>
  <c r="I186" i="6" s="1"/>
  <c r="H249" i="5"/>
  <c r="F250" i="5" s="1"/>
  <c r="G250" i="5" s="1"/>
  <c r="D250" i="5" l="1"/>
  <c r="H250" i="5" s="1"/>
  <c r="G187" i="6"/>
  <c r="H187" i="6" s="1"/>
  <c r="E187" i="6"/>
  <c r="I187" i="6" l="1"/>
  <c r="D251" i="5"/>
  <c r="F251" i="5"/>
  <c r="G251" i="5" s="1"/>
  <c r="H251" i="5" l="1"/>
  <c r="G188" i="6"/>
  <c r="H188" i="6" s="1"/>
  <c r="E188" i="6"/>
  <c r="I188" i="6" l="1"/>
  <c r="E189" i="6" s="1"/>
  <c r="D252" i="5"/>
  <c r="F252" i="5"/>
  <c r="G252" i="5" s="1"/>
  <c r="G189" i="6" l="1"/>
  <c r="H189" i="6" s="1"/>
  <c r="I189" i="6" s="1"/>
  <c r="H252" i="5"/>
  <c r="G190" i="6" l="1"/>
  <c r="H190" i="6" s="1"/>
  <c r="E190" i="6"/>
  <c r="D253" i="5"/>
  <c r="F253" i="5"/>
  <c r="G253" i="5" s="1"/>
  <c r="I190" i="6" l="1"/>
  <c r="G191" i="6" s="1"/>
  <c r="H191" i="6" s="1"/>
  <c r="H253" i="5"/>
  <c r="E191" i="6" l="1"/>
  <c r="I191" i="6" s="1"/>
  <c r="D254" i="5"/>
  <c r="F254" i="5"/>
  <c r="G254" i="5" s="1"/>
  <c r="H254" i="5" l="1"/>
  <c r="G192" i="6"/>
  <c r="H192" i="6" s="1"/>
  <c r="E192" i="6"/>
  <c r="I192" i="6" l="1"/>
  <c r="G193" i="6" s="1"/>
  <c r="H193" i="6" s="1"/>
  <c r="D255" i="5"/>
  <c r="F255" i="5"/>
  <c r="G255" i="5" s="1"/>
  <c r="E193" i="6" l="1"/>
  <c r="I193" i="6" s="1"/>
  <c r="H255" i="5"/>
  <c r="G194" i="6" l="1"/>
  <c r="H194" i="6" s="1"/>
  <c r="E194" i="6"/>
  <c r="F256" i="5"/>
  <c r="G256" i="5" s="1"/>
  <c r="I256" i="5" s="1"/>
  <c r="D256" i="5"/>
  <c r="I194" i="6" l="1"/>
  <c r="E195" i="6" s="1"/>
  <c r="H256" i="5"/>
  <c r="F257" i="5" s="1"/>
  <c r="G257" i="5" s="1"/>
  <c r="D257" i="5" l="1"/>
  <c r="H257" i="5" s="1"/>
  <c r="D258" i="5" s="1"/>
  <c r="G195" i="6"/>
  <c r="H195" i="6" s="1"/>
  <c r="I195" i="6" s="1"/>
  <c r="G196" i="6" s="1"/>
  <c r="H196" i="6" s="1"/>
  <c r="E196" i="6" l="1"/>
  <c r="I196" i="6" s="1"/>
  <c r="F258" i="5"/>
  <c r="G258" i="5" s="1"/>
  <c r="H258" i="5" s="1"/>
  <c r="G197" i="6" l="1"/>
  <c r="H197" i="6" s="1"/>
  <c r="E197" i="6"/>
  <c r="F259" i="5"/>
  <c r="G259" i="5" s="1"/>
  <c r="D259" i="5"/>
  <c r="I197" i="6" l="1"/>
  <c r="G198" i="6" s="1"/>
  <c r="H198" i="6" s="1"/>
  <c r="H259" i="5"/>
  <c r="E198" i="6" l="1"/>
  <c r="I198" i="6" s="1"/>
  <c r="E199" i="6" s="1"/>
  <c r="D260" i="5"/>
  <c r="F260" i="5"/>
  <c r="G260" i="5" s="1"/>
  <c r="G199" i="6" l="1"/>
  <c r="H199" i="6" s="1"/>
  <c r="I199" i="6" s="1"/>
  <c r="G200" i="6" s="1"/>
  <c r="H200" i="6" s="1"/>
  <c r="H260" i="5"/>
  <c r="E200" i="6" l="1"/>
  <c r="I200" i="6" s="1"/>
  <c r="G201" i="6" s="1"/>
  <c r="H201" i="6" s="1"/>
  <c r="D261" i="5"/>
  <c r="F261" i="5"/>
  <c r="G261" i="5" s="1"/>
  <c r="E201" i="6" l="1"/>
  <c r="I201" i="6" s="1"/>
  <c r="E202" i="6" s="1"/>
  <c r="H261" i="5"/>
  <c r="G202" i="6" l="1"/>
  <c r="H202" i="6" s="1"/>
  <c r="I202" i="6" s="1"/>
  <c r="E203" i="6" s="1"/>
  <c r="D262" i="5"/>
  <c r="F262" i="5"/>
  <c r="G262" i="5" s="1"/>
  <c r="G203" i="6" l="1"/>
  <c r="H203" i="6" s="1"/>
  <c r="I203" i="6" s="1"/>
  <c r="G204" i="6" s="1"/>
  <c r="H204" i="6" s="1"/>
  <c r="H262" i="5"/>
  <c r="F263" i="5" s="1"/>
  <c r="G263" i="5" s="1"/>
  <c r="D263" i="5" l="1"/>
  <c r="H263" i="5" s="1"/>
  <c r="E204" i="6"/>
  <c r="I204" i="6" s="1"/>
  <c r="G205" i="6" l="1"/>
  <c r="H205" i="6" s="1"/>
  <c r="E205" i="6"/>
  <c r="F264" i="5"/>
  <c r="G264" i="5" s="1"/>
  <c r="D264" i="5"/>
  <c r="I205" i="6" l="1"/>
  <c r="E206" i="6" s="1"/>
  <c r="H264" i="5"/>
  <c r="D265" i="5" s="1"/>
  <c r="G206" i="6" l="1"/>
  <c r="H206" i="6" s="1"/>
  <c r="I206" i="6" s="1"/>
  <c r="G207" i="6" s="1"/>
  <c r="H207" i="6" s="1"/>
  <c r="F265" i="5"/>
  <c r="G265" i="5" s="1"/>
  <c r="H265" i="5" s="1"/>
  <c r="E207" i="6" l="1"/>
  <c r="I207" i="6" s="1"/>
  <c r="D266" i="5"/>
  <c r="F266" i="5"/>
  <c r="G266" i="5" s="1"/>
  <c r="G208" i="6" l="1"/>
  <c r="H208" i="6" s="1"/>
  <c r="E208" i="6"/>
  <c r="H266" i="5"/>
  <c r="I208" i="6" l="1"/>
  <c r="E209" i="6" s="1"/>
  <c r="F267" i="5"/>
  <c r="G267" i="5" s="1"/>
  <c r="D267" i="5"/>
  <c r="G209" i="6" l="1"/>
  <c r="H209" i="6" s="1"/>
  <c r="I209" i="6" s="1"/>
  <c r="E210" i="6" s="1"/>
  <c r="H267" i="5"/>
  <c r="F268" i="5" s="1"/>
  <c r="G268" i="5" s="1"/>
  <c r="I268" i="5" s="1"/>
  <c r="G210" i="6" l="1"/>
  <c r="H210" i="6" s="1"/>
  <c r="I210" i="6" s="1"/>
  <c r="E211" i="6" s="1"/>
  <c r="D268" i="5"/>
  <c r="H268" i="5" s="1"/>
  <c r="F269" i="5" l="1"/>
  <c r="G269" i="5" s="1"/>
  <c r="D269" i="5"/>
  <c r="G211" i="6"/>
  <c r="H211" i="6" s="1"/>
  <c r="I211" i="6" s="1"/>
  <c r="H269" i="5" l="1"/>
  <c r="D270" i="5" s="1"/>
  <c r="E212" i="6"/>
  <c r="G212" i="6"/>
  <c r="H212" i="6" s="1"/>
  <c r="F270" i="5" l="1"/>
  <c r="G270" i="5" s="1"/>
  <c r="H270" i="5" s="1"/>
  <c r="D271" i="5" s="1"/>
  <c r="I212" i="6"/>
  <c r="F271" i="5" l="1"/>
  <c r="G271" i="5" s="1"/>
  <c r="H271" i="5" s="1"/>
  <c r="G213" i="6"/>
  <c r="H213" i="6" s="1"/>
  <c r="E213" i="6"/>
  <c r="I213" i="6" l="1"/>
  <c r="G214" i="6" s="1"/>
  <c r="H214" i="6" s="1"/>
  <c r="F272" i="5"/>
  <c r="G272" i="5" s="1"/>
  <c r="D272" i="5"/>
  <c r="E214" i="6" l="1"/>
  <c r="I214" i="6" s="1"/>
  <c r="H272" i="5"/>
  <c r="F273" i="5" s="1"/>
  <c r="G273" i="5" s="1"/>
  <c r="E215" i="6" l="1"/>
  <c r="G215" i="6"/>
  <c r="H215" i="6" s="1"/>
  <c r="D273" i="5"/>
  <c r="H273" i="5" s="1"/>
  <c r="D274" i="5" s="1"/>
  <c r="I215" i="6" l="1"/>
  <c r="E216" i="6" s="1"/>
  <c r="F274" i="5"/>
  <c r="G274" i="5" s="1"/>
  <c r="H274" i="5" s="1"/>
  <c r="G216" i="6" l="1"/>
  <c r="H216" i="6" s="1"/>
  <c r="I216" i="6" s="1"/>
  <c r="G217" i="6" s="1"/>
  <c r="H217" i="6" s="1"/>
  <c r="D275" i="5"/>
  <c r="F275" i="5"/>
  <c r="G275" i="5" s="1"/>
  <c r="E217" i="6" l="1"/>
  <c r="I217" i="6" s="1"/>
  <c r="H275" i="5"/>
  <c r="F276" i="5" l="1"/>
  <c r="G276" i="5" s="1"/>
  <c r="D276" i="5"/>
  <c r="G218" i="6"/>
  <c r="H218" i="6" s="1"/>
  <c r="E218" i="6"/>
  <c r="H276" i="5" l="1"/>
  <c r="D277" i="5" s="1"/>
  <c r="I218" i="6"/>
  <c r="F277" i="5" l="1"/>
  <c r="G277" i="5" s="1"/>
  <c r="H277" i="5" s="1"/>
  <c r="G219" i="6"/>
  <c r="H219" i="6" s="1"/>
  <c r="E219" i="6"/>
  <c r="I219" i="6" l="1"/>
  <c r="E220" i="6" s="1"/>
  <c r="F278" i="5"/>
  <c r="G278" i="5" s="1"/>
  <c r="D278" i="5"/>
  <c r="G220" i="6" l="1"/>
  <c r="H220" i="6" s="1"/>
  <c r="I220" i="6" s="1"/>
  <c r="H278" i="5"/>
  <c r="F279" i="5" s="1"/>
  <c r="G279" i="5" s="1"/>
  <c r="D279" i="5" l="1"/>
  <c r="H279" i="5" s="1"/>
  <c r="G221" i="6"/>
  <c r="H221" i="6" s="1"/>
  <c r="E221" i="6"/>
  <c r="D280" i="5" l="1"/>
  <c r="F280" i="5"/>
  <c r="G280" i="5" s="1"/>
  <c r="I280" i="5" s="1"/>
  <c r="I221" i="6"/>
  <c r="G222" i="6" s="1"/>
  <c r="H222" i="6" s="1"/>
  <c r="H280" i="5" l="1"/>
  <c r="F281" i="5" s="1"/>
  <c r="G281" i="5" s="1"/>
  <c r="E222" i="6"/>
  <c r="I222" i="6" s="1"/>
  <c r="D281" i="5" l="1"/>
  <c r="H281" i="5" s="1"/>
  <c r="F282" i="5" s="1"/>
  <c r="G282" i="5" s="1"/>
  <c r="G223" i="6"/>
  <c r="H223" i="6" s="1"/>
  <c r="E223" i="6"/>
  <c r="D282" i="5" l="1"/>
  <c r="H282" i="5" s="1"/>
  <c r="F283" i="5" s="1"/>
  <c r="G283" i="5" s="1"/>
  <c r="I223" i="6"/>
  <c r="D283" i="5" l="1"/>
  <c r="H283" i="5" s="1"/>
  <c r="G224" i="6"/>
  <c r="H224" i="6" s="1"/>
  <c r="E224" i="6"/>
  <c r="I224" i="6" l="1"/>
  <c r="F284" i="5"/>
  <c r="G284" i="5" s="1"/>
  <c r="D284" i="5"/>
  <c r="H284" i="5" l="1"/>
  <c r="F285" i="5" s="1"/>
  <c r="G285" i="5" s="1"/>
  <c r="G225" i="6"/>
  <c r="H225" i="6" s="1"/>
  <c r="E225" i="6"/>
  <c r="D285" i="5"/>
  <c r="I225" i="6" l="1"/>
  <c r="H285" i="5"/>
  <c r="D286" i="5" s="1"/>
  <c r="F286" i="5" l="1"/>
  <c r="G286" i="5" s="1"/>
  <c r="H286" i="5" s="1"/>
  <c r="D287" i="5" s="1"/>
  <c r="E226" i="6"/>
  <c r="G226" i="6"/>
  <c r="H226" i="6" s="1"/>
  <c r="F287" i="5" l="1"/>
  <c r="G287" i="5" s="1"/>
  <c r="H287" i="5" s="1"/>
  <c r="I226" i="6"/>
  <c r="E227" i="6" l="1"/>
  <c r="G227" i="6"/>
  <c r="H227" i="6" s="1"/>
  <c r="D288" i="5"/>
  <c r="F288" i="5"/>
  <c r="G288" i="5" s="1"/>
  <c r="I227" i="6" l="1"/>
  <c r="H288" i="5"/>
  <c r="G228" i="6" l="1"/>
  <c r="H228" i="6" s="1"/>
  <c r="E228" i="6"/>
  <c r="F289" i="5"/>
  <c r="G289" i="5" s="1"/>
  <c r="D289" i="5"/>
  <c r="I228" i="6" l="1"/>
  <c r="G229" i="6" s="1"/>
  <c r="H229" i="6" s="1"/>
  <c r="H289" i="5"/>
  <c r="D290" i="5" s="1"/>
  <c r="E229" i="6" l="1"/>
  <c r="I229" i="6" s="1"/>
  <c r="F290" i="5"/>
  <c r="G290" i="5" s="1"/>
  <c r="H290" i="5" s="1"/>
  <c r="E230" i="6" l="1"/>
  <c r="G230" i="6"/>
  <c r="H230" i="6" s="1"/>
  <c r="D291" i="5"/>
  <c r="F291" i="5"/>
  <c r="G291" i="5" s="1"/>
  <c r="I230" i="6" l="1"/>
  <c r="H291" i="5"/>
  <c r="D292" i="5" s="1"/>
  <c r="F292" i="5" l="1"/>
  <c r="G292" i="5" s="1"/>
  <c r="I292" i="5" s="1"/>
  <c r="E231" i="6"/>
  <c r="G231" i="6"/>
  <c r="H231" i="6" s="1"/>
  <c r="H292" i="5" l="1"/>
  <c r="F293" i="5" s="1"/>
  <c r="G293" i="5" s="1"/>
  <c r="I231" i="6"/>
  <c r="D293" i="5" l="1"/>
  <c r="H293" i="5" s="1"/>
  <c r="F294" i="5" s="1"/>
  <c r="G294" i="5" s="1"/>
  <c r="G232" i="6"/>
  <c r="H232" i="6" s="1"/>
  <c r="E232" i="6"/>
  <c r="I232" i="6" l="1"/>
  <c r="G233" i="6" s="1"/>
  <c r="H233" i="6" s="1"/>
  <c r="D294" i="5"/>
  <c r="H294" i="5" s="1"/>
  <c r="D295" i="5" s="1"/>
  <c r="E233" i="6" l="1"/>
  <c r="I233" i="6" s="1"/>
  <c r="F295" i="5"/>
  <c r="G295" i="5" s="1"/>
  <c r="H295" i="5" s="1"/>
  <c r="E234" i="6" l="1"/>
  <c r="G234" i="6"/>
  <c r="H234" i="6" s="1"/>
  <c r="D296" i="5"/>
  <c r="F296" i="5"/>
  <c r="G296" i="5" s="1"/>
  <c r="I234" i="6" l="1"/>
  <c r="G235" i="6" s="1"/>
  <c r="H235" i="6" s="1"/>
  <c r="H296" i="5"/>
  <c r="E235" i="6" l="1"/>
  <c r="I235" i="6" s="1"/>
  <c r="D297" i="5"/>
  <c r="F297" i="5"/>
  <c r="G297" i="5" s="1"/>
  <c r="G236" i="6" l="1"/>
  <c r="H236" i="6" s="1"/>
  <c r="E236" i="6"/>
  <c r="H297" i="5"/>
  <c r="I236" i="6" l="1"/>
  <c r="G237" i="6" s="1"/>
  <c r="H237" i="6" s="1"/>
  <c r="F298" i="5"/>
  <c r="G298" i="5" s="1"/>
  <c r="D298" i="5"/>
  <c r="E237" i="6" l="1"/>
  <c r="I237" i="6" s="1"/>
  <c r="H298" i="5"/>
  <c r="D299" i="5" s="1"/>
  <c r="F299" i="5" l="1"/>
  <c r="G299" i="5" s="1"/>
  <c r="H299" i="5" s="1"/>
  <c r="G238" i="6"/>
  <c r="H238" i="6" s="1"/>
  <c r="E238" i="6"/>
  <c r="I238" i="6" l="1"/>
  <c r="D300" i="5"/>
  <c r="F300" i="5"/>
  <c r="G300" i="5" s="1"/>
  <c r="G239" i="6" l="1"/>
  <c r="H239" i="6" s="1"/>
  <c r="E239" i="6"/>
  <c r="H300" i="5"/>
  <c r="I239" i="6" l="1"/>
  <c r="G240" i="6" s="1"/>
  <c r="H240" i="6" s="1"/>
  <c r="F301" i="5"/>
  <c r="G301" i="5" s="1"/>
  <c r="D301" i="5"/>
  <c r="E240" i="6" l="1"/>
  <c r="I240" i="6" s="1"/>
  <c r="G241" i="6" s="1"/>
  <c r="H241" i="6" s="1"/>
  <c r="H301" i="5"/>
  <c r="F302" i="5" s="1"/>
  <c r="G302" i="5" s="1"/>
  <c r="E241" i="6" l="1"/>
  <c r="I241" i="6" s="1"/>
  <c r="G242" i="6" s="1"/>
  <c r="H242" i="6" s="1"/>
  <c r="D302" i="5"/>
  <c r="H302" i="5" s="1"/>
  <c r="E242" i="6" l="1"/>
  <c r="I242" i="6" s="1"/>
  <c r="F303" i="5"/>
  <c r="G303" i="5" s="1"/>
  <c r="D303" i="5"/>
  <c r="G243" i="6" l="1"/>
  <c r="H243" i="6" s="1"/>
  <c r="E243" i="6"/>
  <c r="H303" i="5"/>
  <c r="F304" i="5" s="1"/>
  <c r="G304" i="5" s="1"/>
  <c r="D304" i="5" l="1"/>
  <c r="H304" i="5" s="1"/>
  <c r="D305" i="5" s="1"/>
  <c r="I243" i="6"/>
  <c r="E244" i="6" s="1"/>
  <c r="I304" i="5"/>
  <c r="G244" i="6" l="1"/>
  <c r="H244" i="6" s="1"/>
  <c r="I244" i="6" s="1"/>
  <c r="F305" i="5"/>
  <c r="G305" i="5" s="1"/>
  <c r="H305" i="5" s="1"/>
  <c r="D306" i="5" l="1"/>
  <c r="F306" i="5"/>
  <c r="G306" i="5" s="1"/>
  <c r="G245" i="6"/>
  <c r="H245" i="6" s="1"/>
  <c r="E245" i="6"/>
  <c r="I245" i="6" l="1"/>
  <c r="G246" i="6" s="1"/>
  <c r="H246" i="6" s="1"/>
  <c r="H306" i="5"/>
  <c r="E246" i="6" l="1"/>
  <c r="I246" i="6" s="1"/>
  <c r="D307" i="5"/>
  <c r="F307" i="5"/>
  <c r="G307" i="5" s="1"/>
  <c r="E247" i="6" l="1"/>
  <c r="G247" i="6"/>
  <c r="H247" i="6" s="1"/>
  <c r="H307" i="5"/>
  <c r="F308" i="5" s="1"/>
  <c r="G308" i="5" s="1"/>
  <c r="I247" i="6" l="1"/>
  <c r="G248" i="6" s="1"/>
  <c r="H248" i="6" s="1"/>
  <c r="D308" i="5"/>
  <c r="H308" i="5" s="1"/>
  <c r="E248" i="6" l="1"/>
  <c r="I248" i="6" s="1"/>
  <c r="G249" i="6" s="1"/>
  <c r="H249" i="6" s="1"/>
  <c r="D309" i="5"/>
  <c r="F309" i="5"/>
  <c r="G309" i="5" s="1"/>
  <c r="H309" i="5" l="1"/>
  <c r="D310" i="5" s="1"/>
  <c r="E249" i="6"/>
  <c r="I249" i="6" s="1"/>
  <c r="F310" i="5" l="1"/>
  <c r="G310" i="5" s="1"/>
  <c r="H310" i="5" s="1"/>
  <c r="F311" i="5" s="1"/>
  <c r="G311" i="5" s="1"/>
  <c r="E250" i="6"/>
  <c r="G250" i="6"/>
  <c r="H250" i="6" s="1"/>
  <c r="D311" i="5" l="1"/>
  <c r="H311" i="5" s="1"/>
  <c r="I250" i="6"/>
  <c r="E251" i="6" s="1"/>
  <c r="F312" i="5" l="1"/>
  <c r="G312" i="5" s="1"/>
  <c r="D312" i="5"/>
  <c r="G251" i="6"/>
  <c r="H251" i="6" s="1"/>
  <c r="I251" i="6" s="1"/>
  <c r="H312" i="5" l="1"/>
  <c r="F313" i="5" s="1"/>
  <c r="G313" i="5" s="1"/>
  <c r="G252" i="6"/>
  <c r="H252" i="6" s="1"/>
  <c r="E252" i="6"/>
  <c r="D313" i="5" l="1"/>
  <c r="H313" i="5" s="1"/>
  <c r="D314" i="5" s="1"/>
  <c r="I252" i="6"/>
  <c r="E253" i="6" s="1"/>
  <c r="F314" i="5" l="1"/>
  <c r="G314" i="5" s="1"/>
  <c r="H314" i="5" s="1"/>
  <c r="D315" i="5" s="1"/>
  <c r="G253" i="6"/>
  <c r="H253" i="6" s="1"/>
  <c r="I253" i="6" s="1"/>
  <c r="F315" i="5" l="1"/>
  <c r="G315" i="5" s="1"/>
  <c r="H315" i="5" s="1"/>
  <c r="G254" i="6"/>
  <c r="H254" i="6" s="1"/>
  <c r="E254" i="6"/>
  <c r="F316" i="5" l="1"/>
  <c r="G316" i="5" s="1"/>
  <c r="I316" i="5" s="1"/>
  <c r="D316" i="5"/>
  <c r="I254" i="6"/>
  <c r="E255" i="6" s="1"/>
  <c r="H316" i="5" l="1"/>
  <c r="D317" i="5" s="1"/>
  <c r="G255" i="6"/>
  <c r="H255" i="6" s="1"/>
  <c r="I255" i="6" s="1"/>
  <c r="F317" i="5" l="1"/>
  <c r="G317" i="5" s="1"/>
  <c r="H317" i="5" s="1"/>
  <c r="D318" i="5" s="1"/>
  <c r="E256" i="6"/>
  <c r="G256" i="6"/>
  <c r="H256" i="6" s="1"/>
  <c r="F318" i="5" l="1"/>
  <c r="G318" i="5" s="1"/>
  <c r="H318" i="5" s="1"/>
  <c r="I256" i="6"/>
  <c r="G257" i="6" l="1"/>
  <c r="H257" i="6" s="1"/>
  <c r="E257" i="6"/>
  <c r="D319" i="5"/>
  <c r="F319" i="5"/>
  <c r="G319" i="5" s="1"/>
  <c r="I257" i="6" l="1"/>
  <c r="G258" i="6" s="1"/>
  <c r="H258" i="6" s="1"/>
  <c r="H319" i="5"/>
  <c r="E258" i="6" l="1"/>
  <c r="I258" i="6" s="1"/>
  <c r="E259" i="6" s="1"/>
  <c r="F320" i="5"/>
  <c r="G320" i="5" s="1"/>
  <c r="D320" i="5"/>
  <c r="G259" i="6" l="1"/>
  <c r="H259" i="6" s="1"/>
  <c r="I259" i="6" s="1"/>
  <c r="H320" i="5"/>
  <c r="D321" i="5" s="1"/>
  <c r="F321" i="5" l="1"/>
  <c r="G321" i="5" s="1"/>
  <c r="H321" i="5" s="1"/>
  <c r="G260" i="6"/>
  <c r="H260" i="6" s="1"/>
  <c r="E260" i="6"/>
  <c r="I260" i="6" l="1"/>
  <c r="E261" i="6" s="1"/>
  <c r="D322" i="5"/>
  <c r="F322" i="5"/>
  <c r="G322" i="5" s="1"/>
  <c r="G261" i="6" l="1"/>
  <c r="H261" i="6" s="1"/>
  <c r="I261" i="6" s="1"/>
  <c r="H322" i="5"/>
  <c r="G262" i="6" l="1"/>
  <c r="H262" i="6" s="1"/>
  <c r="E262" i="6"/>
  <c r="F323" i="5"/>
  <c r="G323" i="5" s="1"/>
  <c r="D323" i="5"/>
  <c r="I262" i="6" l="1"/>
  <c r="E263" i="6" s="1"/>
  <c r="H323" i="5"/>
  <c r="G263" i="6" l="1"/>
  <c r="H263" i="6" s="1"/>
  <c r="I263" i="6" s="1"/>
  <c r="F324" i="5"/>
  <c r="G324" i="5" s="1"/>
  <c r="D324" i="5"/>
  <c r="H324" i="5" l="1"/>
  <c r="D325" i="5" s="1"/>
  <c r="G264" i="6"/>
  <c r="H264" i="6" s="1"/>
  <c r="E264" i="6"/>
  <c r="F325" i="5" l="1"/>
  <c r="G325" i="5" s="1"/>
  <c r="H325" i="5" s="1"/>
  <c r="I264" i="6"/>
  <c r="D326" i="5" l="1"/>
  <c r="F326" i="5"/>
  <c r="G326" i="5" s="1"/>
  <c r="G265" i="6"/>
  <c r="H265" i="6" s="1"/>
  <c r="E265" i="6"/>
  <c r="I265" i="6" l="1"/>
  <c r="E266" i="6" s="1"/>
  <c r="H326" i="5"/>
  <c r="G266" i="6" l="1"/>
  <c r="H266" i="6" s="1"/>
  <c r="I266" i="6" s="1"/>
  <c r="D327" i="5"/>
  <c r="F327" i="5"/>
  <c r="G327" i="5" s="1"/>
  <c r="G267" i="6" l="1"/>
  <c r="H267" i="6" s="1"/>
  <c r="E267" i="6"/>
  <c r="H327" i="5"/>
  <c r="I267" i="6" l="1"/>
  <c r="G268" i="6" s="1"/>
  <c r="H268" i="6" s="1"/>
  <c r="F328" i="5"/>
  <c r="G328" i="5" s="1"/>
  <c r="I328" i="5" s="1"/>
  <c r="D328" i="5"/>
  <c r="E268" i="6" l="1"/>
  <c r="I268" i="6" s="1"/>
  <c r="G269" i="6" s="1"/>
  <c r="H269" i="6" s="1"/>
  <c r="H328" i="5"/>
  <c r="D329" i="5" l="1"/>
  <c r="F329" i="5"/>
  <c r="G329" i="5" s="1"/>
  <c r="E269" i="6"/>
  <c r="I269" i="6" s="1"/>
  <c r="H329" i="5" l="1"/>
  <c r="E270" i="6"/>
  <c r="G270" i="6"/>
  <c r="H270" i="6" s="1"/>
  <c r="I270" i="6" l="1"/>
  <c r="G271" i="6" s="1"/>
  <c r="H271" i="6" s="1"/>
  <c r="F330" i="5"/>
  <c r="G330" i="5" s="1"/>
  <c r="D330" i="5"/>
  <c r="E271" i="6" l="1"/>
  <c r="I271" i="6" s="1"/>
  <c r="G272" i="6" s="1"/>
  <c r="H272" i="6" s="1"/>
  <c r="H330" i="5"/>
  <c r="D331" i="5"/>
  <c r="F331" i="5"/>
  <c r="G331" i="5" s="1"/>
  <c r="H331" i="5" l="1"/>
  <c r="E272" i="6"/>
  <c r="I272" i="6" s="1"/>
  <c r="G273" i="6" s="1"/>
  <c r="H273" i="6" s="1"/>
  <c r="F332" i="5" l="1"/>
  <c r="G332" i="5" s="1"/>
  <c r="D332" i="5"/>
  <c r="E273" i="6"/>
  <c r="I273" i="6" s="1"/>
  <c r="E274" i="6" s="1"/>
  <c r="H332" i="5" l="1"/>
  <c r="F333" i="5" s="1"/>
  <c r="G333" i="5" s="1"/>
  <c r="D333" i="5"/>
  <c r="G274" i="6"/>
  <c r="H274" i="6" s="1"/>
  <c r="I274" i="6" s="1"/>
  <c r="H333" i="5" l="1"/>
  <c r="D334" i="5" s="1"/>
  <c r="G275" i="6"/>
  <c r="H275" i="6" s="1"/>
  <c r="E275" i="6"/>
  <c r="F334" i="5" l="1"/>
  <c r="G334" i="5" s="1"/>
  <c r="H334" i="5" s="1"/>
  <c r="I275" i="6"/>
  <c r="G276" i="6" s="1"/>
  <c r="H276" i="6" s="1"/>
  <c r="E276" i="6" l="1"/>
  <c r="I276" i="6" s="1"/>
  <c r="E277" i="6" s="1"/>
  <c r="F335" i="5"/>
  <c r="G335" i="5" s="1"/>
  <c r="D335" i="5"/>
  <c r="H335" i="5" l="1"/>
  <c r="D336" i="5"/>
  <c r="F336" i="5"/>
  <c r="G336" i="5" s="1"/>
  <c r="G277" i="6"/>
  <c r="H277" i="6" s="1"/>
  <c r="I277" i="6" s="1"/>
  <c r="H336" i="5" l="1"/>
  <c r="D337" i="5" s="1"/>
  <c r="G278" i="6"/>
  <c r="H278" i="6" s="1"/>
  <c r="E278" i="6"/>
  <c r="F337" i="5" l="1"/>
  <c r="G337" i="5" s="1"/>
  <c r="H337" i="5" s="1"/>
  <c r="I278" i="6"/>
  <c r="E279" i="6" s="1"/>
  <c r="F338" i="5" l="1"/>
  <c r="G338" i="5" s="1"/>
  <c r="D338" i="5"/>
  <c r="G279" i="6"/>
  <c r="H279" i="6" s="1"/>
  <c r="I279" i="6" s="1"/>
  <c r="H338" i="5" l="1"/>
  <c r="F339" i="5"/>
  <c r="G339" i="5" s="1"/>
  <c r="D339" i="5"/>
  <c r="G280" i="6"/>
  <c r="H280" i="6" s="1"/>
  <c r="E280" i="6"/>
  <c r="H339" i="5" l="1"/>
  <c r="D340" i="5"/>
  <c r="F340" i="5"/>
  <c r="G340" i="5" s="1"/>
  <c r="I340" i="5" s="1"/>
  <c r="I280" i="6"/>
  <c r="E281" i="6" s="1"/>
  <c r="H340" i="5" l="1"/>
  <c r="G281" i="6"/>
  <c r="H281" i="6" s="1"/>
  <c r="I281" i="6" s="1"/>
  <c r="E282" i="6" l="1"/>
  <c r="G282" i="6"/>
  <c r="H282" i="6" s="1"/>
  <c r="I282" i="6" l="1"/>
  <c r="G283" i="6" s="1"/>
  <c r="H283" i="6" s="1"/>
  <c r="E283" i="6" l="1"/>
  <c r="I283" i="6" s="1"/>
  <c r="G284" i="6" s="1"/>
  <c r="H284" i="6" s="1"/>
  <c r="E284" i="6" l="1"/>
  <c r="I284" i="6" s="1"/>
  <c r="G285" i="6" l="1"/>
  <c r="H285" i="6" s="1"/>
  <c r="E285" i="6"/>
  <c r="I285" i="6" l="1"/>
  <c r="G286" i="6" s="1"/>
  <c r="H286" i="6" s="1"/>
  <c r="E286" i="6" l="1"/>
  <c r="I286" i="6" s="1"/>
  <c r="E287" i="6" s="1"/>
  <c r="G287" i="6" l="1"/>
  <c r="H287" i="6" s="1"/>
  <c r="I287" i="6" s="1"/>
  <c r="G288" i="6" l="1"/>
  <c r="H288" i="6" s="1"/>
  <c r="E288" i="6"/>
  <c r="I288" i="6" l="1"/>
  <c r="G289" i="6" s="1"/>
  <c r="H289" i="6" s="1"/>
  <c r="E289" i="6" l="1"/>
  <c r="I289" i="6" s="1"/>
  <c r="E290" i="6" l="1"/>
  <c r="G290" i="6"/>
  <c r="H290" i="6" s="1"/>
  <c r="I290" i="6" l="1"/>
  <c r="G291" i="6" s="1"/>
  <c r="H291" i="6" s="1"/>
  <c r="E291" i="6" l="1"/>
  <c r="I291" i="6" s="1"/>
  <c r="G292" i="6" l="1"/>
  <c r="H292" i="6" s="1"/>
  <c r="E292" i="6"/>
  <c r="I292" i="6" l="1"/>
  <c r="E293" i="6" s="1"/>
  <c r="G293" i="6" l="1"/>
  <c r="H293" i="6" s="1"/>
  <c r="I293" i="6" s="1"/>
  <c r="G294" i="6" s="1"/>
  <c r="H294" i="6" s="1"/>
  <c r="E294" i="6" l="1"/>
  <c r="I294" i="6" s="1"/>
  <c r="E295" i="6" s="1"/>
  <c r="G295" i="6" l="1"/>
  <c r="H295" i="6" s="1"/>
  <c r="I295" i="6" s="1"/>
  <c r="G296" i="6" l="1"/>
  <c r="H296" i="6" s="1"/>
  <c r="E296" i="6"/>
  <c r="I296" i="6" l="1"/>
  <c r="G297" i="6" s="1"/>
  <c r="H297" i="6" s="1"/>
  <c r="E297" i="6" l="1"/>
  <c r="I297" i="6" s="1"/>
  <c r="G298" i="6" s="1"/>
  <c r="H298" i="6" s="1"/>
  <c r="E298" i="6" l="1"/>
  <c r="I298" i="6" s="1"/>
  <c r="G299" i="6" l="1"/>
  <c r="H299" i="6" s="1"/>
  <c r="E299" i="6"/>
  <c r="I299" i="6" l="1"/>
  <c r="G300" i="6" s="1"/>
  <c r="H300" i="6" s="1"/>
  <c r="E300" i="6" l="1"/>
  <c r="I300" i="6" s="1"/>
  <c r="E301" i="6" l="1"/>
  <c r="G301" i="6"/>
  <c r="H301" i="6" s="1"/>
  <c r="I301" i="6" l="1"/>
  <c r="G302" i="6" s="1"/>
  <c r="H302" i="6" s="1"/>
  <c r="E302" i="6" l="1"/>
  <c r="I302" i="6" s="1"/>
  <c r="E303" i="6" s="1"/>
  <c r="G303" i="6" l="1"/>
  <c r="H303" i="6" s="1"/>
  <c r="I303" i="6" s="1"/>
  <c r="G304" i="6" l="1"/>
  <c r="H304" i="6" s="1"/>
  <c r="E304" i="6"/>
  <c r="I304" i="6" l="1"/>
  <c r="G305" i="6" s="1"/>
  <c r="H305" i="6" s="1"/>
  <c r="E305" i="6" l="1"/>
  <c r="I305" i="6" s="1"/>
  <c r="E306" i="6" s="1"/>
  <c r="G306" i="6" l="1"/>
  <c r="H306" i="6" s="1"/>
  <c r="I306" i="6" s="1"/>
  <c r="G307" i="6" l="1"/>
  <c r="H307" i="6" s="1"/>
  <c r="E307" i="6"/>
  <c r="I307" i="6" l="1"/>
  <c r="G308" i="6" s="1"/>
  <c r="H308" i="6" s="1"/>
  <c r="E308" i="6" l="1"/>
  <c r="I308" i="6" s="1"/>
  <c r="E309" i="6" l="1"/>
  <c r="G309" i="6"/>
  <c r="H309" i="6" s="1"/>
  <c r="I309" i="6" l="1"/>
  <c r="G310" i="6" s="1"/>
  <c r="H310" i="6" s="1"/>
  <c r="E310" i="6" l="1"/>
  <c r="I310" i="6"/>
  <c r="E311" i="6" s="1"/>
  <c r="G311" i="6" l="1"/>
  <c r="H311" i="6" s="1"/>
  <c r="I311" i="6" s="1"/>
  <c r="G312" i="6" l="1"/>
  <c r="H312" i="6" s="1"/>
  <c r="E312" i="6"/>
  <c r="I312" i="6" l="1"/>
  <c r="G313" i="6" s="1"/>
  <c r="H313" i="6" s="1"/>
  <c r="E313" i="6" l="1"/>
  <c r="I313" i="6" s="1"/>
  <c r="E314" i="6" l="1"/>
  <c r="G314" i="6"/>
  <c r="H314" i="6" s="1"/>
  <c r="I314" i="6" l="1"/>
  <c r="G315" i="6" s="1"/>
  <c r="H315" i="6" s="1"/>
  <c r="E315" i="6" l="1"/>
  <c r="I315" i="6" s="1"/>
  <c r="E316" i="6" s="1"/>
  <c r="G316" i="6" l="1"/>
  <c r="H316" i="6" s="1"/>
  <c r="I316" i="6" s="1"/>
  <c r="E317" i="6" s="1"/>
  <c r="G317" i="6" l="1"/>
  <c r="H317" i="6" s="1"/>
  <c r="I317" i="6" s="1"/>
  <c r="G318" i="6" l="1"/>
  <c r="H318" i="6" s="1"/>
  <c r="E318" i="6"/>
  <c r="I318" i="6" l="1"/>
  <c r="E319" i="6" s="1"/>
  <c r="G319" i="6" l="1"/>
  <c r="H319" i="6" s="1"/>
  <c r="I319" i="6" s="1"/>
  <c r="G320" i="6" l="1"/>
  <c r="H320" i="6" s="1"/>
  <c r="E320" i="6"/>
  <c r="I320" i="6" l="1"/>
  <c r="G321" i="6" s="1"/>
  <c r="H321" i="6" s="1"/>
  <c r="E321" i="6" l="1"/>
  <c r="I321" i="6" s="1"/>
  <c r="G322" i="6" s="1"/>
  <c r="H322" i="6" s="1"/>
  <c r="E322" i="6" l="1"/>
  <c r="I322" i="6" s="1"/>
  <c r="G323" i="6" l="1"/>
  <c r="H323" i="6" s="1"/>
  <c r="E323" i="6"/>
  <c r="I323" i="6" l="1"/>
  <c r="G324" i="6" s="1"/>
  <c r="H324" i="6" s="1"/>
  <c r="E324" i="6" l="1"/>
  <c r="I324" i="6" s="1"/>
  <c r="E325" i="6" l="1"/>
  <c r="G325" i="6"/>
  <c r="H325" i="6" s="1"/>
  <c r="I325" i="6" l="1"/>
  <c r="G326" i="6" s="1"/>
  <c r="H326" i="6" s="1"/>
  <c r="E326" i="6" l="1"/>
  <c r="I326" i="6" s="1"/>
  <c r="E327" i="6" s="1"/>
  <c r="G327" i="6" l="1"/>
  <c r="H327" i="6" s="1"/>
  <c r="I327" i="6" s="1"/>
  <c r="G328" i="6" l="1"/>
  <c r="H328" i="6" s="1"/>
  <c r="E328" i="6"/>
  <c r="I328" i="6" l="1"/>
  <c r="G329" i="6" s="1"/>
  <c r="H329" i="6" s="1"/>
  <c r="E329" i="6" l="1"/>
  <c r="I329" i="6" s="1"/>
  <c r="E330" i="6" s="1"/>
  <c r="G330" i="6" l="1"/>
  <c r="H330" i="6" s="1"/>
  <c r="I330" i="6" s="1"/>
  <c r="G331" i="6" l="1"/>
  <c r="H331" i="6" s="1"/>
  <c r="E331" i="6"/>
  <c r="I331" i="6" l="1"/>
  <c r="G332" i="6" s="1"/>
  <c r="H332" i="6" s="1"/>
  <c r="E332" i="6" l="1"/>
  <c r="I332" i="6" s="1"/>
  <c r="E333" i="6" s="1"/>
  <c r="G333" i="6" l="1"/>
  <c r="H333" i="6" s="1"/>
  <c r="I333" i="6" s="1"/>
  <c r="G334" i="6" l="1"/>
  <c r="H334" i="6" s="1"/>
  <c r="E334" i="6"/>
  <c r="I334" i="6" l="1"/>
  <c r="E335" i="6" s="1"/>
  <c r="G335" i="6" l="1"/>
  <c r="H335" i="6" s="1"/>
  <c r="I335" i="6" s="1"/>
  <c r="G336" i="6" l="1"/>
  <c r="H336" i="6" s="1"/>
  <c r="E336" i="6"/>
  <c r="I336" i="6" l="1"/>
  <c r="G337" i="6" s="1"/>
  <c r="H337" i="6" s="1"/>
  <c r="E337" i="6" l="1"/>
  <c r="I337" i="6" s="1"/>
  <c r="E338" i="6" s="1"/>
  <c r="G338" i="6" l="1"/>
  <c r="H338" i="6" s="1"/>
  <c r="I338" i="6" s="1"/>
  <c r="G339" i="6" l="1"/>
  <c r="H339" i="6" s="1"/>
  <c r="E339" i="6"/>
  <c r="I339" i="6" l="1"/>
  <c r="G340" i="6" s="1"/>
  <c r="H340" i="6" s="1"/>
  <c r="E340" i="6" l="1"/>
  <c r="I340" i="6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<sst xmlns="http://schemas.openxmlformats.org/spreadsheetml/2006/main" count="458" uniqueCount="274">
  <si>
    <t>Columbia, SC</t>
  </si>
  <si>
    <t>Hard Costs</t>
  </si>
  <si>
    <t>Financing</t>
  </si>
  <si>
    <t>One Year Proforma</t>
  </si>
  <si>
    <t>Acquisition Cost</t>
  </si>
  <si>
    <t>Total Cost</t>
  </si>
  <si>
    <t>Rental Income</t>
  </si>
  <si>
    <t>LTC</t>
  </si>
  <si>
    <t>Principal</t>
  </si>
  <si>
    <t>Equity</t>
  </si>
  <si>
    <t>Term</t>
  </si>
  <si>
    <t>Rate</t>
  </si>
  <si>
    <t>PMT</t>
  </si>
  <si>
    <t>ADS</t>
  </si>
  <si>
    <t>NOI</t>
  </si>
  <si>
    <t>BTCF</t>
  </si>
  <si>
    <t>Total Hard Costs</t>
  </si>
  <si>
    <t>DSCR</t>
  </si>
  <si>
    <t>Soft Costs</t>
  </si>
  <si>
    <t>Rent Roll</t>
  </si>
  <si>
    <t>SQ FT</t>
  </si>
  <si>
    <t>TI PSF</t>
  </si>
  <si>
    <t>TI TOTAL</t>
  </si>
  <si>
    <t>ANNUAL RENT</t>
  </si>
  <si>
    <t>MONTHLY RENT</t>
  </si>
  <si>
    <t>Contingency</t>
  </si>
  <si>
    <t>Interest Carry</t>
  </si>
  <si>
    <t>Closing Costs</t>
  </si>
  <si>
    <t>Permitting</t>
  </si>
  <si>
    <t>DD Costs</t>
  </si>
  <si>
    <t>Legal Fees</t>
  </si>
  <si>
    <t>Total Soft Costs</t>
  </si>
  <si>
    <t>Total Hard + Soft</t>
  </si>
  <si>
    <t>Cap Rate</t>
  </si>
  <si>
    <t>Total Project Costs</t>
  </si>
  <si>
    <t>Project Return</t>
  </si>
  <si>
    <t>Profit</t>
  </si>
  <si>
    <t>Total Building SF</t>
  </si>
  <si>
    <t>Annual Rent</t>
  </si>
  <si>
    <t>Extended Rent Schedule</t>
  </si>
  <si>
    <t>Total</t>
  </si>
  <si>
    <t>Proforma Cash Flow</t>
  </si>
  <si>
    <t>Model Assumptions</t>
  </si>
  <si>
    <t>REVENUE</t>
  </si>
  <si>
    <t>Exit Cap Rate</t>
  </si>
  <si>
    <t>Net Rental Income</t>
  </si>
  <si>
    <t>Commission/Closing Costs</t>
  </si>
  <si>
    <t>Misc. Income (Fees)</t>
  </si>
  <si>
    <t>Total Cash Equity</t>
  </si>
  <si>
    <t>Total Revenue</t>
  </si>
  <si>
    <t>OPERATING EXPENSES</t>
  </si>
  <si>
    <t>Preferred Return to Investor Equity</t>
  </si>
  <si>
    <t>Net Operating Income</t>
  </si>
  <si>
    <t>Debt Service</t>
  </si>
  <si>
    <t>Estimated Net Operating Cash Flow</t>
  </si>
  <si>
    <t>Distributable Cash</t>
  </si>
  <si>
    <t>Property Cash Flow</t>
  </si>
  <si>
    <t>Total Distributable Cash</t>
  </si>
  <si>
    <t>Cash Flow After Preferred Return</t>
  </si>
  <si>
    <t>Cash Flow to Class B Investor</t>
  </si>
  <si>
    <t>Cash Flow to Class A Investor</t>
  </si>
  <si>
    <t>Equity Multiple</t>
  </si>
  <si>
    <t xml:space="preserve">    IRR</t>
  </si>
  <si>
    <t>Property Sale Valuation</t>
  </si>
  <si>
    <t>Forecasted Asset Value</t>
  </si>
  <si>
    <t xml:space="preserve">   Less Closing Costs and Commissions (4%)</t>
  </si>
  <si>
    <t xml:space="preserve">   Less: Loan Balance</t>
  </si>
  <si>
    <t>Net Proceeds</t>
  </si>
  <si>
    <t>Less: Equity Repayment</t>
  </si>
  <si>
    <t>Net Sales Proceeds</t>
  </si>
  <si>
    <t>IRR</t>
  </si>
  <si>
    <t>Initial Investment</t>
  </si>
  <si>
    <t>Equity Return</t>
  </si>
  <si>
    <t>Cash Flow From Operation</t>
  </si>
  <si>
    <t>Cash at Sale</t>
  </si>
  <si>
    <t>IRR for Equity Investment</t>
  </si>
  <si>
    <t>Loan Terms</t>
  </si>
  <si>
    <t>Loan Amount</t>
  </si>
  <si>
    <t>Total Project Cost</t>
  </si>
  <si>
    <t>Amortization</t>
  </si>
  <si>
    <t>Capital Required</t>
  </si>
  <si>
    <t>Interest Only Period</t>
  </si>
  <si>
    <t>Loan Principal</t>
  </si>
  <si>
    <t># of Months</t>
  </si>
  <si>
    <t>IO + Loan Period</t>
  </si>
  <si>
    <t>Stabilized Monthly Debt Service</t>
  </si>
  <si>
    <t>Stabilized Annual Debt Service</t>
  </si>
  <si>
    <t>Monthly Breakdown</t>
  </si>
  <si>
    <t>Year</t>
  </si>
  <si>
    <t>Month</t>
  </si>
  <si>
    <t>Beginning Balance</t>
  </si>
  <si>
    <t>Payment</t>
  </si>
  <si>
    <t xml:space="preserve">Interest </t>
  </si>
  <si>
    <t>Ending Balance</t>
  </si>
  <si>
    <t>Developer Entry Cap Rate</t>
  </si>
  <si>
    <t>Basis Point Spread</t>
  </si>
  <si>
    <t>Insert Cost Category</t>
  </si>
  <si>
    <t>Yr 1</t>
  </si>
  <si>
    <t>Yr 2</t>
  </si>
  <si>
    <t>Sale IRR Calculation - Year 2</t>
  </si>
  <si>
    <t>Sale IRR Calculation - Year 3</t>
  </si>
  <si>
    <t>Yr 3</t>
  </si>
  <si>
    <t>Acquisition</t>
  </si>
  <si>
    <t>Year 2</t>
  </si>
  <si>
    <t>Year 3</t>
  </si>
  <si>
    <t>Year 4</t>
  </si>
  <si>
    <t>Year 5</t>
  </si>
  <si>
    <t>Year 6</t>
  </si>
  <si>
    <t>Sale IRR Calculation - Year 4</t>
  </si>
  <si>
    <t>Yr 4</t>
  </si>
  <si>
    <t>Proforma Assumptions</t>
  </si>
  <si>
    <t>Land Sale Broker Fee</t>
  </si>
  <si>
    <t>Sale Cap Rate Goal</t>
  </si>
  <si>
    <t>Loan Amortization (Years)</t>
  </si>
  <si>
    <t>Lender Fees</t>
  </si>
  <si>
    <t>Lender Fee Percentage</t>
  </si>
  <si>
    <t>Financing Summary</t>
  </si>
  <si>
    <t>Acquisition Date</t>
  </si>
  <si>
    <t>Project Mgmt Fee (Developer Fee)</t>
  </si>
  <si>
    <t>Tenant</t>
  </si>
  <si>
    <t>*Refresh after updating any assumptions*</t>
  </si>
  <si>
    <t>BASE RENT PSF</t>
  </si>
  <si>
    <t>Environmental</t>
  </si>
  <si>
    <t>Description</t>
  </si>
  <si>
    <t>Costruction Cost</t>
  </si>
  <si>
    <t>Per Foot</t>
  </si>
  <si>
    <t xml:space="preserve">Site Work </t>
  </si>
  <si>
    <t>-</t>
  </si>
  <si>
    <t>Construction</t>
  </si>
  <si>
    <t>TI</t>
  </si>
  <si>
    <t xml:space="preserve">   Less: Equity Repayment</t>
  </si>
  <si>
    <t>Consturction Total</t>
  </si>
  <si>
    <t>Inspections</t>
  </si>
  <si>
    <t>Surveys</t>
  </si>
  <si>
    <t>Phase I</t>
  </si>
  <si>
    <t>Phase II</t>
  </si>
  <si>
    <t>GeoTech</t>
  </si>
  <si>
    <t>Structural</t>
  </si>
  <si>
    <t>Site</t>
  </si>
  <si>
    <t>Square Footage</t>
  </si>
  <si>
    <t>DD Cost Total</t>
  </si>
  <si>
    <t>Financing Rate</t>
  </si>
  <si>
    <t>Hard</t>
  </si>
  <si>
    <t>Soft</t>
  </si>
  <si>
    <t>Costs</t>
  </si>
  <si>
    <t>A&amp;E</t>
  </si>
  <si>
    <t>Site Work</t>
  </si>
  <si>
    <t>S/W Cost Total</t>
  </si>
  <si>
    <t>End of lease</t>
  </si>
  <si>
    <t>New tenant</t>
  </si>
  <si>
    <t>Renewal option executed</t>
  </si>
  <si>
    <t>Rent Change</t>
  </si>
  <si>
    <t>Unit</t>
  </si>
  <si>
    <t>BLDG %</t>
  </si>
  <si>
    <t>Avg. Rent PSF</t>
  </si>
  <si>
    <t>Annual Rent $</t>
  </si>
  <si>
    <t>Totals</t>
  </si>
  <si>
    <t>Base Rent Roll</t>
  </si>
  <si>
    <t>UPPER LEVEL</t>
  </si>
  <si>
    <t>Year 0</t>
  </si>
  <si>
    <t>Vacancy</t>
  </si>
  <si>
    <t>Expense Increases</t>
  </si>
  <si>
    <t xml:space="preserve">   Less: Vacancy Loss</t>
  </si>
  <si>
    <t>Reserves</t>
  </si>
  <si>
    <t>$0.20/sf</t>
  </si>
  <si>
    <t>Reimbursements</t>
  </si>
  <si>
    <t>Reserves ($0.20/ sf)</t>
  </si>
  <si>
    <t>Property Taxes</t>
  </si>
  <si>
    <t>Insurance</t>
  </si>
  <si>
    <t>Cam</t>
  </si>
  <si>
    <t xml:space="preserve">Management Fees </t>
  </si>
  <si>
    <t xml:space="preserve">Class B Investor Return </t>
  </si>
  <si>
    <t>Class A Investor Return</t>
  </si>
  <si>
    <t>Investor Snapshot</t>
  </si>
  <si>
    <t>70%/30% profit share</t>
  </si>
  <si>
    <t>YoY Change</t>
  </si>
  <si>
    <t>%/Yr Inc</t>
  </si>
  <si>
    <t>Tax</t>
  </si>
  <si>
    <t>Ins</t>
  </si>
  <si>
    <t>CAM</t>
  </si>
  <si>
    <t>y</t>
  </si>
  <si>
    <t>n</t>
  </si>
  <si>
    <t>Reimburse? Y/N</t>
  </si>
  <si>
    <t xml:space="preserve">Taxes </t>
  </si>
  <si>
    <t>Sitework</t>
  </si>
  <si>
    <t>Addt'l Import</t>
  </si>
  <si>
    <t>U/G Detention</t>
  </si>
  <si>
    <t>Landscaping</t>
  </si>
  <si>
    <t>Site Lighting</t>
  </si>
  <si>
    <t>Signage</t>
  </si>
  <si>
    <t>Interior Demo</t>
  </si>
  <si>
    <t>Asbestos Abatement</t>
  </si>
  <si>
    <t>Expenses</t>
  </si>
  <si>
    <t>Property Management Fee</t>
  </si>
  <si>
    <t>Annual Expense Increase</t>
  </si>
  <si>
    <t>Vacancy Rate</t>
  </si>
  <si>
    <t>Yr 5</t>
  </si>
  <si>
    <t>Yr 6</t>
  </si>
  <si>
    <t>Sale IRR Calculation - Year 5</t>
  </si>
  <si>
    <t>Sale IRR Calculation - Year 6</t>
  </si>
  <si>
    <t>Levered Cap Rate Valuation (Year 4 Sale)</t>
  </si>
  <si>
    <t>Proceeds to Class B Investor</t>
  </si>
  <si>
    <t>Proceeds to Class A Investor</t>
  </si>
  <si>
    <t>Revenue</t>
  </si>
  <si>
    <t>Developer Entry Return</t>
  </si>
  <si>
    <t>DD Costs (Soft Cost)</t>
  </si>
  <si>
    <t>Total Qualified Expenses</t>
  </si>
  <si>
    <t>Construction Costs</t>
  </si>
  <si>
    <t>Site Survey and Structural Reports</t>
  </si>
  <si>
    <t>Permit and Inspection Fees</t>
  </si>
  <si>
    <t>Construction Period Interest and Taxes</t>
  </si>
  <si>
    <t>Developer Fees (15%)</t>
  </si>
  <si>
    <t>Tax Credit Qualified Costs</t>
  </si>
  <si>
    <t>Abandoned Building Credit</t>
  </si>
  <si>
    <t>Federal Credit</t>
  </si>
  <si>
    <t xml:space="preserve">State Credit </t>
  </si>
  <si>
    <t>Gross Value</t>
  </si>
  <si>
    <t>Abandoned Building Credit Syndication Value</t>
  </si>
  <si>
    <t>Federal Credit Syndication Value</t>
  </si>
  <si>
    <t>State Credit Syndication Value</t>
  </si>
  <si>
    <t>Sale Value</t>
  </si>
  <si>
    <t>Tax Credits</t>
  </si>
  <si>
    <t>Abandoned</t>
  </si>
  <si>
    <t>Federal Historic</t>
  </si>
  <si>
    <t>State Historic</t>
  </si>
  <si>
    <t>Tax Credit Syndication Value Available</t>
  </si>
  <si>
    <t>Project Return-</t>
  </si>
  <si>
    <t>ROE-</t>
  </si>
  <si>
    <t>Leasing Commissions</t>
  </si>
  <si>
    <t>Leasing Costs</t>
  </si>
  <si>
    <t>Cost</t>
  </si>
  <si>
    <t>Year 1 (2026)</t>
  </si>
  <si>
    <t>Yr 7</t>
  </si>
  <si>
    <t>IO Monthly Pmt</t>
  </si>
  <si>
    <t>Dealpath Metrics</t>
  </si>
  <si>
    <t>ROE Y1</t>
  </si>
  <si>
    <t>IRR Yr1</t>
  </si>
  <si>
    <t>IRR Yr2</t>
  </si>
  <si>
    <t>IRR Yr3</t>
  </si>
  <si>
    <t>IRR Yr4</t>
  </si>
  <si>
    <t>IRR Yr5</t>
  </si>
  <si>
    <t>Avg Rent PSF</t>
  </si>
  <si>
    <t>Developer Entry Cap</t>
  </si>
  <si>
    <t>*Always enable macros</t>
  </si>
  <si>
    <t>New Building Construction</t>
  </si>
  <si>
    <t>Interior Renovations</t>
  </si>
  <si>
    <t>Building Demolition</t>
  </si>
  <si>
    <t>Roof Replacement</t>
  </si>
  <si>
    <t>Structural Repairs</t>
  </si>
  <si>
    <t>Fencing</t>
  </si>
  <si>
    <t>FF&amp;E</t>
  </si>
  <si>
    <t>Low Voltage</t>
  </si>
  <si>
    <t>Materials Testing &amp; SWPPP Inspections</t>
  </si>
  <si>
    <t xml:space="preserve">Sale </t>
  </si>
  <si>
    <t>Build To Suit</t>
  </si>
  <si>
    <t>B</t>
  </si>
  <si>
    <t>Leasing Commission</t>
  </si>
  <si>
    <t>Swig</t>
  </si>
  <si>
    <t>Sleep Number</t>
  </si>
  <si>
    <t>Verizon</t>
  </si>
  <si>
    <t>A Endcap</t>
  </si>
  <si>
    <t>C Endcap</t>
  </si>
  <si>
    <t>Knox Abbot 3 Tenant Bldg</t>
  </si>
  <si>
    <t>Get smarter about the terms of constructions costs</t>
  </si>
  <si>
    <t>Interest Carry discussion</t>
  </si>
  <si>
    <t>Contingency discussion</t>
  </si>
  <si>
    <t>Lease commission/Adding # of years</t>
  </si>
  <si>
    <t>Adding the increases and and lease term to summary RR ILO monthly rent</t>
  </si>
  <si>
    <t>Construction Timeline (Months)</t>
  </si>
  <si>
    <t>Lease</t>
  </si>
  <si>
    <t>Term (Yrs)</t>
  </si>
  <si>
    <t>Total Lease Value @ Year 1</t>
  </si>
  <si>
    <t>Annual Inc.</t>
  </si>
  <si>
    <t>Total Interest Carry Period (Months)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</si>
</sst>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0">
    <numFmt numFmtId="5" formatCode="&quot;$&quot;#,##0_);\(&quot;$&quot;#,##0\)"/>
    <numFmt numFmtId="6" formatCode="&quot;$&quot;#,##0_);[Red]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_(&quot;$&quot;* #,##0_);_(&quot;$&quot;* \(#,##0\);_(&quot;$&quot;* &quot;-&quot;??_);_(@_)"/>
    <numFmt numFmtId="166" formatCode="&quot;Year&quot;\ 0\ "/>
    <numFmt numFmtId="167" formatCode="0.0%"/>
    <numFmt numFmtId="168" formatCode="0.00&quot;X&quot;"/>
    <numFmt numFmtId="169" formatCode="0\ &quot;Years&quot;"/>
    <numFmt numFmtId="170" formatCode="0\ &quot;Months&quot;"/>
    <numFmt numFmtId="171" formatCode="&quot;$&quot;#,##0.00"/>
    <numFmt numFmtId="172" formatCode="&quot;$&quot;#,##0"/>
    <numFmt numFmtId="173" formatCode="&quot;Less: Mgmt Fee &quot;\3\%"/>
    <numFmt numFmtId="174" formatCode="&quot;Project Mgmt Fee &quot;\ 0%"/>
    <numFmt numFmtId="175" formatCode="&quot;Land Sale Broker Fee &quot;\ 0%"/>
    <numFmt numFmtId="176" formatCode="0\ &quot;SQFT&quot;"/>
    <numFmt numFmtId="177" formatCode="&quot;   Less: Closing Costs (&quot;0%&quot;)&quot;"/>
    <numFmt numFmtId="178" formatCode="0.000%"/>
  </numFmts>
  <fonts count="34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6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rgb="FF0070C0"/>
      <name val="Aptos Narrow"/>
      <family val="2"/>
      <scheme val="minor"/>
    </font>
    <font>
      <sz val="8"/>
      <name val="Arial"/>
      <family val="2"/>
    </font>
    <font>
      <b/>
      <sz val="12"/>
      <color indexed="9"/>
      <name val="Arial"/>
      <family val="2"/>
    </font>
    <font>
      <sz val="11"/>
      <color rgb="FF254744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b/>
      <sz val="18"/>
      <color theme="0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sz val="11"/>
      <color theme="4" tint="-0.249977111117893"/>
      <name val="Aptos Narrow"/>
      <family val="2"/>
      <scheme val="minor"/>
    </font>
    <font>
      <b/>
      <sz val="11"/>
      <color rgb="FF0070C0"/>
      <name val="Aptos Narrow"/>
      <family val="2"/>
      <scheme val="minor"/>
    </font>
    <font>
      <sz val="8"/>
      <name val="Aptos Narrow"/>
      <family val="2"/>
      <scheme val="minor"/>
    </font>
    <font>
      <i/>
      <sz val="12"/>
      <color theme="1"/>
      <name val="Aptos Narrow"/>
      <family val="2"/>
      <scheme val="minor"/>
    </font>
    <font>
      <sz val="10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1"/>
      <color rgb="FF0070C0"/>
      <name val="Arial"/>
      <family val="2"/>
    </font>
    <font>
      <b/>
      <i/>
      <sz val="11"/>
      <color theme="1"/>
      <name val="Aptos Narrow"/>
      <family val="2"/>
      <scheme val="minor"/>
    </font>
    <font>
      <b/>
      <i/>
      <sz val="24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sz val="9"/>
      <name val="Aptos Narrow"/>
      <family val="2"/>
      <scheme val="minor"/>
    </font>
    <font>
      <sz val="11"/>
      <color rgb="FF242424"/>
      <name val="Inherit"/>
    </font>
    <font>
      <sz val="11"/>
      <color rgb="FF000000"/>
      <name val="Aptos Narrow"/>
    </font>
  </fonts>
  <fills count="21">
    <fill>
      <patternFill patternType="none"/>
    </fill>
    <fill>
      <patternFill patternType="gray125"/>
    </fill>
    <fill>
      <patternFill patternType="solid">
        <fgColor rgb="FF254744"/>
        <bgColor indexed="64"/>
      </patternFill>
    </fill>
    <fill>
      <patternFill patternType="solid">
        <fgColor rgb="FFCCD6D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BB0AD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B4C4C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BBDBA"/>
        <bgColor indexed="64"/>
      </patternFill>
    </fill>
  </fills>
  <borders count="6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7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3" fillId="0" borderId="0"/>
    <xf numFmtId="43" fontId="23" fillId="0" borderId="0" applyFont="0" applyFill="0" applyBorder="0" applyAlignment="0" applyProtection="0"/>
    <xf numFmtId="44" fontId="23" fillId="0" borderId="0" applyFont="0" applyFill="0" applyBorder="0" applyAlignment="0" applyProtection="0"/>
  </cellStyleXfs>
  <cellXfs count="471">
    <xf numFmtId="0" fontId="0" fillId="0" borderId="0" xfId="0"/>
    <xf numFmtId="0" fontId="8" fillId="0" borderId="0" xfId="0" applyFont="1" applyAlignment="1">
      <alignment horizontal="left"/>
    </xf>
    <xf numFmtId="44" fontId="0" fillId="0" borderId="0" xfId="0" applyNumberFormat="1"/>
    <xf numFmtId="164" fontId="7" fillId="0" borderId="0" xfId="1" applyNumberFormat="1" applyFont="1"/>
    <xf numFmtId="0" fontId="7" fillId="0" borderId="0" xfId="0" applyFont="1"/>
    <xf numFmtId="0" fontId="2" fillId="2" borderId="1" xfId="0" applyFont="1" applyFill="1" applyBorder="1" applyAlignment="1">
      <alignment horizontal="center"/>
    </xf>
    <xf numFmtId="0" fontId="9" fillId="0" borderId="0" xfId="0" applyFont="1" applyAlignment="1">
      <alignment horizontal="center"/>
    </xf>
    <xf numFmtId="0" fontId="0" fillId="0" borderId="7" xfId="0" applyBorder="1"/>
    <xf numFmtId="165" fontId="0" fillId="0" borderId="8" xfId="0" applyNumberFormat="1" applyBorder="1"/>
    <xf numFmtId="0" fontId="0" fillId="0" borderId="9" xfId="0" applyBorder="1"/>
    <xf numFmtId="0" fontId="0" fillId="0" borderId="8" xfId="0" applyBorder="1"/>
    <xf numFmtId="0" fontId="0" fillId="0" borderId="7" xfId="0" applyBorder="1" applyAlignment="1">
      <alignment horizontal="left" indent="1"/>
    </xf>
    <xf numFmtId="44" fontId="0" fillId="0" borderId="0" xfId="2" applyFont="1"/>
    <xf numFmtId="9" fontId="0" fillId="0" borderId="0" xfId="0" applyNumberFormat="1"/>
    <xf numFmtId="165" fontId="0" fillId="0" borderId="0" xfId="0" applyNumberFormat="1"/>
    <xf numFmtId="165" fontId="0" fillId="0" borderId="8" xfId="2" applyNumberFormat="1" applyFont="1" applyBorder="1"/>
    <xf numFmtId="0" fontId="0" fillId="0" borderId="11" xfId="0" applyBorder="1"/>
    <xf numFmtId="165" fontId="4" fillId="0" borderId="8" xfId="0" applyNumberFormat="1" applyFont="1" applyBorder="1"/>
    <xf numFmtId="44" fontId="0" fillId="0" borderId="8" xfId="0" applyNumberFormat="1" applyBorder="1"/>
    <xf numFmtId="165" fontId="0" fillId="0" borderId="15" xfId="0" applyNumberFormat="1" applyBorder="1"/>
    <xf numFmtId="10" fontId="0" fillId="0" borderId="0" xfId="0" applyNumberFormat="1"/>
    <xf numFmtId="8" fontId="0" fillId="0" borderId="0" xfId="0" applyNumberFormat="1"/>
    <xf numFmtId="6" fontId="0" fillId="0" borderId="8" xfId="0" applyNumberFormat="1" applyBorder="1"/>
    <xf numFmtId="6" fontId="0" fillId="0" borderId="12" xfId="0" applyNumberFormat="1" applyBorder="1"/>
    <xf numFmtId="0" fontId="0" fillId="0" borderId="14" xfId="0" applyBorder="1"/>
    <xf numFmtId="10" fontId="0" fillId="0" borderId="0" xfId="3" applyNumberFormat="1" applyFont="1" applyBorder="1"/>
    <xf numFmtId="0" fontId="0" fillId="0" borderId="4" xfId="0" applyBorder="1"/>
    <xf numFmtId="0" fontId="0" fillId="0" borderId="7" xfId="0" applyBorder="1" applyAlignment="1">
      <alignment horizontal="left"/>
    </xf>
    <xf numFmtId="0" fontId="4" fillId="0" borderId="0" xfId="0" applyFont="1" applyAlignment="1">
      <alignment horizontal="center" vertical="center"/>
    </xf>
    <xf numFmtId="0" fontId="4" fillId="0" borderId="11" xfId="0" applyFont="1" applyBorder="1"/>
    <xf numFmtId="165" fontId="4" fillId="0" borderId="12" xfId="0" applyNumberFormat="1" applyFont="1" applyBorder="1"/>
    <xf numFmtId="10" fontId="0" fillId="0" borderId="0" xfId="3" applyNumberFormat="1" applyFont="1" applyAlignment="1">
      <alignment horizontal="center"/>
    </xf>
    <xf numFmtId="165" fontId="0" fillId="0" borderId="0" xfId="2" applyNumberFormat="1" applyFont="1" applyBorder="1" applyAlignment="1">
      <alignment horizontal="center"/>
    </xf>
    <xf numFmtId="165" fontId="0" fillId="0" borderId="0" xfId="2" applyNumberFormat="1" applyFont="1" applyBorder="1"/>
    <xf numFmtId="0" fontId="0" fillId="0" borderId="17" xfId="0" applyBorder="1"/>
    <xf numFmtId="0" fontId="0" fillId="0" borderId="21" xfId="0" applyBorder="1"/>
    <xf numFmtId="10" fontId="4" fillId="4" borderId="3" xfId="0" applyNumberFormat="1" applyFont="1" applyFill="1" applyBorder="1" applyAlignment="1">
      <alignment horizontal="center"/>
    </xf>
    <xf numFmtId="10" fontId="4" fillId="6" borderId="3" xfId="0" applyNumberFormat="1" applyFont="1" applyFill="1" applyBorder="1" applyAlignment="1">
      <alignment horizontal="center"/>
    </xf>
    <xf numFmtId="10" fontId="4" fillId="6" borderId="2" xfId="0" applyNumberFormat="1" applyFont="1" applyFill="1" applyBorder="1" applyAlignment="1">
      <alignment horizontal="center"/>
    </xf>
    <xf numFmtId="0" fontId="0" fillId="7" borderId="7" xfId="0" applyFill="1" applyBorder="1"/>
    <xf numFmtId="165" fontId="0" fillId="5" borderId="23" xfId="0" applyNumberFormat="1" applyFill="1" applyBorder="1"/>
    <xf numFmtId="165" fontId="0" fillId="6" borderId="8" xfId="0" applyNumberFormat="1" applyFill="1" applyBorder="1"/>
    <xf numFmtId="0" fontId="4" fillId="3" borderId="11" xfId="0" applyFont="1" applyFill="1" applyBorder="1"/>
    <xf numFmtId="165" fontId="4" fillId="3" borderId="12" xfId="0" applyNumberFormat="1" applyFont="1" applyFill="1" applyBorder="1"/>
    <xf numFmtId="0" fontId="0" fillId="0" borderId="24" xfId="0" applyBorder="1"/>
    <xf numFmtId="0" fontId="0" fillId="7" borderId="14" xfId="0" applyFill="1" applyBorder="1"/>
    <xf numFmtId="9" fontId="0" fillId="0" borderId="0" xfId="3" applyFont="1"/>
    <xf numFmtId="165" fontId="4" fillId="4" borderId="25" xfId="0" applyNumberFormat="1" applyFont="1" applyFill="1" applyBorder="1"/>
    <xf numFmtId="165" fontId="4" fillId="5" borderId="26" xfId="0" applyNumberFormat="1" applyFont="1" applyFill="1" applyBorder="1"/>
    <xf numFmtId="165" fontId="4" fillId="6" borderId="25" xfId="0" applyNumberFormat="1" applyFont="1" applyFill="1" applyBorder="1"/>
    <xf numFmtId="165" fontId="4" fillId="6" borderId="27" xfId="0" applyNumberFormat="1" applyFont="1" applyFill="1" applyBorder="1"/>
    <xf numFmtId="0" fontId="4" fillId="0" borderId="0" xfId="0" applyFont="1"/>
    <xf numFmtId="165" fontId="4" fillId="0" borderId="19" xfId="0" applyNumberFormat="1" applyFont="1" applyBorder="1"/>
    <xf numFmtId="165" fontId="4" fillId="0" borderId="20" xfId="0" applyNumberFormat="1" applyFont="1" applyBorder="1"/>
    <xf numFmtId="0" fontId="3" fillId="0" borderId="0" xfId="0" applyFont="1"/>
    <xf numFmtId="164" fontId="0" fillId="0" borderId="0" xfId="1" applyNumberFormat="1" applyFont="1"/>
    <xf numFmtId="0" fontId="11" fillId="0" borderId="0" xfId="0" applyFont="1" applyAlignment="1">
      <alignment horizontal="right"/>
    </xf>
    <xf numFmtId="0" fontId="0" fillId="7" borderId="0" xfId="0" applyFill="1"/>
    <xf numFmtId="0" fontId="12" fillId="7" borderId="0" xfId="0" applyFont="1" applyFill="1" applyAlignment="1">
      <alignment horizontal="center" vertical="center"/>
    </xf>
    <xf numFmtId="0" fontId="0" fillId="8" borderId="30" xfId="0" applyFill="1" applyBorder="1"/>
    <xf numFmtId="0" fontId="2" fillId="8" borderId="31" xfId="0" applyFont="1" applyFill="1" applyBorder="1" applyAlignment="1">
      <alignment horizontal="center" wrapText="1"/>
    </xf>
    <xf numFmtId="166" fontId="2" fillId="8" borderId="19" xfId="0" applyNumberFormat="1" applyFont="1" applyFill="1" applyBorder="1"/>
    <xf numFmtId="0" fontId="5" fillId="8" borderId="19" xfId="0" applyFont="1" applyFill="1" applyBorder="1"/>
    <xf numFmtId="0" fontId="5" fillId="7" borderId="0" xfId="0" applyFont="1" applyFill="1" applyAlignment="1">
      <alignment horizontal="center"/>
    </xf>
    <xf numFmtId="9" fontId="13" fillId="3" borderId="6" xfId="0" applyNumberFormat="1" applyFont="1" applyFill="1" applyBorder="1" applyAlignment="1">
      <alignment horizontal="right"/>
    </xf>
    <xf numFmtId="9" fontId="13" fillId="7" borderId="0" xfId="0" applyNumberFormat="1" applyFont="1" applyFill="1" applyAlignment="1">
      <alignment horizontal="right"/>
    </xf>
    <xf numFmtId="9" fontId="13" fillId="3" borderId="8" xfId="0" applyNumberFormat="1" applyFont="1" applyFill="1" applyBorder="1"/>
    <xf numFmtId="9" fontId="13" fillId="7" borderId="0" xfId="0" applyNumberFormat="1" applyFont="1" applyFill="1"/>
    <xf numFmtId="0" fontId="4" fillId="0" borderId="21" xfId="0" applyFont="1" applyBorder="1"/>
    <xf numFmtId="9" fontId="13" fillId="3" borderId="8" xfId="0" applyNumberFormat="1" applyFont="1" applyFill="1" applyBorder="1" applyAlignment="1">
      <alignment horizontal="right"/>
    </xf>
    <xf numFmtId="0" fontId="0" fillId="0" borderId="16" xfId="0" applyBorder="1"/>
    <xf numFmtId="165" fontId="0" fillId="0" borderId="16" xfId="2" applyNumberFormat="1" applyFont="1" applyFill="1" applyBorder="1"/>
    <xf numFmtId="10" fontId="13" fillId="3" borderId="8" xfId="0" applyNumberFormat="1" applyFont="1" applyFill="1" applyBorder="1"/>
    <xf numFmtId="10" fontId="13" fillId="7" borderId="0" xfId="0" applyNumberFormat="1" applyFont="1" applyFill="1"/>
    <xf numFmtId="165" fontId="0" fillId="0" borderId="0" xfId="2" applyNumberFormat="1" applyFont="1" applyFill="1" applyBorder="1"/>
    <xf numFmtId="10" fontId="13" fillId="0" borderId="8" xfId="0" applyNumberFormat="1" applyFont="1" applyBorder="1"/>
    <xf numFmtId="0" fontId="4" fillId="0" borderId="7" xfId="0" applyFont="1" applyBorder="1"/>
    <xf numFmtId="165" fontId="4" fillId="0" borderId="15" xfId="2" applyNumberFormat="1" applyFont="1" applyBorder="1"/>
    <xf numFmtId="0" fontId="4" fillId="0" borderId="32" xfId="0" applyFont="1" applyBorder="1"/>
    <xf numFmtId="0" fontId="4" fillId="0" borderId="33" xfId="0" applyFont="1" applyBorder="1"/>
    <xf numFmtId="165" fontId="4" fillId="0" borderId="33" xfId="2" applyNumberFormat="1" applyFont="1" applyBorder="1"/>
    <xf numFmtId="165" fontId="0" fillId="7" borderId="0" xfId="0" applyNumberFormat="1" applyFill="1"/>
    <xf numFmtId="0" fontId="4" fillId="0" borderId="16" xfId="0" applyFont="1" applyBorder="1"/>
    <xf numFmtId="167" fontId="13" fillId="3" borderId="8" xfId="3" applyNumberFormat="1" applyFont="1" applyFill="1" applyBorder="1"/>
    <xf numFmtId="167" fontId="13" fillId="7" borderId="0" xfId="3" applyNumberFormat="1" applyFont="1" applyFill="1" applyBorder="1"/>
    <xf numFmtId="9" fontId="13" fillId="3" borderId="8" xfId="3" applyFont="1" applyFill="1" applyBorder="1"/>
    <xf numFmtId="9" fontId="13" fillId="7" borderId="0" xfId="3" applyFont="1" applyFill="1" applyBorder="1"/>
    <xf numFmtId="165" fontId="4" fillId="0" borderId="33" xfId="0" applyNumberFormat="1" applyFont="1" applyBorder="1"/>
    <xf numFmtId="9" fontId="13" fillId="3" borderId="12" xfId="3" applyFont="1" applyFill="1" applyBorder="1"/>
    <xf numFmtId="0" fontId="4" fillId="0" borderId="34" xfId="0" applyFont="1" applyBorder="1"/>
    <xf numFmtId="0" fontId="0" fillId="0" borderId="25" xfId="0" applyBorder="1"/>
    <xf numFmtId="165" fontId="14" fillId="0" borderId="25" xfId="0" applyNumberFormat="1" applyFont="1" applyBorder="1"/>
    <xf numFmtId="0" fontId="4" fillId="0" borderId="30" xfId="0" applyFont="1" applyBorder="1"/>
    <xf numFmtId="0" fontId="4" fillId="0" borderId="19" xfId="0" applyFont="1" applyBorder="1"/>
    <xf numFmtId="165" fontId="15" fillId="0" borderId="19" xfId="0" applyNumberFormat="1" applyFont="1" applyBorder="1"/>
    <xf numFmtId="43" fontId="1" fillId="0" borderId="0" xfId="1" applyFont="1" applyBorder="1"/>
    <xf numFmtId="165" fontId="4" fillId="0" borderId="0" xfId="0" applyNumberFormat="1" applyFont="1"/>
    <xf numFmtId="0" fontId="0" fillId="0" borderId="21" xfId="0" applyBorder="1" applyAlignment="1">
      <alignment horizontal="left" indent="1"/>
    </xf>
    <xf numFmtId="165" fontId="14" fillId="0" borderId="35" xfId="0" applyNumberFormat="1" applyFont="1" applyBorder="1"/>
    <xf numFmtId="0" fontId="4" fillId="0" borderId="8" xfId="0" applyFont="1" applyBorder="1"/>
    <xf numFmtId="0" fontId="4" fillId="7" borderId="0" xfId="0" applyFont="1" applyFill="1"/>
    <xf numFmtId="0" fontId="0" fillId="0" borderId="21" xfId="0" applyBorder="1" applyAlignment="1">
      <alignment horizontal="left"/>
    </xf>
    <xf numFmtId="165" fontId="0" fillId="7" borderId="16" xfId="0" applyNumberFormat="1" applyFill="1" applyBorder="1"/>
    <xf numFmtId="0" fontId="16" fillId="0" borderId="21" xfId="0" applyFont="1" applyBorder="1" applyAlignment="1">
      <alignment horizontal="left" indent="1"/>
    </xf>
    <xf numFmtId="0" fontId="16" fillId="0" borderId="0" xfId="0" applyFont="1"/>
    <xf numFmtId="165" fontId="16" fillId="0" borderId="0" xfId="2" applyNumberFormat="1" applyFont="1" applyBorder="1"/>
    <xf numFmtId="9" fontId="0" fillId="0" borderId="0" xfId="3" applyFont="1" applyBorder="1"/>
    <xf numFmtId="0" fontId="0" fillId="0" borderId="36" xfId="0" applyBorder="1"/>
    <xf numFmtId="0" fontId="0" fillId="0" borderId="37" xfId="0" applyBorder="1"/>
    <xf numFmtId="10" fontId="0" fillId="0" borderId="37" xfId="0" applyNumberFormat="1" applyBorder="1"/>
    <xf numFmtId="0" fontId="0" fillId="0" borderId="0" xfId="0" applyAlignment="1">
      <alignment horizontal="left"/>
    </xf>
    <xf numFmtId="165" fontId="0" fillId="0" borderId="39" xfId="0" applyNumberFormat="1" applyBorder="1"/>
    <xf numFmtId="0" fontId="0" fillId="0" borderId="10" xfId="0" applyBorder="1"/>
    <xf numFmtId="165" fontId="4" fillId="0" borderId="39" xfId="0" applyNumberFormat="1" applyFont="1" applyBorder="1"/>
    <xf numFmtId="0" fontId="17" fillId="7" borderId="0" xfId="0" applyFont="1" applyFill="1" applyAlignment="1">
      <alignment horizontal="center" vertical="center"/>
    </xf>
    <xf numFmtId="0" fontId="4" fillId="0" borderId="13" xfId="0" applyFont="1" applyBorder="1"/>
    <xf numFmtId="165" fontId="4" fillId="0" borderId="13" xfId="0" applyNumberFormat="1" applyFont="1" applyBorder="1"/>
    <xf numFmtId="0" fontId="2" fillId="7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8" fillId="7" borderId="0" xfId="0" applyFont="1" applyFill="1" applyAlignment="1">
      <alignment horizontal="center"/>
    </xf>
    <xf numFmtId="0" fontId="0" fillId="0" borderId="39" xfId="0" applyBorder="1"/>
    <xf numFmtId="165" fontId="0" fillId="0" borderId="16" xfId="0" applyNumberFormat="1" applyBorder="1"/>
    <xf numFmtId="0" fontId="0" fillId="0" borderId="34" xfId="0" applyBorder="1"/>
    <xf numFmtId="165" fontId="0" fillId="0" borderId="13" xfId="0" applyNumberFormat="1" applyBorder="1"/>
    <xf numFmtId="165" fontId="0" fillId="0" borderId="12" xfId="0" applyNumberFormat="1" applyBorder="1"/>
    <xf numFmtId="0" fontId="5" fillId="9" borderId="4" xfId="0" applyFont="1" applyFill="1" applyBorder="1" applyAlignment="1">
      <alignment horizontal="center"/>
    </xf>
    <xf numFmtId="0" fontId="5" fillId="9" borderId="6" xfId="0" applyFont="1" applyFill="1" applyBorder="1" applyAlignment="1">
      <alignment horizontal="center"/>
    </xf>
    <xf numFmtId="0" fontId="5" fillId="10" borderId="7" xfId="0" applyFont="1" applyFill="1" applyBorder="1"/>
    <xf numFmtId="165" fontId="10" fillId="7" borderId="8" xfId="0" applyNumberFormat="1" applyFont="1" applyFill="1" applyBorder="1"/>
    <xf numFmtId="165" fontId="0" fillId="7" borderId="8" xfId="0" applyNumberFormat="1" applyFill="1" applyBorder="1"/>
    <xf numFmtId="10" fontId="19" fillId="11" borderId="8" xfId="0" applyNumberFormat="1" applyFont="1" applyFill="1" applyBorder="1"/>
    <xf numFmtId="169" fontId="19" fillId="11" borderId="8" xfId="0" applyNumberFormat="1" applyFont="1" applyFill="1" applyBorder="1"/>
    <xf numFmtId="170" fontId="19" fillId="0" borderId="8" xfId="0" applyNumberFormat="1" applyFont="1" applyBorder="1"/>
    <xf numFmtId="0" fontId="5" fillId="10" borderId="11" xfId="0" applyFont="1" applyFill="1" applyBorder="1"/>
    <xf numFmtId="165" fontId="0" fillId="7" borderId="12" xfId="0" applyNumberFormat="1" applyFill="1" applyBorder="1"/>
    <xf numFmtId="170" fontId="0" fillId="7" borderId="8" xfId="0" applyNumberFormat="1" applyFill="1" applyBorder="1"/>
    <xf numFmtId="0" fontId="5" fillId="9" borderId="18" xfId="0" applyFont="1" applyFill="1" applyBorder="1"/>
    <xf numFmtId="0" fontId="5" fillId="9" borderId="19" xfId="0" applyFont="1" applyFill="1" applyBorder="1"/>
    <xf numFmtId="0" fontId="5" fillId="9" borderId="20" xfId="0" applyFont="1" applyFill="1" applyBorder="1"/>
    <xf numFmtId="0" fontId="0" fillId="7" borderId="4" xfId="0" applyFill="1" applyBorder="1"/>
    <xf numFmtId="0" fontId="0" fillId="7" borderId="5" xfId="0" applyFill="1" applyBorder="1"/>
    <xf numFmtId="5" fontId="0" fillId="7" borderId="5" xfId="0" applyNumberFormat="1" applyFill="1" applyBorder="1"/>
    <xf numFmtId="5" fontId="0" fillId="7" borderId="6" xfId="0" applyNumberFormat="1" applyFill="1" applyBorder="1"/>
    <xf numFmtId="5" fontId="0" fillId="7" borderId="0" xfId="0" applyNumberFormat="1" applyFill="1"/>
    <xf numFmtId="5" fontId="0" fillId="7" borderId="8" xfId="0" applyNumberFormat="1" applyFill="1" applyBorder="1"/>
    <xf numFmtId="171" fontId="0" fillId="0" borderId="0" xfId="0" applyNumberFormat="1"/>
    <xf numFmtId="0" fontId="0" fillId="7" borderId="16" xfId="0" applyFill="1" applyBorder="1"/>
    <xf numFmtId="172" fontId="0" fillId="0" borderId="0" xfId="0" applyNumberFormat="1"/>
    <xf numFmtId="0" fontId="0" fillId="7" borderId="11" xfId="0" applyFill="1" applyBorder="1"/>
    <xf numFmtId="0" fontId="0" fillId="7" borderId="13" xfId="0" applyFill="1" applyBorder="1"/>
    <xf numFmtId="5" fontId="0" fillId="7" borderId="13" xfId="0" applyNumberFormat="1" applyFill="1" applyBorder="1"/>
    <xf numFmtId="5" fontId="0" fillId="7" borderId="12" xfId="0" applyNumberFormat="1" applyFill="1" applyBorder="1"/>
    <xf numFmtId="165" fontId="0" fillId="0" borderId="0" xfId="2" applyNumberFormat="1" applyFont="1"/>
    <xf numFmtId="6" fontId="0" fillId="0" borderId="0" xfId="0" applyNumberFormat="1"/>
    <xf numFmtId="0" fontId="0" fillId="0" borderId="18" xfId="0" applyBorder="1"/>
    <xf numFmtId="10" fontId="0" fillId="0" borderId="20" xfId="0" applyNumberFormat="1" applyBorder="1"/>
    <xf numFmtId="5" fontId="0" fillId="7" borderId="16" xfId="0" applyNumberFormat="1" applyFill="1" applyBorder="1"/>
    <xf numFmtId="5" fontId="0" fillId="7" borderId="15" xfId="0" applyNumberFormat="1" applyFill="1" applyBorder="1"/>
    <xf numFmtId="9" fontId="0" fillId="0" borderId="8" xfId="3" applyFont="1" applyBorder="1"/>
    <xf numFmtId="10" fontId="0" fillId="0" borderId="8" xfId="3" applyNumberFormat="1" applyFont="1" applyBorder="1"/>
    <xf numFmtId="0" fontId="0" fillId="0" borderId="15" xfId="0" applyBorder="1"/>
    <xf numFmtId="165" fontId="0" fillId="0" borderId="27" xfId="0" applyNumberFormat="1" applyBorder="1"/>
    <xf numFmtId="165" fontId="0" fillId="4" borderId="0" xfId="0" applyNumberFormat="1" applyFill="1"/>
    <xf numFmtId="165" fontId="0" fillId="6" borderId="0" xfId="0" applyNumberFormat="1" applyFill="1"/>
    <xf numFmtId="0" fontId="2" fillId="2" borderId="7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165" fontId="0" fillId="0" borderId="8" xfId="2" applyNumberFormat="1" applyFont="1" applyFill="1" applyBorder="1"/>
    <xf numFmtId="175" fontId="0" fillId="0" borderId="7" xfId="0" applyNumberFormat="1" applyBorder="1" applyAlignment="1">
      <alignment horizontal="left"/>
    </xf>
    <xf numFmtId="165" fontId="1" fillId="0" borderId="8" xfId="2" applyNumberFormat="1" applyFont="1" applyFill="1" applyBorder="1"/>
    <xf numFmtId="165" fontId="1" fillId="0" borderId="15" xfId="2" applyNumberFormat="1" applyFont="1" applyFill="1" applyBorder="1"/>
    <xf numFmtId="44" fontId="1" fillId="0" borderId="0" xfId="2" applyFont="1" applyFill="1" applyBorder="1" applyAlignment="1">
      <alignment horizontal="center"/>
    </xf>
    <xf numFmtId="173" fontId="1" fillId="0" borderId="14" xfId="3" applyNumberFormat="1" applyFont="1" applyFill="1" applyBorder="1" applyAlignment="1">
      <alignment horizontal="left"/>
    </xf>
    <xf numFmtId="10" fontId="4" fillId="5" borderId="22" xfId="3" applyNumberFormat="1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/>
    </xf>
    <xf numFmtId="0" fontId="5" fillId="2" borderId="14" xfId="0" applyFont="1" applyFill="1" applyBorder="1"/>
    <xf numFmtId="14" fontId="2" fillId="2" borderId="16" xfId="0" applyNumberFormat="1" applyFont="1" applyFill="1" applyBorder="1"/>
    <xf numFmtId="14" fontId="2" fillId="2" borderId="15" xfId="0" applyNumberFormat="1" applyFont="1" applyFill="1" applyBorder="1"/>
    <xf numFmtId="0" fontId="2" fillId="2" borderId="28" xfId="0" applyFont="1" applyFill="1" applyBorder="1" applyAlignment="1">
      <alignment horizontal="center"/>
    </xf>
    <xf numFmtId="10" fontId="0" fillId="0" borderId="8" xfId="0" applyNumberFormat="1" applyBorder="1"/>
    <xf numFmtId="169" fontId="0" fillId="0" borderId="8" xfId="0" applyNumberFormat="1" applyBorder="1"/>
    <xf numFmtId="170" fontId="0" fillId="0" borderId="8" xfId="0" applyNumberFormat="1" applyBorder="1"/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5" fillId="10" borderId="21" xfId="0" applyFont="1" applyFill="1" applyBorder="1"/>
    <xf numFmtId="0" fontId="5" fillId="10" borderId="44" xfId="0" applyFont="1" applyFill="1" applyBorder="1"/>
    <xf numFmtId="0" fontId="2" fillId="2" borderId="22" xfId="0" applyFont="1" applyFill="1" applyBorder="1" applyAlignment="1">
      <alignment horizontal="center"/>
    </xf>
    <xf numFmtId="0" fontId="0" fillId="7" borderId="9" xfId="0" applyFill="1" applyBorder="1"/>
    <xf numFmtId="0" fontId="0" fillId="7" borderId="10" xfId="0" applyFill="1" applyBorder="1"/>
    <xf numFmtId="5" fontId="0" fillId="7" borderId="10" xfId="0" applyNumberFormat="1" applyFill="1" applyBorder="1"/>
    <xf numFmtId="5" fontId="0" fillId="7" borderId="28" xfId="0" applyNumberFormat="1" applyFill="1" applyBorder="1"/>
    <xf numFmtId="0" fontId="0" fillId="13" borderId="5" xfId="0" applyFill="1" applyBorder="1"/>
    <xf numFmtId="0" fontId="0" fillId="13" borderId="6" xfId="0" applyFill="1" applyBorder="1"/>
    <xf numFmtId="0" fontId="4" fillId="13" borderId="2" xfId="0" applyFont="1" applyFill="1" applyBorder="1" applyAlignment="1">
      <alignment horizontal="center"/>
    </xf>
    <xf numFmtId="10" fontId="4" fillId="13" borderId="12" xfId="0" applyNumberFormat="1" applyFont="1" applyFill="1" applyBorder="1" applyAlignment="1">
      <alignment horizontal="center"/>
    </xf>
    <xf numFmtId="174" fontId="0" fillId="0" borderId="7" xfId="0" applyNumberFormat="1" applyBorder="1" applyAlignment="1">
      <alignment horizontal="left"/>
    </xf>
    <xf numFmtId="0" fontId="2" fillId="2" borderId="45" xfId="0" applyFont="1" applyFill="1" applyBorder="1" applyAlignment="1">
      <alignment horizontal="center"/>
    </xf>
    <xf numFmtId="0" fontId="0" fillId="0" borderId="12" xfId="0" applyBorder="1"/>
    <xf numFmtId="14" fontId="20" fillId="12" borderId="41" xfId="2" applyNumberFormat="1" applyFont="1" applyFill="1" applyBorder="1" applyAlignment="1" applyProtection="1">
      <alignment vertical="center"/>
      <protection locked="0"/>
    </xf>
    <xf numFmtId="44" fontId="20" fillId="12" borderId="42" xfId="2" applyFont="1" applyFill="1" applyBorder="1" applyAlignment="1" applyProtection="1">
      <alignment vertical="center"/>
      <protection locked="0"/>
    </xf>
    <xf numFmtId="9" fontId="20" fillId="12" borderId="41" xfId="3" applyFont="1" applyFill="1" applyBorder="1" applyAlignment="1" applyProtection="1">
      <alignment vertical="center"/>
      <protection locked="0"/>
    </xf>
    <xf numFmtId="9" fontId="20" fillId="12" borderId="41" xfId="2" applyNumberFormat="1" applyFont="1" applyFill="1" applyBorder="1" applyAlignment="1" applyProtection="1">
      <alignment vertical="center"/>
      <protection locked="0"/>
    </xf>
    <xf numFmtId="9" fontId="20" fillId="12" borderId="42" xfId="2" applyNumberFormat="1" applyFont="1" applyFill="1" applyBorder="1" applyAlignment="1" applyProtection="1">
      <alignment vertical="center"/>
      <protection locked="0"/>
    </xf>
    <xf numFmtId="0" fontId="20" fillId="12" borderId="41" xfId="2" applyNumberFormat="1" applyFont="1" applyFill="1" applyBorder="1" applyAlignment="1" applyProtection="1">
      <alignment vertical="center"/>
      <protection locked="0"/>
    </xf>
    <xf numFmtId="10" fontId="20" fillId="12" borderId="42" xfId="2" applyNumberFormat="1" applyFont="1" applyFill="1" applyBorder="1" applyAlignment="1" applyProtection="1">
      <alignment vertical="center"/>
      <protection locked="0"/>
    </xf>
    <xf numFmtId="10" fontId="20" fillId="12" borderId="41" xfId="3" applyNumberFormat="1" applyFont="1" applyFill="1" applyBorder="1" applyAlignment="1" applyProtection="1">
      <alignment vertical="center"/>
      <protection locked="0"/>
    </xf>
    <xf numFmtId="9" fontId="20" fillId="12" borderId="43" xfId="3" applyFont="1" applyFill="1" applyBorder="1" applyAlignment="1" applyProtection="1">
      <alignment vertical="center"/>
      <protection locked="0"/>
    </xf>
    <xf numFmtId="165" fontId="1" fillId="0" borderId="8" xfId="2" applyNumberFormat="1" applyFont="1" applyFill="1" applyBorder="1" applyProtection="1">
      <protection locked="0"/>
    </xf>
    <xf numFmtId="0" fontId="24" fillId="14" borderId="1" xfId="4" applyFont="1" applyFill="1" applyBorder="1" applyAlignment="1">
      <alignment horizontal="center"/>
    </xf>
    <xf numFmtId="0" fontId="24" fillId="14" borderId="3" xfId="4" applyFont="1" applyFill="1" applyBorder="1" applyAlignment="1">
      <alignment horizontal="center"/>
    </xf>
    <xf numFmtId="164" fontId="24" fillId="14" borderId="3" xfId="5" applyNumberFormat="1" applyFont="1" applyFill="1" applyBorder="1" applyAlignment="1" applyProtection="1">
      <alignment horizontal="center"/>
      <protection locked="0"/>
    </xf>
    <xf numFmtId="43" fontId="24" fillId="14" borderId="3" xfId="5" applyFont="1" applyFill="1" applyBorder="1" applyAlignment="1" applyProtection="1">
      <alignment horizontal="center"/>
      <protection locked="0"/>
    </xf>
    <xf numFmtId="44" fontId="24" fillId="14" borderId="3" xfId="6" applyFont="1" applyFill="1" applyBorder="1" applyAlignment="1">
      <alignment horizontal="center"/>
    </xf>
    <xf numFmtId="44" fontId="24" fillId="14" borderId="2" xfId="6" applyFont="1" applyFill="1" applyBorder="1" applyAlignment="1">
      <alignment horizontal="center"/>
    </xf>
    <xf numFmtId="0" fontId="25" fillId="0" borderId="0" xfId="4" applyFont="1" applyAlignment="1">
      <alignment horizontal="left"/>
    </xf>
    <xf numFmtId="164" fontId="25" fillId="0" borderId="0" xfId="5" applyNumberFormat="1" applyFont="1" applyFill="1" applyBorder="1" applyAlignment="1" applyProtection="1">
      <alignment horizontal="left"/>
      <protection locked="0"/>
    </xf>
    <xf numFmtId="43" fontId="25" fillId="0" borderId="0" xfId="5" applyFont="1" applyFill="1" applyBorder="1" applyAlignment="1" applyProtection="1">
      <alignment horizontal="left"/>
      <protection locked="0"/>
    </xf>
    <xf numFmtId="44" fontId="25" fillId="0" borderId="8" xfId="6" applyFont="1" applyFill="1" applyBorder="1" applyAlignment="1">
      <alignment horizontal="left"/>
    </xf>
    <xf numFmtId="165" fontId="24" fillId="0" borderId="25" xfId="6" applyNumberFormat="1" applyFont="1" applyFill="1" applyBorder="1" applyAlignment="1">
      <alignment horizontal="left"/>
    </xf>
    <xf numFmtId="0" fontId="24" fillId="0" borderId="46" xfId="4" applyFont="1" applyBorder="1" applyAlignment="1">
      <alignment horizontal="left"/>
    </xf>
    <xf numFmtId="0" fontId="25" fillId="0" borderId="25" xfId="4" applyFont="1" applyBorder="1" applyAlignment="1">
      <alignment horizontal="left"/>
    </xf>
    <xf numFmtId="164" fontId="25" fillId="0" borderId="25" xfId="5" applyNumberFormat="1" applyFont="1" applyFill="1" applyBorder="1" applyAlignment="1" applyProtection="1">
      <alignment horizontal="left"/>
      <protection locked="0"/>
    </xf>
    <xf numFmtId="43" fontId="25" fillId="0" borderId="25" xfId="5" applyFont="1" applyFill="1" applyBorder="1" applyAlignment="1" applyProtection="1">
      <alignment horizontal="left"/>
      <protection locked="0"/>
    </xf>
    <xf numFmtId="165" fontId="0" fillId="0" borderId="28" xfId="0" applyNumberFormat="1" applyBorder="1"/>
    <xf numFmtId="165" fontId="4" fillId="4" borderId="47" xfId="0" applyNumberFormat="1" applyFont="1" applyFill="1" applyBorder="1"/>
    <xf numFmtId="10" fontId="4" fillId="4" borderId="0" xfId="0" applyNumberFormat="1" applyFont="1" applyFill="1" applyAlignment="1">
      <alignment horizontal="center"/>
    </xf>
    <xf numFmtId="10" fontId="4" fillId="6" borderId="0" xfId="0" applyNumberFormat="1" applyFont="1" applyFill="1" applyAlignment="1">
      <alignment horizontal="center"/>
    </xf>
    <xf numFmtId="0" fontId="0" fillId="0" borderId="32" xfId="0" applyBorder="1"/>
    <xf numFmtId="165" fontId="0" fillId="4" borderId="33" xfId="0" applyNumberFormat="1" applyFill="1" applyBorder="1"/>
    <xf numFmtId="165" fontId="0" fillId="5" borderId="48" xfId="0" applyNumberFormat="1" applyFill="1" applyBorder="1"/>
    <xf numFmtId="165" fontId="0" fillId="6" borderId="33" xfId="0" applyNumberFormat="1" applyFill="1" applyBorder="1"/>
    <xf numFmtId="165" fontId="0" fillId="6" borderId="49" xfId="0" applyNumberFormat="1" applyFill="1" applyBorder="1"/>
    <xf numFmtId="0" fontId="0" fillId="0" borderId="13" xfId="0" applyBorder="1"/>
    <xf numFmtId="164" fontId="0" fillId="0" borderId="0" xfId="0" applyNumberFormat="1" applyAlignment="1">
      <alignment horizontal="center"/>
    </xf>
    <xf numFmtId="165" fontId="4" fillId="0" borderId="30" xfId="0" applyNumberFormat="1" applyFont="1" applyBorder="1" applyAlignment="1">
      <alignment horizontal="center"/>
    </xf>
    <xf numFmtId="0" fontId="0" fillId="0" borderId="44" xfId="0" applyBorder="1" applyAlignment="1">
      <alignment vertical="center"/>
    </xf>
    <xf numFmtId="166" fontId="27" fillId="15" borderId="17" xfId="0" applyNumberFormat="1" applyFont="1" applyFill="1" applyBorder="1" applyAlignment="1">
      <alignment horizontal="center"/>
    </xf>
    <xf numFmtId="166" fontId="27" fillId="15" borderId="50" xfId="0" applyNumberFormat="1" applyFont="1" applyFill="1" applyBorder="1" applyAlignment="1">
      <alignment horizontal="center"/>
    </xf>
    <xf numFmtId="166" fontId="27" fillId="15" borderId="33" xfId="0" applyNumberFormat="1" applyFont="1" applyFill="1" applyBorder="1" applyAlignment="1">
      <alignment horizontal="center"/>
    </xf>
    <xf numFmtId="166" fontId="27" fillId="15" borderId="49" xfId="0" applyNumberFormat="1" applyFont="1" applyFill="1" applyBorder="1" applyAlignment="1">
      <alignment horizontal="center"/>
    </xf>
    <xf numFmtId="164" fontId="4" fillId="0" borderId="25" xfId="1" applyNumberFormat="1" applyFont="1" applyBorder="1" applyAlignment="1">
      <alignment horizontal="center"/>
    </xf>
    <xf numFmtId="44" fontId="4" fillId="0" borderId="25" xfId="0" applyNumberFormat="1" applyFont="1" applyBorder="1"/>
    <xf numFmtId="165" fontId="4" fillId="0" borderId="25" xfId="2" applyNumberFormat="1" applyFont="1" applyBorder="1" applyAlignment="1">
      <alignment horizontal="center"/>
    </xf>
    <xf numFmtId="44" fontId="25" fillId="0" borderId="27" xfId="6" applyFont="1" applyFill="1" applyBorder="1" applyAlignment="1">
      <alignment horizontal="left"/>
    </xf>
    <xf numFmtId="0" fontId="24" fillId="0" borderId="7" xfId="4" applyFont="1" applyBorder="1" applyAlignment="1" applyProtection="1">
      <alignment horizontal="left"/>
      <protection locked="0"/>
    </xf>
    <xf numFmtId="0" fontId="25" fillId="12" borderId="7" xfId="4" applyFont="1" applyFill="1" applyBorder="1" applyAlignment="1" applyProtection="1">
      <alignment horizontal="left"/>
      <protection locked="0"/>
    </xf>
    <xf numFmtId="165" fontId="26" fillId="12" borderId="0" xfId="6" applyNumberFormat="1" applyFont="1" applyFill="1" applyBorder="1" applyAlignment="1" applyProtection="1">
      <alignment horizontal="left"/>
      <protection locked="0"/>
    </xf>
    <xf numFmtId="166" fontId="0" fillId="0" borderId="0" xfId="0" applyNumberFormat="1"/>
    <xf numFmtId="165" fontId="14" fillId="0" borderId="0" xfId="0" applyNumberFormat="1" applyFont="1"/>
    <xf numFmtId="165" fontId="14" fillId="7" borderId="0" xfId="0" applyNumberFormat="1" applyFont="1" applyFill="1"/>
    <xf numFmtId="165" fontId="15" fillId="0" borderId="0" xfId="0" applyNumberFormat="1" applyFont="1"/>
    <xf numFmtId="167" fontId="0" fillId="0" borderId="0" xfId="0" applyNumberFormat="1"/>
    <xf numFmtId="168" fontId="0" fillId="0" borderId="0" xfId="0" applyNumberFormat="1"/>
    <xf numFmtId="177" fontId="0" fillId="0" borderId="21" xfId="0" applyNumberFormat="1" applyBorder="1" applyAlignment="1">
      <alignment horizontal="left"/>
    </xf>
    <xf numFmtId="0" fontId="4" fillId="3" borderId="46" xfId="0" applyFont="1" applyFill="1" applyBorder="1"/>
    <xf numFmtId="165" fontId="4" fillId="3" borderId="27" xfId="0" applyNumberFormat="1" applyFont="1" applyFill="1" applyBorder="1"/>
    <xf numFmtId="10" fontId="4" fillId="5" borderId="23" xfId="3" applyNumberFormat="1" applyFont="1" applyFill="1" applyBorder="1" applyAlignment="1">
      <alignment horizontal="center" vertical="center"/>
    </xf>
    <xf numFmtId="10" fontId="4" fillId="6" borderId="8" xfId="0" applyNumberFormat="1" applyFont="1" applyFill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/>
    </xf>
    <xf numFmtId="168" fontId="0" fillId="4" borderId="13" xfId="0" applyNumberFormat="1" applyFill="1" applyBorder="1" applyAlignment="1">
      <alignment vertical="center"/>
    </xf>
    <xf numFmtId="168" fontId="0" fillId="5" borderId="29" xfId="0" applyNumberFormat="1" applyFill="1" applyBorder="1" applyAlignment="1">
      <alignment vertical="center"/>
    </xf>
    <xf numFmtId="168" fontId="0" fillId="6" borderId="13" xfId="0" applyNumberFormat="1" applyFill="1" applyBorder="1" applyAlignment="1">
      <alignment vertical="center"/>
    </xf>
    <xf numFmtId="168" fontId="0" fillId="6" borderId="12" xfId="0" applyNumberFormat="1" applyFill="1" applyBorder="1" applyAlignment="1">
      <alignment vertical="center"/>
    </xf>
    <xf numFmtId="0" fontId="0" fillId="0" borderId="7" xfId="0" applyBorder="1" applyProtection="1">
      <protection locked="0"/>
    </xf>
    <xf numFmtId="0" fontId="0" fillId="0" borderId="14" xfId="0" applyBorder="1" applyProtection="1">
      <protection locked="0"/>
    </xf>
    <xf numFmtId="44" fontId="0" fillId="0" borderId="29" xfId="2" applyFont="1" applyBorder="1" applyProtection="1">
      <protection locked="0"/>
    </xf>
    <xf numFmtId="44" fontId="0" fillId="16" borderId="0" xfId="0" applyNumberFormat="1" applyFill="1"/>
    <xf numFmtId="44" fontId="0" fillId="17" borderId="0" xfId="0" applyNumberFormat="1" applyFill="1"/>
    <xf numFmtId="44" fontId="0" fillId="18" borderId="0" xfId="0" applyNumberFormat="1" applyFill="1"/>
    <xf numFmtId="0" fontId="0" fillId="11" borderId="0" xfId="0" applyFill="1"/>
    <xf numFmtId="0" fontId="0" fillId="0" borderId="23" xfId="0" applyBorder="1"/>
    <xf numFmtId="0" fontId="16" fillId="0" borderId="4" xfId="0" applyFont="1" applyBorder="1" applyAlignment="1">
      <alignment horizontal="center"/>
    </xf>
    <xf numFmtId="0" fontId="16" fillId="0" borderId="5" xfId="0" applyFont="1" applyBorder="1" applyAlignment="1">
      <alignment horizontal="center"/>
    </xf>
    <xf numFmtId="0" fontId="16" fillId="15" borderId="52" xfId="0" applyFont="1" applyFill="1" applyBorder="1" applyAlignment="1">
      <alignment horizontal="center"/>
    </xf>
    <xf numFmtId="0" fontId="16" fillId="0" borderId="52" xfId="0" applyFont="1" applyBorder="1" applyAlignment="1">
      <alignment horizontal="center"/>
    </xf>
    <xf numFmtId="0" fontId="16" fillId="0" borderId="53" xfId="0" applyFont="1" applyBorder="1" applyAlignment="1">
      <alignment horizontal="center"/>
    </xf>
    <xf numFmtId="0" fontId="16" fillId="15" borderId="5" xfId="0" applyFont="1" applyFill="1" applyBorder="1" applyAlignment="1">
      <alignment horizontal="center"/>
    </xf>
    <xf numFmtId="0" fontId="16" fillId="15" borderId="6" xfId="0" applyFont="1" applyFill="1" applyBorder="1" applyAlignment="1">
      <alignment horizontal="center"/>
    </xf>
    <xf numFmtId="0" fontId="16" fillId="15" borderId="4" xfId="0" applyFont="1" applyFill="1" applyBorder="1" applyAlignment="1">
      <alignment horizontal="center"/>
    </xf>
    <xf numFmtId="0" fontId="9" fillId="0" borderId="7" xfId="0" applyFont="1" applyBorder="1" applyAlignment="1">
      <alignment horizontal="center"/>
    </xf>
    <xf numFmtId="0" fontId="9" fillId="0" borderId="8" xfId="0" applyFont="1" applyBorder="1" applyAlignment="1">
      <alignment horizontal="center"/>
    </xf>
    <xf numFmtId="0" fontId="0" fillId="0" borderId="16" xfId="0" applyBorder="1" applyAlignment="1">
      <alignment horizontal="center"/>
    </xf>
    <xf numFmtId="0" fontId="0" fillId="15" borderId="54" xfId="0" applyFill="1" applyBorder="1" applyAlignment="1">
      <alignment horizontal="center"/>
    </xf>
    <xf numFmtId="0" fontId="0" fillId="0" borderId="54" xfId="0" applyBorder="1" applyAlignment="1">
      <alignment horizontal="center"/>
    </xf>
    <xf numFmtId="0" fontId="0" fillId="0" borderId="51" xfId="0" applyBorder="1" applyAlignment="1">
      <alignment horizontal="center"/>
    </xf>
    <xf numFmtId="0" fontId="0" fillId="15" borderId="16" xfId="0" applyFill="1" applyBorder="1" applyAlignment="1">
      <alignment horizontal="center"/>
    </xf>
    <xf numFmtId="0" fontId="0" fillId="15" borderId="15" xfId="0" applyFill="1" applyBorder="1" applyAlignment="1">
      <alignment horizontal="center"/>
    </xf>
    <xf numFmtId="0" fontId="0" fillId="15" borderId="14" xfId="0" applyFill="1" applyBorder="1" applyAlignment="1">
      <alignment horizontal="center"/>
    </xf>
    <xf numFmtId="0" fontId="0" fillId="19" borderId="7" xfId="0" applyFill="1" applyBorder="1" applyAlignment="1">
      <alignment horizontal="center"/>
    </xf>
    <xf numFmtId="0" fontId="0" fillId="19" borderId="0" xfId="0" applyFill="1" applyAlignment="1">
      <alignment horizontal="center"/>
    </xf>
    <xf numFmtId="10" fontId="0" fillId="0" borderId="0" xfId="3" applyNumberFormat="1" applyFont="1" applyBorder="1" applyAlignment="1">
      <alignment horizontal="center"/>
    </xf>
    <xf numFmtId="44" fontId="0" fillId="0" borderId="57" xfId="0" applyNumberFormat="1" applyBorder="1"/>
    <xf numFmtId="44" fontId="0" fillId="0" borderId="58" xfId="0" applyNumberFormat="1" applyBorder="1"/>
    <xf numFmtId="0" fontId="0" fillId="0" borderId="46" xfId="0" applyBorder="1"/>
    <xf numFmtId="164" fontId="4" fillId="0" borderId="25" xfId="0" applyNumberFormat="1" applyFont="1" applyBorder="1" applyAlignment="1">
      <alignment horizontal="center"/>
    </xf>
    <xf numFmtId="165" fontId="4" fillId="0" borderId="11" xfId="0" applyNumberFormat="1" applyFont="1" applyBorder="1"/>
    <xf numFmtId="0" fontId="16" fillId="15" borderId="60" xfId="0" applyFont="1" applyFill="1" applyBorder="1" applyAlignment="1">
      <alignment horizontal="center"/>
    </xf>
    <xf numFmtId="0" fontId="0" fillId="15" borderId="58" xfId="0" applyFill="1" applyBorder="1" applyAlignment="1">
      <alignment horizontal="center"/>
    </xf>
    <xf numFmtId="0" fontId="4" fillId="0" borderId="7" xfId="0" applyFont="1" applyBorder="1" applyAlignment="1">
      <alignment horizontal="left"/>
    </xf>
    <xf numFmtId="0" fontId="0" fillId="0" borderId="55" xfId="0" applyBorder="1" applyAlignment="1">
      <alignment horizontal="center"/>
    </xf>
    <xf numFmtId="0" fontId="0" fillId="19" borderId="56" xfId="0" applyFill="1" applyBorder="1" applyAlignment="1">
      <alignment horizontal="center"/>
    </xf>
    <xf numFmtId="0" fontId="0" fillId="19" borderId="61" xfId="0" applyFill="1" applyBorder="1" applyAlignment="1">
      <alignment horizontal="center"/>
    </xf>
    <xf numFmtId="0" fontId="0" fillId="19" borderId="39" xfId="0" applyFill="1" applyBorder="1" applyAlignment="1">
      <alignment horizontal="center"/>
    </xf>
    <xf numFmtId="0" fontId="10" fillId="12" borderId="7" xfId="0" applyFont="1" applyFill="1" applyBorder="1" applyProtection="1">
      <protection locked="0"/>
    </xf>
    <xf numFmtId="0" fontId="10" fillId="12" borderId="0" xfId="0" applyFont="1" applyFill="1" applyProtection="1">
      <protection locked="0"/>
    </xf>
    <xf numFmtId="164" fontId="10" fillId="12" borderId="0" xfId="0" applyNumberFormat="1" applyFont="1" applyFill="1" applyAlignment="1" applyProtection="1">
      <alignment horizontal="center"/>
      <protection locked="0"/>
    </xf>
    <xf numFmtId="44" fontId="10" fillId="12" borderId="0" xfId="2" applyFont="1" applyFill="1" applyBorder="1" applyAlignment="1" applyProtection="1">
      <alignment horizontal="center"/>
      <protection locked="0"/>
    </xf>
    <xf numFmtId="44" fontId="0" fillId="0" borderId="56" xfId="0" applyNumberFormat="1" applyBorder="1"/>
    <xf numFmtId="44" fontId="0" fillId="0" borderId="0" xfId="2" applyFont="1" applyBorder="1"/>
    <xf numFmtId="167" fontId="4" fillId="0" borderId="25" xfId="3" applyNumberFormat="1" applyFont="1" applyBorder="1" applyAlignment="1">
      <alignment horizontal="center"/>
    </xf>
    <xf numFmtId="44" fontId="0" fillId="0" borderId="59" xfId="0" applyNumberFormat="1" applyBorder="1"/>
    <xf numFmtId="164" fontId="4" fillId="0" borderId="0" xfId="0" applyNumberFormat="1" applyFont="1" applyAlignment="1">
      <alignment horizontal="center"/>
    </xf>
    <xf numFmtId="178" fontId="4" fillId="0" borderId="0" xfId="3" applyNumberFormat="1" applyFont="1" applyBorder="1" applyAlignment="1">
      <alignment horizontal="center"/>
    </xf>
    <xf numFmtId="44" fontId="4" fillId="0" borderId="0" xfId="0" applyNumberFormat="1" applyFont="1"/>
    <xf numFmtId="165" fontId="4" fillId="0" borderId="0" xfId="2" applyNumberFormat="1" applyFont="1" applyBorder="1" applyAlignment="1">
      <alignment horizontal="center"/>
    </xf>
    <xf numFmtId="165" fontId="15" fillId="0" borderId="33" xfId="0" applyNumberFormat="1" applyFont="1" applyBorder="1"/>
    <xf numFmtId="9" fontId="0" fillId="0" borderId="0" xfId="0" applyNumberFormat="1" applyAlignment="1">
      <alignment horizontal="left"/>
    </xf>
    <xf numFmtId="0" fontId="0" fillId="0" borderId="62" xfId="0" applyBorder="1"/>
    <xf numFmtId="0" fontId="2" fillId="2" borderId="55" xfId="0" applyFont="1" applyFill="1" applyBorder="1" applyAlignment="1">
      <alignment horizontal="center"/>
    </xf>
    <xf numFmtId="166" fontId="2" fillId="8" borderId="63" xfId="0" applyNumberFormat="1" applyFont="1" applyFill="1" applyBorder="1"/>
    <xf numFmtId="166" fontId="2" fillId="8" borderId="33" xfId="0" applyNumberFormat="1" applyFont="1" applyFill="1" applyBorder="1"/>
    <xf numFmtId="0" fontId="29" fillId="8" borderId="57" xfId="0" applyFont="1" applyFill="1" applyBorder="1" applyAlignment="1">
      <alignment horizontal="center" wrapText="1"/>
    </xf>
    <xf numFmtId="0" fontId="0" fillId="8" borderId="57" xfId="0" applyFill="1" applyBorder="1"/>
    <xf numFmtId="0" fontId="7" fillId="8" borderId="57" xfId="0" applyFont="1" applyFill="1" applyBorder="1"/>
    <xf numFmtId="0" fontId="30" fillId="8" borderId="57" xfId="0" applyFont="1" applyFill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31" fillId="8" borderId="57" xfId="0" applyFont="1" applyFill="1" applyBorder="1" applyAlignment="1">
      <alignment horizontal="center" vertical="center"/>
    </xf>
    <xf numFmtId="0" fontId="17" fillId="0" borderId="8" xfId="0" applyFont="1" applyBorder="1" applyAlignment="1">
      <alignment horizontal="center" vertical="center"/>
    </xf>
    <xf numFmtId="0" fontId="17" fillId="0" borderId="13" xfId="0" applyFont="1" applyBorder="1" applyAlignment="1">
      <alignment horizontal="center" vertical="center"/>
    </xf>
    <xf numFmtId="0" fontId="2" fillId="8" borderId="64" xfId="0" applyFont="1" applyFill="1" applyBorder="1" applyAlignment="1">
      <alignment horizontal="center" vertical="center"/>
    </xf>
    <xf numFmtId="0" fontId="17" fillId="0" borderId="12" xfId="0" applyFont="1" applyBorder="1" applyAlignment="1">
      <alignment horizontal="center" vertical="center"/>
    </xf>
    <xf numFmtId="165" fontId="0" fillId="0" borderId="30" xfId="0" applyNumberFormat="1" applyBorder="1" applyAlignment="1">
      <alignment horizontal="center"/>
    </xf>
    <xf numFmtId="10" fontId="1" fillId="0" borderId="19" xfId="3" applyNumberFormat="1" applyFont="1" applyBorder="1"/>
    <xf numFmtId="0" fontId="0" fillId="0" borderId="21" xfId="0" applyBorder="1" applyAlignment="1">
      <alignment horizontal="center"/>
    </xf>
    <xf numFmtId="10" fontId="1" fillId="0" borderId="20" xfId="3" applyNumberFormat="1" applyFont="1" applyBorder="1"/>
    <xf numFmtId="44" fontId="0" fillId="0" borderId="0" xfId="2" applyFont="1" applyFill="1" applyBorder="1"/>
    <xf numFmtId="165" fontId="20" fillId="12" borderId="42" xfId="2" applyNumberFormat="1" applyFont="1" applyFill="1" applyBorder="1" applyAlignment="1" applyProtection="1">
      <alignment vertical="center"/>
      <protection locked="0"/>
    </xf>
    <xf numFmtId="0" fontId="9" fillId="0" borderId="65" xfId="0" applyFont="1" applyBorder="1" applyAlignment="1">
      <alignment vertical="center"/>
    </xf>
    <xf numFmtId="0" fontId="9" fillId="0" borderId="66" xfId="0" applyFont="1" applyBorder="1" applyAlignment="1">
      <alignment vertical="center"/>
    </xf>
    <xf numFmtId="165" fontId="0" fillId="0" borderId="10" xfId="0" applyNumberFormat="1" applyBorder="1"/>
    <xf numFmtId="0" fontId="4" fillId="0" borderId="67" xfId="0" applyFont="1" applyBorder="1"/>
    <xf numFmtId="0" fontId="4" fillId="0" borderId="54" xfId="0" applyFont="1" applyBorder="1"/>
    <xf numFmtId="165" fontId="0" fillId="0" borderId="61" xfId="0" applyNumberFormat="1" applyBorder="1"/>
    <xf numFmtId="165" fontId="0" fillId="0" borderId="51" xfId="0" applyNumberFormat="1" applyBorder="1"/>
    <xf numFmtId="0" fontId="2" fillId="2" borderId="4" xfId="0" applyFont="1" applyFill="1" applyBorder="1"/>
    <xf numFmtId="0" fontId="2" fillId="2" borderId="5" xfId="0" applyFont="1" applyFill="1" applyBorder="1"/>
    <xf numFmtId="0" fontId="2" fillId="2" borderId="6" xfId="0" applyFont="1" applyFill="1" applyBorder="1"/>
    <xf numFmtId="0" fontId="4" fillId="0" borderId="46" xfId="0" applyFont="1" applyBorder="1"/>
    <xf numFmtId="165" fontId="4" fillId="0" borderId="27" xfId="0" applyNumberFormat="1" applyFont="1" applyBorder="1"/>
    <xf numFmtId="9" fontId="0" fillId="0" borderId="5" xfId="0" applyNumberFormat="1" applyBorder="1"/>
    <xf numFmtId="165" fontId="0" fillId="0" borderId="6" xfId="0" applyNumberFormat="1" applyBorder="1"/>
    <xf numFmtId="9" fontId="0" fillId="0" borderId="16" xfId="0" applyNumberFormat="1" applyBorder="1"/>
    <xf numFmtId="0" fontId="0" fillId="0" borderId="7" xfId="0" applyBorder="1" applyAlignment="1">
      <alignment horizontal="right"/>
    </xf>
    <xf numFmtId="0" fontId="0" fillId="0" borderId="11" xfId="0" applyBorder="1" applyAlignment="1">
      <alignment horizontal="right"/>
    </xf>
    <xf numFmtId="166" fontId="27" fillId="15" borderId="1" xfId="0" applyNumberFormat="1" applyFont="1" applyFill="1" applyBorder="1" applyAlignment="1">
      <alignment horizontal="center"/>
    </xf>
    <xf numFmtId="166" fontId="27" fillId="15" borderId="3" xfId="0" applyNumberFormat="1" applyFont="1" applyFill="1" applyBorder="1" applyAlignment="1">
      <alignment horizontal="center"/>
    </xf>
    <xf numFmtId="166" fontId="27" fillId="15" borderId="2" xfId="0" applyNumberFormat="1" applyFont="1" applyFill="1" applyBorder="1" applyAlignment="1">
      <alignment horizontal="center"/>
    </xf>
    <xf numFmtId="0" fontId="0" fillId="0" borderId="44" xfId="0" applyBorder="1" applyAlignment="1">
      <alignment horizontal="center"/>
    </xf>
    <xf numFmtId="165" fontId="10" fillId="12" borderId="0" xfId="2" applyNumberFormat="1" applyFont="1" applyFill="1" applyProtection="1">
      <protection locked="0"/>
    </xf>
    <xf numFmtId="165" fontId="0" fillId="0" borderId="31" xfId="0" applyNumberFormat="1" applyBorder="1"/>
    <xf numFmtId="165" fontId="4" fillId="0" borderId="0" xfId="2" applyNumberFormat="1" applyFont="1" applyBorder="1"/>
    <xf numFmtId="2" fontId="0" fillId="0" borderId="0" xfId="0" applyNumberFormat="1"/>
    <xf numFmtId="166" fontId="2" fillId="8" borderId="19" xfId="0" applyNumberFormat="1" applyFont="1" applyFill="1" applyBorder="1" applyAlignment="1">
      <alignment horizontal="left"/>
    </xf>
    <xf numFmtId="165" fontId="4" fillId="0" borderId="40" xfId="0" applyNumberFormat="1" applyFont="1" applyBorder="1"/>
    <xf numFmtId="166" fontId="2" fillId="8" borderId="38" xfId="0" applyNumberFormat="1" applyFont="1" applyFill="1" applyBorder="1" applyAlignment="1">
      <alignment horizontal="left"/>
    </xf>
    <xf numFmtId="176" fontId="0" fillId="0" borderId="0" xfId="0" applyNumberFormat="1"/>
    <xf numFmtId="0" fontId="20" fillId="12" borderId="43" xfId="3" applyNumberFormat="1" applyFont="1" applyFill="1" applyBorder="1" applyAlignment="1" applyProtection="1">
      <alignment vertical="center"/>
      <protection locked="0"/>
    </xf>
    <xf numFmtId="44" fontId="0" fillId="0" borderId="12" xfId="0" applyNumberFormat="1" applyBorder="1"/>
    <xf numFmtId="44" fontId="0" fillId="0" borderId="64" xfId="0" applyNumberFormat="1" applyBorder="1"/>
    <xf numFmtId="0" fontId="0" fillId="0" borderId="7" xfId="0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8" xfId="0" applyBorder="1" applyAlignment="1" applyProtection="1">
      <alignment horizontal="center"/>
      <protection locked="0"/>
    </xf>
    <xf numFmtId="165" fontId="0" fillId="0" borderId="7" xfId="0" applyNumberFormat="1" applyBorder="1" applyProtection="1">
      <protection locked="0"/>
    </xf>
    <xf numFmtId="165" fontId="0" fillId="0" borderId="0" xfId="0" applyNumberFormat="1" applyProtection="1">
      <protection locked="0"/>
    </xf>
    <xf numFmtId="165" fontId="0" fillId="0" borderId="8" xfId="0" applyNumberFormat="1" applyBorder="1" applyProtection="1">
      <protection locked="0"/>
    </xf>
    <xf numFmtId="44" fontId="0" fillId="19" borderId="56" xfId="0" applyNumberFormat="1" applyFill="1" applyBorder="1" applyProtection="1">
      <protection locked="0"/>
    </xf>
    <xf numFmtId="44" fontId="0" fillId="19" borderId="0" xfId="0" applyNumberFormat="1" applyFill="1" applyProtection="1">
      <protection locked="0"/>
    </xf>
    <xf numFmtId="44" fontId="0" fillId="19" borderId="39" xfId="0" applyNumberFormat="1" applyFill="1" applyBorder="1" applyProtection="1">
      <protection locked="0"/>
    </xf>
    <xf numFmtId="44" fontId="0" fillId="19" borderId="7" xfId="0" applyNumberFormat="1" applyFill="1" applyBorder="1" applyProtection="1">
      <protection locked="0"/>
    </xf>
    <xf numFmtId="44" fontId="0" fillId="19" borderId="14" xfId="0" applyNumberFormat="1" applyFill="1" applyBorder="1" applyProtection="1">
      <protection locked="0"/>
    </xf>
    <xf numFmtId="44" fontId="0" fillId="19" borderId="16" xfId="0" applyNumberFormat="1" applyFill="1" applyBorder="1" applyProtection="1">
      <protection locked="0"/>
    </xf>
    <xf numFmtId="44" fontId="0" fillId="0" borderId="54" xfId="0" applyNumberFormat="1" applyBorder="1"/>
    <xf numFmtId="44" fontId="0" fillId="19" borderId="54" xfId="0" applyNumberFormat="1" applyFill="1" applyBorder="1" applyProtection="1">
      <protection locked="0"/>
    </xf>
    <xf numFmtId="0" fontId="10" fillId="12" borderId="8" xfId="0" applyFont="1" applyFill="1" applyBorder="1" applyProtection="1">
      <protection locked="0"/>
    </xf>
    <xf numFmtId="9" fontId="10" fillId="12" borderId="23" xfId="0" applyNumberFormat="1" applyFont="1" applyFill="1" applyBorder="1" applyProtection="1">
      <protection locked="0"/>
    </xf>
    <xf numFmtId="0" fontId="10" fillId="12" borderId="11" xfId="0" applyFont="1" applyFill="1" applyBorder="1" applyProtection="1">
      <protection locked="0"/>
    </xf>
    <xf numFmtId="0" fontId="10" fillId="12" borderId="13" xfId="0" applyFont="1" applyFill="1" applyBorder="1" applyProtection="1">
      <protection locked="0"/>
    </xf>
    <xf numFmtId="0" fontId="10" fillId="12" borderId="12" xfId="0" applyFont="1" applyFill="1" applyBorder="1" applyProtection="1">
      <protection locked="0"/>
    </xf>
    <xf numFmtId="9" fontId="10" fillId="12" borderId="29" xfId="0" applyNumberFormat="1" applyFont="1" applyFill="1" applyBorder="1" applyProtection="1">
      <protection locked="0"/>
    </xf>
    <xf numFmtId="165" fontId="10" fillId="12" borderId="0" xfId="2" applyNumberFormat="1" applyFont="1" applyFill="1" applyBorder="1" applyProtection="1">
      <protection locked="0"/>
    </xf>
    <xf numFmtId="165" fontId="10" fillId="12" borderId="8" xfId="2" applyNumberFormat="1" applyFont="1" applyFill="1" applyBorder="1" applyProtection="1">
      <protection locked="0"/>
    </xf>
    <xf numFmtId="165" fontId="10" fillId="12" borderId="13" xfId="2" applyNumberFormat="1" applyFont="1" applyFill="1" applyBorder="1" applyProtection="1">
      <protection locked="0"/>
    </xf>
    <xf numFmtId="165" fontId="10" fillId="12" borderId="12" xfId="2" applyNumberFormat="1" applyFont="1" applyFill="1" applyBorder="1" applyProtection="1">
      <protection locked="0"/>
    </xf>
    <xf numFmtId="0" fontId="25" fillId="12" borderId="7" xfId="4" applyFont="1" applyFill="1" applyBorder="1" applyAlignment="1">
      <alignment horizontal="left"/>
    </xf>
    <xf numFmtId="0" fontId="5" fillId="0" borderId="0" xfId="0" applyFont="1" applyProtection="1">
      <protection locked="0"/>
    </xf>
    <xf numFmtId="44" fontId="0" fillId="0" borderId="41" xfId="2" applyFont="1" applyBorder="1"/>
    <xf numFmtId="44" fontId="0" fillId="0" borderId="56" xfId="2" applyFont="1" applyBorder="1"/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22" fillId="13" borderId="4" xfId="0" applyFont="1" applyFill="1" applyBorder="1"/>
    <xf numFmtId="0" fontId="22" fillId="13" borderId="5" xfId="0" applyFont="1" applyFill="1" applyBorder="1"/>
    <xf numFmtId="164" fontId="0" fillId="0" borderId="8" xfId="1" applyNumberFormat="1" applyFont="1" applyBorder="1"/>
    <xf numFmtId="0" fontId="29" fillId="0" borderId="0" xfId="0" applyFont="1"/>
    <xf numFmtId="10" fontId="29" fillId="0" borderId="0" xfId="3" applyNumberFormat="1" applyFont="1" applyFill="1" applyBorder="1" applyAlignment="1">
      <alignment horizontal="left"/>
    </xf>
    <xf numFmtId="2" fontId="0" fillId="0" borderId="8" xfId="0" applyNumberFormat="1" applyBorder="1"/>
    <xf numFmtId="0" fontId="29" fillId="0" borderId="1" xfId="0" applyFont="1" applyBorder="1" applyAlignment="1">
      <alignment vertical="center"/>
    </xf>
    <xf numFmtId="10" fontId="29" fillId="0" borderId="2" xfId="3" applyNumberFormat="1" applyFont="1" applyFill="1" applyBorder="1" applyAlignment="1">
      <alignment horizontal="left" vertical="center"/>
    </xf>
    <xf numFmtId="0" fontId="29" fillId="0" borderId="46" xfId="0" applyFont="1" applyBorder="1" applyAlignment="1">
      <alignment vertical="center"/>
    </xf>
    <xf numFmtId="10" fontId="29" fillId="0" borderId="27" xfId="3" applyNumberFormat="1" applyFont="1" applyFill="1" applyBorder="1" applyAlignment="1">
      <alignment horizontal="left" vertical="center"/>
    </xf>
    <xf numFmtId="0" fontId="32" fillId="0" borderId="0" xfId="0" applyFont="1" applyAlignment="1">
      <alignment horizontal="left" vertical="center" wrapText="1" indent="1"/>
    </xf>
    <xf numFmtId="0" fontId="20" fillId="12" borderId="68" xfId="0" applyFont="1" applyFill="1" applyBorder="1"/>
    <xf numFmtId="0" fontId="0" fillId="0" borderId="65" xfId="0" applyBorder="1" applyAlignment="1">
      <alignment horizontal="center"/>
    </xf>
    <xf numFmtId="0" fontId="0" fillId="0" borderId="66" xfId="0" applyBorder="1" applyAlignment="1">
      <alignment horizontal="center"/>
    </xf>
    <xf numFmtId="165" fontId="0" fillId="0" borderId="0" xfId="2" applyNumberFormat="1" applyFont="1" applyAlignment="1"/>
    <xf numFmtId="165" fontId="0" fillId="0" borderId="8" xfId="2" applyNumberFormat="1" applyFont="1" applyBorder="1" applyAlignment="1"/>
    <xf numFmtId="165" fontId="0" fillId="0" borderId="12" xfId="2" applyNumberFormat="1" applyFont="1" applyBorder="1" applyAlignment="1"/>
    <xf numFmtId="44" fontId="1" fillId="0" borderId="10" xfId="2" applyFont="1" applyFill="1" applyBorder="1" applyAlignment="1">
      <alignment horizontal="center"/>
    </xf>
    <xf numFmtId="0" fontId="0" fillId="0" borderId="10" xfId="3" applyNumberFormat="1" applyFont="1" applyBorder="1"/>
    <xf numFmtId="0" fontId="0" fillId="0" borderId="0" xfId="3" applyNumberFormat="1" applyFont="1" applyBorder="1"/>
    <xf numFmtId="0" fontId="4" fillId="0" borderId="25" xfId="0" applyFont="1" applyBorder="1"/>
    <xf numFmtId="10" fontId="4" fillId="0" borderId="27" xfId="3" applyNumberFormat="1" applyFont="1" applyBorder="1" applyAlignment="1">
      <alignment horizontal="center"/>
    </xf>
    <xf numFmtId="165" fontId="20" fillId="12" borderId="41" xfId="2" applyNumberFormat="1" applyFont="1" applyFill="1" applyBorder="1" applyAlignment="1" applyProtection="1">
      <alignment vertical="center"/>
      <protection locked="0"/>
    </xf>
    <xf numFmtId="0" fontId="10" fillId="12" borderId="23" xfId="0" applyFont="1" applyFill="1" applyBorder="1" applyAlignment="1" applyProtection="1">
      <alignment horizontal="center"/>
      <protection locked="0"/>
    </xf>
    <xf numFmtId="0" fontId="10" fillId="12" borderId="29" xfId="0" applyFont="1" applyFill="1" applyBorder="1" applyAlignment="1" applyProtection="1">
      <alignment horizontal="center"/>
      <protection locked="0"/>
    </xf>
    <xf numFmtId="0" fontId="2" fillId="2" borderId="18" xfId="0" applyFont="1" applyFill="1" applyBorder="1" applyAlignment="1">
      <alignment horizontal="center"/>
    </xf>
    <xf numFmtId="0" fontId="2" fillId="2" borderId="19" xfId="0" applyFont="1" applyFill="1" applyBorder="1" applyAlignment="1">
      <alignment horizontal="center"/>
    </xf>
    <xf numFmtId="0" fontId="2" fillId="2" borderId="20" xfId="0" applyFont="1" applyFill="1" applyBorder="1" applyAlignment="1">
      <alignment horizontal="center"/>
    </xf>
    <xf numFmtId="0" fontId="4" fillId="0" borderId="13" xfId="0" applyFont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0" fontId="28" fillId="13" borderId="7" xfId="0" applyFont="1" applyFill="1" applyBorder="1" applyAlignment="1">
      <alignment horizontal="center"/>
    </xf>
    <xf numFmtId="0" fontId="28" fillId="13" borderId="0" xfId="0" applyFont="1" applyFill="1" applyAlignment="1">
      <alignment horizontal="center"/>
    </xf>
    <xf numFmtId="0" fontId="28" fillId="13" borderId="8" xfId="0" applyFont="1" applyFill="1" applyBorder="1" applyAlignment="1">
      <alignment horizontal="center"/>
    </xf>
    <xf numFmtId="0" fontId="22" fillId="13" borderId="7" xfId="0" applyFont="1" applyFill="1" applyBorder="1" applyAlignment="1">
      <alignment horizontal="center"/>
    </xf>
    <xf numFmtId="0" fontId="22" fillId="13" borderId="0" xfId="0" applyFont="1" applyFill="1" applyAlignment="1">
      <alignment horizontal="center"/>
    </xf>
    <xf numFmtId="0" fontId="22" fillId="13" borderId="8" xfId="0" applyFont="1" applyFill="1" applyBorder="1" applyAlignment="1">
      <alignment horizontal="center"/>
    </xf>
    <xf numFmtId="176" fontId="22" fillId="13" borderId="11" xfId="0" applyNumberFormat="1" applyFont="1" applyFill="1" applyBorder="1" applyAlignment="1">
      <alignment horizontal="center"/>
    </xf>
    <xf numFmtId="176" fontId="22" fillId="13" borderId="13" xfId="0" applyNumberFormat="1" applyFont="1" applyFill="1" applyBorder="1" applyAlignment="1">
      <alignment horizontal="center"/>
    </xf>
    <xf numFmtId="176" fontId="22" fillId="13" borderId="12" xfId="0" applyNumberFormat="1" applyFont="1" applyFill="1" applyBorder="1" applyAlignment="1">
      <alignment horizontal="center"/>
    </xf>
    <xf numFmtId="0" fontId="4" fillId="20" borderId="63" xfId="0" applyFont="1" applyFill="1" applyBorder="1" applyAlignment="1">
      <alignment horizontal="center"/>
    </xf>
    <xf numFmtId="0" fontId="4" fillId="20" borderId="49" xfId="0" applyFont="1" applyFill="1" applyBorder="1" applyAlignment="1">
      <alignment horizontal="center"/>
    </xf>
    <xf numFmtId="0" fontId="20" fillId="12" borderId="4" xfId="0" applyFont="1" applyFill="1" applyBorder="1" applyAlignment="1" applyProtection="1">
      <alignment horizontal="center"/>
      <protection locked="0"/>
    </xf>
    <xf numFmtId="0" fontId="20" fillId="12" borderId="6" xfId="0" applyFont="1" applyFill="1" applyBorder="1" applyAlignment="1" applyProtection="1">
      <alignment horizontal="center"/>
      <protection locked="0"/>
    </xf>
    <xf numFmtId="0" fontId="20" fillId="12" borderId="7" xfId="0" applyFont="1" applyFill="1" applyBorder="1" applyAlignment="1" applyProtection="1">
      <alignment horizontal="center"/>
      <protection locked="0"/>
    </xf>
    <xf numFmtId="0" fontId="20" fillId="12" borderId="8" xfId="0" applyFont="1" applyFill="1" applyBorder="1" applyAlignment="1" applyProtection="1">
      <alignment horizontal="center"/>
      <protection locked="0"/>
    </xf>
    <xf numFmtId="176" fontId="20" fillId="12" borderId="14" xfId="0" applyNumberFormat="1" applyFont="1" applyFill="1" applyBorder="1" applyAlignment="1" applyProtection="1">
      <alignment horizontal="center"/>
      <protection locked="0"/>
    </xf>
    <xf numFmtId="176" fontId="20" fillId="12" borderId="15" xfId="0" applyNumberFormat="1" applyFont="1" applyFill="1" applyBorder="1" applyAlignment="1" applyProtection="1">
      <alignment horizontal="center"/>
      <protection locked="0"/>
    </xf>
    <xf numFmtId="0" fontId="12" fillId="2" borderId="4" xfId="0" applyFont="1" applyFill="1" applyBorder="1" applyAlignment="1">
      <alignment horizontal="center" vertical="center"/>
    </xf>
    <xf numFmtId="0" fontId="12" fillId="2" borderId="5" xfId="0" applyFont="1" applyFill="1" applyBorder="1" applyAlignment="1">
      <alignment horizontal="center" vertical="center"/>
    </xf>
    <xf numFmtId="0" fontId="12" fillId="2" borderId="6" xfId="0" applyFont="1" applyFill="1" applyBorder="1" applyAlignment="1">
      <alignment horizontal="center" vertical="center"/>
    </xf>
    <xf numFmtId="0" fontId="12" fillId="2" borderId="11" xfId="0" applyFont="1" applyFill="1" applyBorder="1" applyAlignment="1">
      <alignment horizontal="center" vertical="center"/>
    </xf>
    <xf numFmtId="0" fontId="12" fillId="2" borderId="13" xfId="0" applyFont="1" applyFill="1" applyBorder="1" applyAlignment="1">
      <alignment horizontal="center" vertical="center"/>
    </xf>
    <xf numFmtId="0" fontId="12" fillId="2" borderId="12" xfId="0" applyFont="1" applyFill="1" applyBorder="1" applyAlignment="1">
      <alignment horizontal="center" vertical="center"/>
    </xf>
    <xf numFmtId="0" fontId="5" fillId="8" borderId="5" xfId="0" applyFont="1" applyFill="1" applyBorder="1" applyAlignment="1">
      <alignment horizontal="center"/>
    </xf>
    <xf numFmtId="0" fontId="5" fillId="8" borderId="6" xfId="0" applyFont="1" applyFill="1" applyBorder="1" applyAlignment="1">
      <alignment horizontal="center"/>
    </xf>
    <xf numFmtId="0" fontId="2" fillId="2" borderId="63" xfId="0" applyFont="1" applyFill="1" applyBorder="1" applyAlignment="1">
      <alignment horizontal="center"/>
    </xf>
    <xf numFmtId="0" fontId="2" fillId="2" borderId="33" xfId="0" applyFont="1" applyFill="1" applyBorder="1" applyAlignment="1">
      <alignment horizontal="center"/>
    </xf>
    <xf numFmtId="0" fontId="2" fillId="2" borderId="61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2" fillId="2" borderId="6" xfId="0" applyFont="1" applyFill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5" xfId="0" applyFont="1" applyBorder="1" applyAlignment="1">
      <alignment horizontal="center"/>
    </xf>
    <xf numFmtId="0" fontId="9" fillId="0" borderId="6" xfId="0" applyFont="1" applyBorder="1" applyAlignment="1">
      <alignment horizontal="center"/>
    </xf>
    <xf numFmtId="165" fontId="0" fillId="0" borderId="11" xfId="2" applyNumberFormat="1" applyFont="1" applyBorder="1" applyAlignment="1">
      <alignment horizontal="center"/>
    </xf>
    <xf numFmtId="165" fontId="0" fillId="0" borderId="13" xfId="2" applyNumberFormat="1" applyFont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5" fillId="9" borderId="4" xfId="0" applyFont="1" applyFill="1" applyBorder="1" applyAlignment="1">
      <alignment horizontal="center"/>
    </xf>
    <xf numFmtId="0" fontId="5" fillId="9" borderId="6" xfId="0" applyFont="1" applyFill="1" applyBorder="1" applyAlignment="1">
      <alignment horizontal="center"/>
    </xf>
  </cellXfs>
  <cellStyles count="7">
    <cellStyle name="Comma" xfId="1" builtinId="3"/>
    <cellStyle name="Comma 3" xfId="5" xr:uid="{D67F9E2B-00BE-4887-84E3-312488AE1E40}"/>
    <cellStyle name="Currency" xfId="2" builtinId="4"/>
    <cellStyle name="Currency 2" xfId="6" xr:uid="{1799DF95-772E-4FEA-A4F3-816B0F9A2841}"/>
    <cellStyle name="Normal" xfId="0" builtinId="0"/>
    <cellStyle name="Normal 2" xfId="4" xr:uid="{9398201E-3AD9-4083-B80F-EFD0F240C3F0}"/>
    <cellStyle name="Percent" xfId="3" builtinId="5"/>
  </cellStyles>
  <dxfs count="0"/>
  <tableStyles count="0" defaultTableStyle="TableStyleMedium2" defaultPivotStyle="PivotStyleLight16"/>
  <colors>
    <mruColors>
      <color rgb="FF254744"/>
      <color rgb="FFB4C4C1"/>
      <color rgb="FFABBDBA"/>
      <color rgb="FF9BB0AD"/>
      <color rgb="FF55AFCF"/>
      <color rgb="FF698CE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'Tax Credits'!$E$19" lockText="1" noThreeD="1"/>
</file>

<file path=xl/ctrlProps/ctrlProp3.xml><?xml version="1.0" encoding="utf-8"?>
<formControlPr xmlns="http://schemas.microsoft.com/office/spreadsheetml/2009/9/main" objectType="CheckBox" fmlaLink="'Tax Credits'!$E$20" lockText="1" noThreeD="1"/>
</file>

<file path=xl/ctrlProps/ctrlProp4.xml><?xml version="1.0" encoding="utf-8"?>
<formControlPr xmlns="http://schemas.microsoft.com/office/spreadsheetml/2009/9/main" objectType="CheckBox" fmlaLink="'Tax Credits'!$E$21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266700</xdr:colOff>
          <xdr:row>2</xdr:row>
          <xdr:rowOff>88900</xdr:rowOff>
        </xdr:from>
        <xdr:to>
          <xdr:col>19</xdr:col>
          <xdr:colOff>762000</xdr:colOff>
          <xdr:row>3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 charset="0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90078</xdr:colOff>
      <xdr:row>1</xdr:row>
      <xdr:rowOff>123264</xdr:rowOff>
    </xdr:from>
    <xdr:to>
      <xdr:col>11</xdr:col>
      <xdr:colOff>44825</xdr:colOff>
      <xdr:row>2</xdr:row>
      <xdr:rowOff>11206</xdr:rowOff>
    </xdr:to>
    <xdr:pic>
      <xdr:nvPicPr>
        <xdr:cNvPr id="2" name="x_Picture 4" descr="A black background with white text&#10;&#10;AI-generated content may be incorrect.">
          <a:extLst>
            <a:ext uri="{FF2B5EF4-FFF2-40B4-BE49-F238E27FC236}">
              <a16:creationId xmlns:a16="http://schemas.microsoft.com/office/drawing/2014/main" id="{7C448ACF-4834-6F2B-DE99-0BEC0F758F1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24813" y="403411"/>
          <a:ext cx="3092394" cy="3810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279400</xdr:colOff>
          <xdr:row>35</xdr:row>
          <xdr:rowOff>25400</xdr:rowOff>
        </xdr:from>
        <xdr:to>
          <xdr:col>21</xdr:col>
          <xdr:colOff>635000</xdr:colOff>
          <xdr:row>36</xdr:row>
          <xdr:rowOff>38100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292100</xdr:colOff>
          <xdr:row>35</xdr:row>
          <xdr:rowOff>215900</xdr:rowOff>
        </xdr:from>
        <xdr:to>
          <xdr:col>21</xdr:col>
          <xdr:colOff>635000</xdr:colOff>
          <xdr:row>37</xdr:row>
          <xdr:rowOff>12700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279400</xdr:colOff>
          <xdr:row>36</xdr:row>
          <xdr:rowOff>203200</xdr:rowOff>
        </xdr:from>
        <xdr:to>
          <xdr:col>21</xdr:col>
          <xdr:colOff>635000</xdr:colOff>
          <xdr:row>38</xdr:row>
          <xdr:rowOff>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8B3B62-0F8C-43D3-B445-9520E2908978}">
  <sheetPr codeName="Sheet1">
    <tabColor theme="4" tint="0.79998168889431442"/>
    <pageSetUpPr fitToPage="1"/>
  </sheetPr>
  <dimension ref="A1:AD59"/>
  <sheetViews>
    <sheetView showGridLines="0" topLeftCell="A17" zoomScale="118" zoomScaleNormal="85" workbookViewId="0">
      <selection activeCell="T21" sqref="T21"/>
    </sheetView>
  </sheetViews>
  <sheetFormatPr baseColWidth="10" defaultColWidth="8.83203125" defaultRowHeight="15" outlineLevelRow="1" outlineLevelCol="1"/>
  <cols>
    <col min="1" max="1" width="6.6640625" customWidth="1"/>
    <col min="2" max="2" width="3.33203125" customWidth="1"/>
    <col min="3" max="3" width="28.33203125" customWidth="1" outlineLevel="1"/>
    <col min="4" max="4" width="15.6640625" customWidth="1" outlineLevel="1"/>
    <col min="5" max="5" width="6.5" customWidth="1"/>
    <col min="6" max="6" width="23.83203125" customWidth="1"/>
    <col min="7" max="7" width="16.5" customWidth="1"/>
    <col min="8" max="8" width="3.5" customWidth="1"/>
    <col min="9" max="9" width="4.1640625" customWidth="1"/>
    <col min="10" max="10" width="23.83203125" bestFit="1" customWidth="1"/>
    <col min="11" max="12" width="15.5" customWidth="1"/>
    <col min="13" max="13" width="17" bestFit="1" customWidth="1"/>
    <col min="14" max="18" width="15.5" customWidth="1"/>
    <col min="19" max="19" width="30.5" customWidth="1" outlineLevel="1"/>
    <col min="20" max="20" width="17.83203125" customWidth="1" outlineLevel="1"/>
    <col min="21" max="21" width="15.83203125" customWidth="1" outlineLevel="1"/>
    <col min="22" max="22" width="12.83203125" customWidth="1" outlineLevel="1"/>
    <col min="23" max="23" width="12.5" bestFit="1" customWidth="1"/>
    <col min="24" max="24" width="13.6640625" bestFit="1" customWidth="1"/>
    <col min="25" max="25" width="15" bestFit="1" customWidth="1"/>
    <col min="26" max="30" width="10" bestFit="1" customWidth="1"/>
  </cols>
  <sheetData>
    <row r="1" spans="1:21" ht="23" thickBot="1">
      <c r="D1" s="430"/>
      <c r="E1" s="430"/>
      <c r="F1" t="s">
        <v>243</v>
      </c>
    </row>
    <row r="2" spans="1:21" ht="39" customHeight="1" thickBot="1">
      <c r="C2" s="399"/>
      <c r="D2" s="400"/>
      <c r="E2" s="400"/>
      <c r="F2" s="400"/>
      <c r="G2" s="400"/>
      <c r="H2" s="190"/>
      <c r="I2" s="190"/>
      <c r="J2" s="190"/>
      <c r="K2" s="190"/>
      <c r="L2" s="190"/>
      <c r="M2" s="190"/>
      <c r="N2" s="190"/>
      <c r="O2" s="190"/>
      <c r="P2" s="190"/>
      <c r="Q2" s="191"/>
      <c r="S2" s="424" t="s">
        <v>120</v>
      </c>
      <c r="T2" s="426"/>
    </row>
    <row r="3" spans="1:21" ht="30.75" customHeight="1">
      <c r="A3" s="1"/>
      <c r="B3" s="1"/>
      <c r="C3" s="431" t="str">
        <f>S6</f>
        <v>Knox Abbot 3 Tenant Bldg</v>
      </c>
      <c r="D3" s="432"/>
      <c r="E3" s="432"/>
      <c r="F3" s="432"/>
      <c r="G3" s="432"/>
      <c r="H3" s="432"/>
      <c r="I3" s="432"/>
      <c r="J3" s="432"/>
      <c r="K3" s="432"/>
      <c r="L3" s="432"/>
      <c r="M3" s="432"/>
      <c r="N3" s="432"/>
      <c r="O3" s="432"/>
      <c r="P3" s="432"/>
      <c r="Q3" s="433"/>
      <c r="S3" s="7"/>
      <c r="T3" s="10"/>
    </row>
    <row r="4" spans="1:21" ht="18.75" customHeight="1" thickBot="1">
      <c r="A4" s="1"/>
      <c r="B4" s="1"/>
      <c r="C4" s="434" t="str">
        <f>S7</f>
        <v>Columbia, SC</v>
      </c>
      <c r="D4" s="435"/>
      <c r="E4" s="435"/>
      <c r="F4" s="435"/>
      <c r="G4" s="435"/>
      <c r="H4" s="435"/>
      <c r="I4" s="435"/>
      <c r="J4" s="435"/>
      <c r="K4" s="435"/>
      <c r="L4" s="435"/>
      <c r="M4" s="435"/>
      <c r="N4" s="435"/>
      <c r="O4" s="435"/>
      <c r="P4" s="435"/>
      <c r="Q4" s="436"/>
      <c r="S4" s="7"/>
      <c r="T4" s="10"/>
    </row>
    <row r="5" spans="1:21" ht="18.75" customHeight="1" thickBot="1">
      <c r="A5" s="1"/>
      <c r="B5" s="1"/>
      <c r="C5" s="434" t="str">
        <f>S8</f>
        <v>Build To Suit</v>
      </c>
      <c r="D5" s="435"/>
      <c r="E5" s="435"/>
      <c r="F5" s="435"/>
      <c r="G5" s="435"/>
      <c r="H5" s="435"/>
      <c r="I5" s="435"/>
      <c r="J5" s="435"/>
      <c r="K5" s="435"/>
      <c r="L5" s="435"/>
      <c r="M5" s="435"/>
      <c r="N5" s="435"/>
      <c r="O5" s="435"/>
      <c r="P5" s="435"/>
      <c r="Q5" s="436"/>
      <c r="S5" s="424" t="s">
        <v>110</v>
      </c>
      <c r="T5" s="426"/>
    </row>
    <row r="6" spans="1:21" ht="19.5" customHeight="1" thickBot="1">
      <c r="C6" s="437">
        <f>S9</f>
        <v>5500</v>
      </c>
      <c r="D6" s="438"/>
      <c r="E6" s="438"/>
      <c r="F6" s="438"/>
      <c r="G6" s="438"/>
      <c r="H6" s="438"/>
      <c r="I6" s="438"/>
      <c r="J6" s="438"/>
      <c r="K6" s="438"/>
      <c r="L6" s="438"/>
      <c r="M6" s="438"/>
      <c r="N6" s="438"/>
      <c r="O6" s="438"/>
      <c r="P6" s="438"/>
      <c r="Q6" s="439"/>
      <c r="S6" s="442" t="s">
        <v>262</v>
      </c>
      <c r="T6" s="443"/>
    </row>
    <row r="7" spans="1:21" ht="20" thickBot="1">
      <c r="D7" s="3"/>
      <c r="E7" s="4"/>
      <c r="S7" s="444" t="s">
        <v>0</v>
      </c>
      <c r="T7" s="445"/>
    </row>
    <row r="8" spans="1:21" ht="16" thickBot="1">
      <c r="C8" s="428" t="s">
        <v>1</v>
      </c>
      <c r="D8" s="429"/>
      <c r="E8" s="6"/>
      <c r="F8" s="428" t="s">
        <v>3</v>
      </c>
      <c r="G8" s="429"/>
      <c r="J8" s="424" t="s">
        <v>200</v>
      </c>
      <c r="K8" s="425"/>
      <c r="L8" s="425"/>
      <c r="M8" s="425"/>
      <c r="N8" s="425"/>
      <c r="O8" s="425"/>
      <c r="P8" s="425"/>
      <c r="Q8" s="426"/>
      <c r="S8" s="444" t="s">
        <v>254</v>
      </c>
      <c r="T8" s="445"/>
    </row>
    <row r="9" spans="1:21" ht="17" customHeight="1">
      <c r="C9" s="7" t="str">
        <f>S11</f>
        <v>Acquisition Cost</v>
      </c>
      <c r="D9" s="166">
        <f>T11</f>
        <v>1200000</v>
      </c>
      <c r="F9" s="9" t="s">
        <v>6</v>
      </c>
      <c r="G9" s="222">
        <f>Proforma!F9</f>
        <v>324000</v>
      </c>
      <c r="J9" s="195" t="s">
        <v>33</v>
      </c>
      <c r="K9" s="36">
        <f>+L9-0.001</f>
        <v>6.2E-2</v>
      </c>
      <c r="L9" s="36">
        <f>+M9-0.001</f>
        <v>6.3E-2</v>
      </c>
      <c r="M9" s="36">
        <f>+N9-0.001</f>
        <v>6.4000000000000001E-2</v>
      </c>
      <c r="N9" s="172">
        <f>$T$30</f>
        <v>6.5000000000000002E-2</v>
      </c>
      <c r="O9" s="37">
        <f>+N9+0.001</f>
        <v>6.6000000000000003E-2</v>
      </c>
      <c r="P9" s="37">
        <f>+O9+0.001</f>
        <v>6.7000000000000004E-2</v>
      </c>
      <c r="Q9" s="38">
        <f>+P9+0.001</f>
        <v>6.8000000000000005E-2</v>
      </c>
      <c r="S9" s="446">
        <v>5500</v>
      </c>
      <c r="T9" s="447"/>
      <c r="U9" s="365"/>
    </row>
    <row r="10" spans="1:21" ht="17" customHeight="1">
      <c r="C10" s="7" t="s">
        <v>128</v>
      </c>
      <c r="D10" s="166">
        <f>Costs!F43</f>
        <v>0</v>
      </c>
      <c r="E10" s="12"/>
      <c r="F10" s="7" t="s">
        <v>160</v>
      </c>
      <c r="G10" s="8">
        <f>-Proforma!F10</f>
        <v>0</v>
      </c>
      <c r="J10" s="35" t="s">
        <v>95</v>
      </c>
      <c r="K10" s="224">
        <f t="shared" ref="K10:Q10" si="0">$G$21-K9</f>
        <v>9.6866120637564695E-2</v>
      </c>
      <c r="L10" s="224">
        <f t="shared" si="0"/>
        <v>9.5866120637564695E-2</v>
      </c>
      <c r="M10" s="224">
        <f t="shared" si="0"/>
        <v>9.4866120637564694E-2</v>
      </c>
      <c r="N10" s="255">
        <f t="shared" si="0"/>
        <v>9.3866120637564693E-2</v>
      </c>
      <c r="O10" s="225">
        <f t="shared" si="0"/>
        <v>9.2866120637564692E-2</v>
      </c>
      <c r="P10" s="225">
        <f t="shared" si="0"/>
        <v>9.1866120637564691E-2</v>
      </c>
      <c r="Q10" s="256">
        <f t="shared" si="0"/>
        <v>9.086612063756469E-2</v>
      </c>
      <c r="S10" s="7" t="s">
        <v>117</v>
      </c>
      <c r="T10" s="197">
        <v>46023</v>
      </c>
    </row>
    <row r="11" spans="1:21" ht="17" customHeight="1">
      <c r="C11" s="7" t="s">
        <v>146</v>
      </c>
      <c r="D11" s="166">
        <f>Costs!F17</f>
        <v>0</v>
      </c>
      <c r="E11" s="12"/>
      <c r="F11" s="7" t="s">
        <v>165</v>
      </c>
      <c r="G11" s="19">
        <f>Proforma!F12</f>
        <v>0</v>
      </c>
      <c r="J11" s="35" t="s">
        <v>64</v>
      </c>
      <c r="K11" s="162">
        <f>Proforma!$I$22/K9</f>
        <v>5465198.7199999997</v>
      </c>
      <c r="L11" s="162">
        <f>Proforma!$I$22/L9</f>
        <v>5378449.533968254</v>
      </c>
      <c r="M11" s="162">
        <f>Proforma!$I$22/M9</f>
        <v>5294411.26</v>
      </c>
      <c r="N11" s="40">
        <f>Proforma!$I$22/N9</f>
        <v>5212958.7790769227</v>
      </c>
      <c r="O11" s="163">
        <f>Proforma!$I$22/O9</f>
        <v>5133974.5551515147</v>
      </c>
      <c r="P11" s="163">
        <f>Proforma!$I$22/P9</f>
        <v>5057348.0692537306</v>
      </c>
      <c r="Q11" s="41">
        <f>Proforma!$I$22/Q9</f>
        <v>4982975.3035294116</v>
      </c>
      <c r="S11" s="24" t="s">
        <v>4</v>
      </c>
      <c r="T11" s="336">
        <v>1200000</v>
      </c>
    </row>
    <row r="12" spans="1:21" ht="17" customHeight="1">
      <c r="C12" s="24" t="s">
        <v>129</v>
      </c>
      <c r="D12" s="19">
        <f>O34</f>
        <v>275000</v>
      </c>
      <c r="E12" s="12"/>
      <c r="F12" s="7" t="s">
        <v>203</v>
      </c>
      <c r="G12" s="8">
        <f>SUM(G9:G11)</f>
        <v>324000</v>
      </c>
      <c r="J12" s="252">
        <f>T29</f>
        <v>0.04</v>
      </c>
      <c r="K12" s="162">
        <f>K11*$J$12</f>
        <v>218607.94879999998</v>
      </c>
      <c r="L12" s="162">
        <f t="shared" ref="L12:Q12" si="1">L11*$J$12</f>
        <v>215137.98135873018</v>
      </c>
      <c r="M12" s="162">
        <f t="shared" si="1"/>
        <v>211776.4504</v>
      </c>
      <c r="N12" s="40">
        <f t="shared" si="1"/>
        <v>208518.35116307691</v>
      </c>
      <c r="O12" s="163">
        <f t="shared" si="1"/>
        <v>205358.98220606058</v>
      </c>
      <c r="P12" s="163">
        <f t="shared" si="1"/>
        <v>202293.92277014922</v>
      </c>
      <c r="Q12" s="41">
        <f t="shared" si="1"/>
        <v>199319.01214117647</v>
      </c>
      <c r="S12" s="440" t="s">
        <v>18</v>
      </c>
      <c r="T12" s="441"/>
    </row>
    <row r="13" spans="1:21" ht="17" customHeight="1" thickBot="1">
      <c r="C13" s="29" t="s">
        <v>16</v>
      </c>
      <c r="D13" s="30">
        <f>SUM(D9:D12)</f>
        <v>1475000</v>
      </c>
      <c r="E13" s="12"/>
      <c r="F13" s="171" t="s">
        <v>192</v>
      </c>
      <c r="G13" s="19">
        <f>-SUM(Proforma!F16:F21)</f>
        <v>-14060</v>
      </c>
      <c r="J13" s="35" t="s">
        <v>66</v>
      </c>
      <c r="K13" s="162">
        <f>Proforma!F47</f>
        <v>1427617.16022146</v>
      </c>
      <c r="L13" s="162">
        <f>Proforma!F47</f>
        <v>1427617.16022146</v>
      </c>
      <c r="M13" s="162">
        <f>Proforma!F47</f>
        <v>1427617.16022146</v>
      </c>
      <c r="N13" s="40">
        <f>Proforma!F47</f>
        <v>1427617.16022146</v>
      </c>
      <c r="O13" s="163">
        <f>Proforma!F47</f>
        <v>1427617.16022146</v>
      </c>
      <c r="P13" s="163">
        <f>Proforma!F47</f>
        <v>1427617.16022146</v>
      </c>
      <c r="Q13" s="41">
        <f>Proforma!F47</f>
        <v>1427617.16022146</v>
      </c>
      <c r="S13" s="35" t="s">
        <v>111</v>
      </c>
      <c r="T13" s="199">
        <v>0</v>
      </c>
    </row>
    <row r="14" spans="1:21" ht="17" customHeight="1">
      <c r="C14" s="428" t="s">
        <v>18</v>
      </c>
      <c r="D14" s="429"/>
      <c r="E14" s="12"/>
      <c r="F14" s="7" t="s">
        <v>14</v>
      </c>
      <c r="G14" s="8">
        <f>G12+G13</f>
        <v>309940</v>
      </c>
      <c r="J14" s="35" t="s">
        <v>67</v>
      </c>
      <c r="K14" s="162">
        <f>K11-K12-K13</f>
        <v>3818973.6109785391</v>
      </c>
      <c r="L14" s="162">
        <f t="shared" ref="L14:Q14" si="2">L11-L12-L13</f>
        <v>3735694.3923880635</v>
      </c>
      <c r="M14" s="162">
        <f t="shared" si="2"/>
        <v>3655017.6493785391</v>
      </c>
      <c r="N14" s="40">
        <f t="shared" si="2"/>
        <v>3576823.2676923852</v>
      </c>
      <c r="O14" s="163">
        <f t="shared" si="2"/>
        <v>3500998.4127239939</v>
      </c>
      <c r="P14" s="163">
        <f t="shared" si="2"/>
        <v>3427436.9862621212</v>
      </c>
      <c r="Q14" s="41">
        <f t="shared" si="2"/>
        <v>3356039.1311667748</v>
      </c>
      <c r="S14" s="7" t="s">
        <v>145</v>
      </c>
      <c r="T14" s="421">
        <v>20000</v>
      </c>
    </row>
    <row r="15" spans="1:21" ht="17" customHeight="1">
      <c r="C15" s="167">
        <f>T13</f>
        <v>0</v>
      </c>
      <c r="D15" s="168">
        <f>C15*D9</f>
        <v>0</v>
      </c>
      <c r="F15" s="7" t="s">
        <v>53</v>
      </c>
      <c r="G15" s="8">
        <f>-Proforma!F23</f>
        <v>-113010.63894662136</v>
      </c>
      <c r="J15" s="35" t="s">
        <v>130</v>
      </c>
      <c r="K15" s="162">
        <f t="shared" ref="K15:Q15" si="3">$G$30</f>
        <v>611835.92580919713</v>
      </c>
      <c r="L15" s="162">
        <f t="shared" si="3"/>
        <v>611835.92580919713</v>
      </c>
      <c r="M15" s="162">
        <f t="shared" si="3"/>
        <v>611835.92580919713</v>
      </c>
      <c r="N15" s="40">
        <f t="shared" si="3"/>
        <v>611835.92580919713</v>
      </c>
      <c r="O15" s="163">
        <f t="shared" si="3"/>
        <v>611835.92580919713</v>
      </c>
      <c r="P15" s="163">
        <f t="shared" si="3"/>
        <v>611835.92580919713</v>
      </c>
      <c r="Q15" s="41">
        <f t="shared" si="3"/>
        <v>611835.92580919713</v>
      </c>
      <c r="S15" s="7" t="s">
        <v>25</v>
      </c>
      <c r="T15" s="421">
        <v>100000</v>
      </c>
    </row>
    <row r="16" spans="1:21" ht="17" customHeight="1">
      <c r="C16" s="7" t="s">
        <v>145</v>
      </c>
      <c r="D16" s="168">
        <f>T14</f>
        <v>20000</v>
      </c>
      <c r="E16" s="12"/>
      <c r="F16" s="7"/>
      <c r="G16" s="10"/>
      <c r="J16" s="226"/>
      <c r="K16" s="227"/>
      <c r="L16" s="227"/>
      <c r="M16" s="227"/>
      <c r="N16" s="228"/>
      <c r="O16" s="229"/>
      <c r="P16" s="229"/>
      <c r="Q16" s="230"/>
      <c r="S16" s="7" t="s">
        <v>27</v>
      </c>
      <c r="T16" s="421">
        <v>15000</v>
      </c>
    </row>
    <row r="17" spans="3:20" ht="15.75" customHeight="1" thickBot="1">
      <c r="C17" s="7" t="s">
        <v>25</v>
      </c>
      <c r="D17" s="168">
        <f>T15</f>
        <v>100000</v>
      </c>
      <c r="E17" s="12"/>
      <c r="F17" s="7" t="s">
        <v>15</v>
      </c>
      <c r="G17" s="8">
        <f>SUM(G14:G15)</f>
        <v>196929.36105337864</v>
      </c>
      <c r="J17" s="89" t="s">
        <v>36</v>
      </c>
      <c r="K17" s="223">
        <f t="shared" ref="K17:Q17" si="4">K14-K15</f>
        <v>3207137.685169342</v>
      </c>
      <c r="L17" s="47">
        <f t="shared" si="4"/>
        <v>3123858.4665788664</v>
      </c>
      <c r="M17" s="47">
        <f t="shared" si="4"/>
        <v>3043181.7235693419</v>
      </c>
      <c r="N17" s="48">
        <f t="shared" si="4"/>
        <v>2964987.3418831881</v>
      </c>
      <c r="O17" s="49">
        <f t="shared" si="4"/>
        <v>2889162.4869147968</v>
      </c>
      <c r="P17" s="49">
        <f t="shared" si="4"/>
        <v>2815601.0604529241</v>
      </c>
      <c r="Q17" s="50">
        <f t="shared" si="4"/>
        <v>2744203.2053575777</v>
      </c>
      <c r="S17" s="7" t="s">
        <v>28</v>
      </c>
      <c r="T17" s="421">
        <v>2500</v>
      </c>
    </row>
    <row r="18" spans="3:20" ht="17" customHeight="1" thickBot="1">
      <c r="C18" s="7" t="s">
        <v>26</v>
      </c>
      <c r="D18" s="206">
        <v>110898.29</v>
      </c>
      <c r="E18" s="2"/>
      <c r="F18" s="7" t="s">
        <v>17</v>
      </c>
      <c r="G18" s="404">
        <f>G14/G15*-1</f>
        <v>2.7425736451803875</v>
      </c>
      <c r="J18" s="234" t="s">
        <v>61</v>
      </c>
      <c r="K18" s="259">
        <f t="shared" ref="K18" si="5">SUM(K15:K17)/K15</f>
        <v>6.241826362071941</v>
      </c>
      <c r="L18" s="259">
        <f t="shared" ref="L18" si="6">SUM(L15:L17)/L15</f>
        <v>6.1057127161131284</v>
      </c>
      <c r="M18" s="259">
        <f t="shared" ref="M18" si="7">SUM(M15:M17)/M15</f>
        <v>5.9738526215905265</v>
      </c>
      <c r="N18" s="260">
        <f t="shared" ref="N18" si="8">SUM(N15:N17)/N15</f>
        <v>5.8460497607455437</v>
      </c>
      <c r="O18" s="261">
        <f t="shared" ref="O18" si="9">SUM(O15:O17)/O15</f>
        <v>5.7221197138655615</v>
      </c>
      <c r="P18" s="261">
        <f t="shared" ref="P18" si="10">SUM(P15:P17)/P15</f>
        <v>5.6018890713700555</v>
      </c>
      <c r="Q18" s="262">
        <f t="shared" ref="Q18" si="11">SUM(Q15:Q17)/Q15</f>
        <v>5.4851946242420651</v>
      </c>
      <c r="S18" s="7" t="s">
        <v>30</v>
      </c>
      <c r="T18" s="421">
        <v>15000</v>
      </c>
    </row>
    <row r="19" spans="3:20" ht="17" customHeight="1" thickBot="1">
      <c r="C19" s="7" t="s">
        <v>114</v>
      </c>
      <c r="D19" s="206">
        <v>14276.17</v>
      </c>
      <c r="F19" s="407" t="s">
        <v>227</v>
      </c>
      <c r="G19" s="408">
        <f>G17/G30</f>
        <v>0.32186629249161097</v>
      </c>
      <c r="S19" s="263" t="s">
        <v>256</v>
      </c>
      <c r="T19" s="200">
        <v>0.06</v>
      </c>
    </row>
    <row r="20" spans="3:20" ht="17" customHeight="1" thickBot="1">
      <c r="C20" s="7" t="s">
        <v>27</v>
      </c>
      <c r="D20" s="168">
        <f>T16</f>
        <v>15000</v>
      </c>
      <c r="E20" s="2"/>
      <c r="F20" s="402"/>
      <c r="G20" s="403"/>
      <c r="J20" s="424" t="s">
        <v>19</v>
      </c>
      <c r="K20" s="425"/>
      <c r="L20" s="425"/>
      <c r="M20" s="425"/>
      <c r="N20" s="425"/>
      <c r="O20" s="425"/>
      <c r="P20" s="425"/>
      <c r="Q20" s="426"/>
      <c r="S20" s="264" t="s">
        <v>96</v>
      </c>
      <c r="T20" s="198">
        <v>0</v>
      </c>
    </row>
    <row r="21" spans="3:20" ht="17" customHeight="1">
      <c r="C21" s="7" t="s">
        <v>28</v>
      </c>
      <c r="D21" s="168">
        <f>T17</f>
        <v>2500</v>
      </c>
      <c r="F21" s="405" t="s">
        <v>226</v>
      </c>
      <c r="G21" s="406">
        <f>G23/D32</f>
        <v>0.1588661206375647</v>
      </c>
      <c r="J21" s="235" t="s">
        <v>119</v>
      </c>
      <c r="K21" s="236" t="s">
        <v>20</v>
      </c>
      <c r="L21" s="237" t="s">
        <v>121</v>
      </c>
      <c r="M21" s="237" t="s">
        <v>10</v>
      </c>
      <c r="N21" s="237" t="s">
        <v>21</v>
      </c>
      <c r="O21" s="237" t="s">
        <v>22</v>
      </c>
      <c r="P21" s="237" t="s">
        <v>23</v>
      </c>
      <c r="Q21" s="238" t="s">
        <v>272</v>
      </c>
      <c r="S21" s="44" t="s">
        <v>118</v>
      </c>
      <c r="T21" s="201">
        <v>0.04</v>
      </c>
    </row>
    <row r="22" spans="3:20" ht="23.25" customHeight="1">
      <c r="C22" s="7" t="s">
        <v>29</v>
      </c>
      <c r="D22" s="168">
        <f>Costs!N17</f>
        <v>0</v>
      </c>
      <c r="F22" s="7" t="s">
        <v>37</v>
      </c>
      <c r="G22" s="401">
        <f>K34</f>
        <v>5500</v>
      </c>
      <c r="J22" s="333" t="str">
        <f>IF('Rent Roll'!G11=0,"",'Rent Roll'!G11)</f>
        <v>Swig</v>
      </c>
      <c r="K22" s="232">
        <f>IF('Rent Roll'!I11=0,"",'Rent Roll'!I11)</f>
        <v>1500</v>
      </c>
      <c r="L22" s="170">
        <f>IF('Rent Roll'!K11=0,"",'Rent Roll'!K11)</f>
        <v>68</v>
      </c>
      <c r="M22" s="417">
        <f>IF('Rent Roll'!B11="0"," ",'Rent Roll'!B11)</f>
        <v>10</v>
      </c>
      <c r="N22" s="416">
        <f>IF('Rent Roll'!L11=0,"",'Rent Roll'!L11)</f>
        <v>50</v>
      </c>
      <c r="O22" s="32">
        <f>IFERROR(N22*K22," ")</f>
        <v>75000</v>
      </c>
      <c r="P22" s="74">
        <f>IFERROR(L22*K22," ")</f>
        <v>102000</v>
      </c>
      <c r="Q22" s="158">
        <f>IF('Rent Roll'!F11="0"," ",'Rent Roll'!F11)</f>
        <v>0.02</v>
      </c>
      <c r="S22" s="440" t="s">
        <v>192</v>
      </c>
      <c r="T22" s="441"/>
    </row>
    <row r="23" spans="3:20" ht="15" customHeight="1" thickBot="1">
      <c r="C23" s="7" t="s">
        <v>30</v>
      </c>
      <c r="D23" s="168">
        <f>T18</f>
        <v>15000</v>
      </c>
      <c r="F23" s="7" t="s">
        <v>38</v>
      </c>
      <c r="G23" s="15">
        <f>P34</f>
        <v>324000</v>
      </c>
      <c r="J23" s="333" t="str">
        <f>IF('Rent Roll'!G12=0,"",'Rent Roll'!G12)</f>
        <v>Sleep Number</v>
      </c>
      <c r="K23" s="232">
        <f>IF('Rent Roll'!I12=0,"",'Rent Roll'!I12)</f>
        <v>2500</v>
      </c>
      <c r="L23" s="170">
        <f>IF('Rent Roll'!K12=0,"",'Rent Roll'!K12)</f>
        <v>48</v>
      </c>
      <c r="M23" s="418">
        <f>IF('Rent Roll'!B12="0"," ",'Rent Roll'!B12)</f>
        <v>10</v>
      </c>
      <c r="N23" s="170">
        <f>IF('Rent Roll'!L12=0,"",'Rent Roll'!L12)</f>
        <v>50</v>
      </c>
      <c r="O23" s="32">
        <f t="shared" ref="O23:O33" si="12">IFERROR(N23*K23," ")</f>
        <v>125000</v>
      </c>
      <c r="P23" s="74">
        <f t="shared" ref="P23:P33" si="13">IFERROR(L23*K23," ")</f>
        <v>120000</v>
      </c>
      <c r="Q23" s="158">
        <f>IF('Rent Roll'!F12="0"," ",'Rent Roll'!F12)</f>
        <v>0.03</v>
      </c>
      <c r="S23" s="7" t="s">
        <v>183</v>
      </c>
      <c r="T23" s="421">
        <v>0</v>
      </c>
    </row>
    <row r="24" spans="3:20" ht="17" customHeight="1" thickBot="1">
      <c r="C24" s="7" t="str">
        <f>S19</f>
        <v>Leasing Commission</v>
      </c>
      <c r="D24" s="168">
        <f>T19*'Rent Roll'!B31</f>
        <v>208338.12272178574</v>
      </c>
      <c r="F24" s="154" t="s">
        <v>94</v>
      </c>
      <c r="G24" s="155">
        <f>G21</f>
        <v>0.1588661206375647</v>
      </c>
      <c r="J24" s="333" t="str">
        <f>IF('Rent Roll'!G13=0,"",'Rent Roll'!G13)</f>
        <v>Verizon</v>
      </c>
      <c r="K24" s="232">
        <f>IF('Rent Roll'!I13=0,"",'Rent Roll'!I13)</f>
        <v>1500</v>
      </c>
      <c r="L24" s="170">
        <f>IF('Rent Roll'!K13=0,"",'Rent Roll'!K13)</f>
        <v>68</v>
      </c>
      <c r="M24" s="418">
        <f>IF('Rent Roll'!B13="0"," ",'Rent Roll'!B13)</f>
        <v>10</v>
      </c>
      <c r="N24" s="170">
        <f>IF('Rent Roll'!L13=0,"",'Rent Roll'!L13)</f>
        <v>50</v>
      </c>
      <c r="O24" s="32">
        <f t="shared" si="12"/>
        <v>75000</v>
      </c>
      <c r="P24" s="74">
        <f t="shared" si="13"/>
        <v>102000</v>
      </c>
      <c r="Q24" s="158">
        <f>IF('Rent Roll'!F13="0"," ",'Rent Roll'!F13)</f>
        <v>0.04</v>
      </c>
      <c r="S24" s="7" t="s">
        <v>168</v>
      </c>
      <c r="T24" s="421">
        <v>0</v>
      </c>
    </row>
    <row r="25" spans="3:20" ht="20.25" customHeight="1" thickBot="1">
      <c r="C25" s="7" t="str">
        <f>S20</f>
        <v>Insert Cost Category</v>
      </c>
      <c r="D25" s="168">
        <f>T20</f>
        <v>0</v>
      </c>
      <c r="J25" s="333" t="str">
        <f>IF('Rent Roll'!G14=0,"",'Rent Roll'!G14)</f>
        <v/>
      </c>
      <c r="K25" s="232" t="str">
        <f>IF('Rent Roll'!I14=0,"",'Rent Roll'!I14)</f>
        <v/>
      </c>
      <c r="L25" s="170" t="str">
        <f>IF('Rent Roll'!K14=0,"",'Rent Roll'!K14)</f>
        <v/>
      </c>
      <c r="M25" s="418" t="str">
        <f>IF('Rent Roll'!B14=0," ",'Rent Roll'!B14)</f>
        <v xml:space="preserve"> </v>
      </c>
      <c r="N25" s="170" t="str">
        <f>IF('Rent Roll'!L14=0,"",'Rent Roll'!L14)</f>
        <v/>
      </c>
      <c r="O25" s="32" t="str">
        <f t="shared" si="12"/>
        <v xml:space="preserve"> </v>
      </c>
      <c r="P25" s="74" t="str">
        <f t="shared" si="13"/>
        <v xml:space="preserve"> </v>
      </c>
      <c r="Q25" s="158" t="str">
        <f>IF('Rent Roll'!F14=0," ",'Rent Roll'!F14)</f>
        <v xml:space="preserve"> </v>
      </c>
      <c r="S25" s="7" t="s">
        <v>179</v>
      </c>
      <c r="T25" s="421">
        <v>0</v>
      </c>
    </row>
    <row r="26" spans="3:20" ht="17" customHeight="1">
      <c r="C26" s="24"/>
      <c r="D26" s="169"/>
      <c r="F26" s="428" t="s">
        <v>116</v>
      </c>
      <c r="G26" s="429"/>
      <c r="J26" s="333" t="str">
        <f>IF('Rent Roll'!G15=0,"",'Rent Roll'!G15)</f>
        <v/>
      </c>
      <c r="K26" s="232" t="str">
        <f>IF('Rent Roll'!I15=0,"",'Rent Roll'!I15)</f>
        <v/>
      </c>
      <c r="L26" s="170" t="str">
        <f>IF('Rent Roll'!K15=0,"",'Rent Roll'!K15)</f>
        <v/>
      </c>
      <c r="M26" s="418" t="str">
        <f>IF('Rent Roll'!B15=0," ",'Rent Roll'!B15)</f>
        <v xml:space="preserve"> </v>
      </c>
      <c r="N26" s="170" t="str">
        <f>IF('Rent Roll'!L15=0,"",'Rent Roll'!L15)</f>
        <v/>
      </c>
      <c r="O26" s="32" t="str">
        <f t="shared" si="12"/>
        <v xml:space="preserve"> </v>
      </c>
      <c r="P26" s="74" t="str">
        <f t="shared" si="13"/>
        <v xml:space="preserve"> </v>
      </c>
      <c r="Q26" s="158" t="str">
        <f>IF('Rent Roll'!F15=0," ",'Rent Roll'!F15)</f>
        <v xml:space="preserve"> </v>
      </c>
      <c r="S26" s="7" t="s">
        <v>194</v>
      </c>
      <c r="T26" s="200">
        <v>0</v>
      </c>
    </row>
    <row r="27" spans="3:20" ht="17" customHeight="1" thickBot="1">
      <c r="C27" s="29" t="s">
        <v>31</v>
      </c>
      <c r="D27" s="30">
        <f>SUM(D15:D26)</f>
        <v>486012.5827217857</v>
      </c>
      <c r="F27" s="7" t="s">
        <v>5</v>
      </c>
      <c r="G27" s="8">
        <f>D32</f>
        <v>2039453.0860306572</v>
      </c>
      <c r="J27" s="333" t="str">
        <f>IF('Rent Roll'!G16=0,"",'Rent Roll'!G16)</f>
        <v/>
      </c>
      <c r="K27" s="232" t="str">
        <f>IF('Rent Roll'!I16=0,"",'Rent Roll'!I16)</f>
        <v/>
      </c>
      <c r="L27" s="170" t="str">
        <f>IF('Rent Roll'!K16=0,"",'Rent Roll'!K16)</f>
        <v/>
      </c>
      <c r="M27" s="418" t="str">
        <f>IF('Rent Roll'!B16=0," ",'Rent Roll'!B16)</f>
        <v xml:space="preserve"> </v>
      </c>
      <c r="N27" s="170" t="str">
        <f>IF('Rent Roll'!L16=0,"",'Rent Roll'!L16)</f>
        <v/>
      </c>
      <c r="O27" s="32" t="str">
        <f t="shared" si="12"/>
        <v xml:space="preserve"> </v>
      </c>
      <c r="P27" s="74" t="str">
        <f t="shared" si="13"/>
        <v xml:space="preserve"> </v>
      </c>
      <c r="Q27" s="158" t="str">
        <f>IF('Rent Roll'!F16=0," ",'Rent Roll'!F16)</f>
        <v xml:space="preserve"> </v>
      </c>
      <c r="S27" s="7" t="s">
        <v>193</v>
      </c>
      <c r="T27" s="200">
        <v>0.04</v>
      </c>
    </row>
    <row r="28" spans="3:20">
      <c r="C28" s="7"/>
      <c r="D28" s="10"/>
      <c r="F28" s="7" t="s">
        <v>7</v>
      </c>
      <c r="G28" s="158">
        <f>Financing!F6</f>
        <v>0.7</v>
      </c>
      <c r="H28" s="14"/>
      <c r="J28" s="333" t="str">
        <f>IF('Rent Roll'!G17=0,"",'Rent Roll'!G17)</f>
        <v/>
      </c>
      <c r="K28" s="232" t="str">
        <f>IF('Rent Roll'!I17=0,"",'Rent Roll'!I17)</f>
        <v/>
      </c>
      <c r="L28" s="170" t="str">
        <f>IF('Rent Roll'!K17=0,"",'Rent Roll'!K17)</f>
        <v/>
      </c>
      <c r="M28" s="418" t="str">
        <f>IF('Rent Roll'!B17=0," ",'Rent Roll'!B17)</f>
        <v xml:space="preserve"> </v>
      </c>
      <c r="N28" s="170" t="str">
        <f>IF('Rent Roll'!L17=0,"",'Rent Roll'!L17)</f>
        <v/>
      </c>
      <c r="O28" s="32" t="str">
        <f t="shared" si="12"/>
        <v xml:space="preserve"> </v>
      </c>
      <c r="P28" s="74" t="str">
        <f t="shared" si="13"/>
        <v xml:space="preserve"> </v>
      </c>
      <c r="Q28" s="158" t="str">
        <f>IF('Rent Roll'!F17=0," ",'Rent Roll'!F17)</f>
        <v xml:space="preserve"> </v>
      </c>
      <c r="S28" s="440" t="s">
        <v>253</v>
      </c>
      <c r="T28" s="441"/>
    </row>
    <row r="29" spans="3:20" ht="17" customHeight="1">
      <c r="C29" s="7" t="s">
        <v>32</v>
      </c>
      <c r="D29" s="8">
        <f>D27+D13</f>
        <v>1961012.5827217856</v>
      </c>
      <c r="F29" s="7" t="s">
        <v>8</v>
      </c>
      <c r="G29" s="8">
        <f>G28*G27</f>
        <v>1427617.16022146</v>
      </c>
      <c r="H29" s="14"/>
      <c r="J29" s="333" t="str">
        <f>IF('Rent Roll'!G18=0,"",'Rent Roll'!G18)</f>
        <v/>
      </c>
      <c r="K29" s="232" t="str">
        <f>IF('Rent Roll'!I18=0,"",'Rent Roll'!I18)</f>
        <v/>
      </c>
      <c r="L29" s="170" t="str">
        <f>IF('Rent Roll'!K18=0,"",'Rent Roll'!K18)</f>
        <v/>
      </c>
      <c r="M29" s="418" t="str">
        <f>IF('Rent Roll'!B18=0," ",'Rent Roll'!B18)</f>
        <v xml:space="preserve"> </v>
      </c>
      <c r="N29" s="170" t="str">
        <f>IF('Rent Roll'!L18=0,"",'Rent Roll'!L18)</f>
        <v/>
      </c>
      <c r="O29" s="32" t="str">
        <f t="shared" si="12"/>
        <v xml:space="preserve"> </v>
      </c>
      <c r="P29" s="74" t="str">
        <f t="shared" si="13"/>
        <v xml:space="preserve"> </v>
      </c>
      <c r="Q29" s="158" t="str">
        <f>IF('Rent Roll'!F18=0," ",'Rent Roll'!F18)</f>
        <v xml:space="preserve"> </v>
      </c>
      <c r="S29" s="7" t="s">
        <v>27</v>
      </c>
      <c r="T29" s="200">
        <v>0.04</v>
      </c>
    </row>
    <row r="30" spans="3:20" ht="17" customHeight="1">
      <c r="C30" s="194">
        <f>T21</f>
        <v>0.04</v>
      </c>
      <c r="D30" s="8">
        <f>D29*C30</f>
        <v>78440.503308871426</v>
      </c>
      <c r="F30" s="7" t="s">
        <v>9</v>
      </c>
      <c r="G30" s="17">
        <f>G27-G29</f>
        <v>611835.92580919713</v>
      </c>
      <c r="H30" s="106"/>
      <c r="J30" s="333" t="str">
        <f>IF('Rent Roll'!G19=0,"",'Rent Roll'!G19)</f>
        <v/>
      </c>
      <c r="K30" s="232" t="str">
        <f>IF('Rent Roll'!I19=0,"",'Rent Roll'!I19)</f>
        <v/>
      </c>
      <c r="L30" s="170" t="str">
        <f>IF('Rent Roll'!K19=0,"",'Rent Roll'!K19)</f>
        <v/>
      </c>
      <c r="M30" s="418" t="str">
        <f>IF('Rent Roll'!B19=0," ",'Rent Roll'!B19)</f>
        <v xml:space="preserve"> </v>
      </c>
      <c r="N30" s="170" t="str">
        <f>IF('Rent Roll'!L19=0,"",'Rent Roll'!L19)</f>
        <v/>
      </c>
      <c r="O30" s="32" t="str">
        <f t="shared" si="12"/>
        <v xml:space="preserve"> </v>
      </c>
      <c r="P30" s="74" t="str">
        <f t="shared" si="13"/>
        <v xml:space="preserve"> </v>
      </c>
      <c r="Q30" s="158" t="str">
        <f>IF('Rent Roll'!F19=0," ",'Rent Roll'!F19)</f>
        <v xml:space="preserve"> </v>
      </c>
      <c r="S30" s="24" t="s">
        <v>112</v>
      </c>
      <c r="T30" s="203">
        <v>6.5000000000000002E-2</v>
      </c>
    </row>
    <row r="31" spans="3:20" ht="17" customHeight="1">
      <c r="C31" s="24"/>
      <c r="D31" s="160"/>
      <c r="F31" s="7" t="s">
        <v>10</v>
      </c>
      <c r="G31" s="10">
        <f>Financing!C7</f>
        <v>25</v>
      </c>
      <c r="H31" s="14"/>
      <c r="J31" s="333" t="str">
        <f>IF('Rent Roll'!G20=0,"",'Rent Roll'!G20)</f>
        <v/>
      </c>
      <c r="K31" s="232" t="str">
        <f>IF('Rent Roll'!I20=0,"",'Rent Roll'!I20)</f>
        <v/>
      </c>
      <c r="L31" s="170" t="str">
        <f>IF('Rent Roll'!K20=0,"",'Rent Roll'!K20)</f>
        <v/>
      </c>
      <c r="M31" s="418" t="str">
        <f>IF('Rent Roll'!B20=0," ",'Rent Roll'!B20)</f>
        <v xml:space="preserve"> </v>
      </c>
      <c r="N31" s="170" t="str">
        <f>IF('Rent Roll'!L20=0,"",'Rent Roll'!L20)</f>
        <v/>
      </c>
      <c r="O31" s="32" t="str">
        <f t="shared" si="12"/>
        <v xml:space="preserve"> </v>
      </c>
      <c r="P31" s="74" t="str">
        <f t="shared" si="13"/>
        <v xml:space="preserve"> </v>
      </c>
      <c r="Q31" s="158" t="str">
        <f>IF('Rent Roll'!F20=0," ",'Rent Roll'!F20)</f>
        <v xml:space="preserve"> </v>
      </c>
      <c r="S31" s="7" t="s">
        <v>195</v>
      </c>
      <c r="T31" s="200">
        <v>0</v>
      </c>
    </row>
    <row r="32" spans="3:20" ht="17" customHeight="1" thickBot="1">
      <c r="C32" s="42" t="s">
        <v>34</v>
      </c>
      <c r="D32" s="43">
        <f>D29+D30</f>
        <v>2039453.0860306572</v>
      </c>
      <c r="F32" s="7" t="s">
        <v>11</v>
      </c>
      <c r="G32" s="159">
        <f>Financing!C6</f>
        <v>6.25E-2</v>
      </c>
      <c r="H32" s="96"/>
      <c r="J32" s="333" t="str">
        <f>IF('Rent Roll'!G21=0,"",'Rent Roll'!G21)</f>
        <v/>
      </c>
      <c r="K32" s="232" t="str">
        <f>IF('Rent Roll'!I21=0,"",'Rent Roll'!I21)</f>
        <v/>
      </c>
      <c r="L32" s="170" t="str">
        <f>IF('Rent Roll'!K21=0,"",'Rent Roll'!K21)</f>
        <v/>
      </c>
      <c r="M32" s="418" t="str">
        <f>IF('Rent Roll'!B21=0," ",'Rent Roll'!B21)</f>
        <v xml:space="preserve"> </v>
      </c>
      <c r="N32" s="170" t="str">
        <f>IF('Rent Roll'!L21=0,"",'Rent Roll'!L21)</f>
        <v/>
      </c>
      <c r="O32" s="32" t="str">
        <f t="shared" si="12"/>
        <v xml:space="preserve"> </v>
      </c>
      <c r="P32" s="74" t="str">
        <f t="shared" si="13"/>
        <v xml:space="preserve"> </v>
      </c>
      <c r="Q32" s="158" t="str">
        <f>IF('Rent Roll'!F21=0," ",'Rent Roll'!F21)</f>
        <v xml:space="preserve"> </v>
      </c>
      <c r="S32" s="440" t="s">
        <v>2</v>
      </c>
      <c r="T32" s="441"/>
    </row>
    <row r="33" spans="3:30" ht="17" customHeight="1" thickBot="1">
      <c r="D33" s="2"/>
      <c r="E33" s="31"/>
      <c r="F33" s="7" t="s">
        <v>12</v>
      </c>
      <c r="G33" s="22">
        <f>PMT(G32/12,G31*12,G29,0)</f>
        <v>-9417.5532455517805</v>
      </c>
      <c r="H33" s="2"/>
      <c r="J33" s="333" t="str">
        <f>IF('Rent Roll'!G22=0,"",'Rent Roll'!G22)</f>
        <v/>
      </c>
      <c r="K33" s="232" t="str">
        <f>IF('Rent Roll'!I22=0,"",'Rent Roll'!I22)</f>
        <v/>
      </c>
      <c r="L33" s="170" t="str">
        <f>IF('Rent Roll'!K22=0,"",'Rent Roll'!K22)</f>
        <v/>
      </c>
      <c r="M33" s="418" t="str">
        <f>IF('Rent Roll'!B22=0," ",'Rent Roll'!B22)</f>
        <v xml:space="preserve"> </v>
      </c>
      <c r="N33" s="170" t="str">
        <f>IF('Rent Roll'!L22=0,"",'Rent Roll'!L22)</f>
        <v/>
      </c>
      <c r="O33" s="32" t="str">
        <f t="shared" si="12"/>
        <v xml:space="preserve"> </v>
      </c>
      <c r="P33" s="74" t="str">
        <f t="shared" si="13"/>
        <v xml:space="preserve"> </v>
      </c>
      <c r="Q33" s="8" t="str">
        <f t="shared" ref="Q33" si="14">IFERROR(P33/12," ")</f>
        <v xml:space="preserve"> </v>
      </c>
      <c r="S33" s="7" t="s">
        <v>141</v>
      </c>
      <c r="T33" s="204">
        <v>6.25E-2</v>
      </c>
    </row>
    <row r="34" spans="3:30" ht="17" customHeight="1" thickBot="1">
      <c r="C34" s="428" t="s">
        <v>144</v>
      </c>
      <c r="D34" s="429"/>
      <c r="E34" s="31"/>
      <c r="F34" s="16" t="s">
        <v>13</v>
      </c>
      <c r="G34" s="23">
        <f>G33*12</f>
        <v>-113010.63894662136</v>
      </c>
      <c r="J34" s="122"/>
      <c r="K34" s="239">
        <f>SUM(K22:K33)</f>
        <v>5500</v>
      </c>
      <c r="L34" s="240"/>
      <c r="M34" s="419">
        <f>AVERAGE(M22:M33)</f>
        <v>10</v>
      </c>
      <c r="N34" s="240"/>
      <c r="O34" s="241">
        <f>SUM(O22:O33)</f>
        <v>275000</v>
      </c>
      <c r="P34" s="241">
        <f>SUM(P22:P33)</f>
        <v>324000</v>
      </c>
      <c r="Q34" s="420">
        <f>AVERAGE(Q22:Q33)</f>
        <v>0.03</v>
      </c>
      <c r="S34" s="7" t="s">
        <v>113</v>
      </c>
      <c r="T34" s="202">
        <v>25</v>
      </c>
    </row>
    <row r="35" spans="3:30" ht="17" customHeight="1" thickBot="1">
      <c r="C35" s="194" t="s">
        <v>142</v>
      </c>
      <c r="D35" s="8">
        <f>D13</f>
        <v>1475000</v>
      </c>
      <c r="H35" s="25"/>
      <c r="S35" s="35" t="s">
        <v>7</v>
      </c>
      <c r="T35" s="199">
        <v>0.7</v>
      </c>
      <c r="U35" s="397" t="s">
        <v>221</v>
      </c>
      <c r="V35" s="398"/>
    </row>
    <row r="36" spans="3:30" ht="17" customHeight="1" thickBot="1">
      <c r="C36" s="24" t="s">
        <v>143</v>
      </c>
      <c r="D36" s="19">
        <f>D27</f>
        <v>486012.5827217857</v>
      </c>
      <c r="J36" s="424" t="s">
        <v>39</v>
      </c>
      <c r="K36" s="425"/>
      <c r="L36" s="425"/>
      <c r="M36" s="425"/>
      <c r="N36" s="425"/>
      <c r="O36" s="425"/>
      <c r="P36" s="425"/>
      <c r="Q36" s="426"/>
      <c r="S36" s="16" t="s">
        <v>115</v>
      </c>
      <c r="T36" s="205">
        <v>0.01</v>
      </c>
      <c r="U36" s="352" t="s">
        <v>222</v>
      </c>
      <c r="V36" s="10"/>
    </row>
    <row r="37" spans="3:30" ht="17" customHeight="1" thickBot="1">
      <c r="C37" s="194">
        <f>T21</f>
        <v>0.04</v>
      </c>
      <c r="D37" s="8">
        <f>D30</f>
        <v>78440.503308871426</v>
      </c>
      <c r="H37" s="153"/>
      <c r="J37" s="233" t="s">
        <v>40</v>
      </c>
      <c r="K37" s="52">
        <f>K56</f>
        <v>324000</v>
      </c>
      <c r="L37" s="52">
        <f t="shared" ref="L37:Q37" si="15">L56</f>
        <v>333720</v>
      </c>
      <c r="M37" s="52">
        <f t="shared" si="15"/>
        <v>343752</v>
      </c>
      <c r="N37" s="52">
        <f t="shared" si="15"/>
        <v>354106.58399999997</v>
      </c>
      <c r="O37" s="52">
        <f t="shared" si="15"/>
        <v>364794.71064</v>
      </c>
      <c r="P37" s="52">
        <f t="shared" si="15"/>
        <v>375827.72688720003</v>
      </c>
      <c r="Q37" s="53">
        <f t="shared" si="15"/>
        <v>387217.38223500003</v>
      </c>
      <c r="S37" s="7" t="s">
        <v>273</v>
      </c>
      <c r="T37" s="410">
        <v>12</v>
      </c>
      <c r="U37" s="352" t="s">
        <v>223</v>
      </c>
      <c r="V37" s="10"/>
    </row>
    <row r="38" spans="3:30" ht="17" customHeight="1" thickBot="1">
      <c r="C38" s="253" t="s">
        <v>34</v>
      </c>
      <c r="D38" s="254">
        <f>D32</f>
        <v>2039453.0860306572</v>
      </c>
      <c r="H38" s="153"/>
      <c r="J38" s="331" t="s">
        <v>175</v>
      </c>
      <c r="K38" s="332"/>
      <c r="L38" s="332">
        <f t="shared" ref="L38:Q38" si="16">L57</f>
        <v>3.0000000000000027E-2</v>
      </c>
      <c r="M38" s="332">
        <f t="shared" si="16"/>
        <v>3.0061129090255267E-2</v>
      </c>
      <c r="N38" s="332">
        <f t="shared" si="16"/>
        <v>3.0122250925085359E-2</v>
      </c>
      <c r="O38" s="332">
        <f t="shared" si="16"/>
        <v>3.0183360386205171E-2</v>
      </c>
      <c r="P38" s="332">
        <f t="shared" si="16"/>
        <v>3.0244452360187912E-2</v>
      </c>
      <c r="Q38" s="334">
        <f t="shared" si="16"/>
        <v>3.0305521740332964E-2</v>
      </c>
      <c r="S38" s="16" t="s">
        <v>268</v>
      </c>
      <c r="T38" s="366">
        <v>6</v>
      </c>
      <c r="U38" s="353" t="s">
        <v>224</v>
      </c>
      <c r="V38" s="196"/>
    </row>
    <row r="39" spans="3:30" ht="17" customHeight="1">
      <c r="AC39" s="28"/>
      <c r="AD39" s="28"/>
    </row>
    <row r="40" spans="3:30" ht="17" customHeight="1">
      <c r="AC40" s="28"/>
      <c r="AD40" s="28"/>
    </row>
    <row r="41" spans="3:30" ht="17" hidden="1" customHeight="1" outlineLevel="1" thickBot="1"/>
    <row r="42" spans="3:30" ht="17" hidden="1" customHeight="1" outlineLevel="1" thickBot="1">
      <c r="J42" s="424" t="s">
        <v>39</v>
      </c>
      <c r="K42" s="425"/>
      <c r="L42" s="425"/>
      <c r="M42" s="425"/>
      <c r="N42" s="425"/>
      <c r="O42" s="425"/>
      <c r="P42" s="425"/>
      <c r="Q42" s="426"/>
    </row>
    <row r="43" spans="3:30" ht="17" hidden="1" customHeight="1" outlineLevel="1">
      <c r="J43" s="354" t="s">
        <v>152</v>
      </c>
      <c r="K43" s="355">
        <v>2026</v>
      </c>
      <c r="L43" s="355">
        <v>2027</v>
      </c>
      <c r="M43" s="355">
        <v>2028</v>
      </c>
      <c r="N43" s="355">
        <v>2029</v>
      </c>
      <c r="O43" s="355">
        <v>2030</v>
      </c>
      <c r="P43" s="355">
        <v>2031</v>
      </c>
      <c r="Q43" s="356">
        <v>2032</v>
      </c>
    </row>
    <row r="44" spans="3:30" ht="17" hidden="1" customHeight="1" outlineLevel="1">
      <c r="J44" s="333" t="str">
        <f>IF('Rent Roll'!H11=0,"",'Rent Roll'!H11)</f>
        <v>A Endcap</v>
      </c>
      <c r="K44" s="14">
        <f>IF('Rent Roll'!DE11=0,"",'Rent Roll'!DE11)</f>
        <v>102000</v>
      </c>
      <c r="L44" s="14">
        <f>IF('Rent Roll'!DF11=0,"",'Rent Roll'!DF11)</f>
        <v>104040</v>
      </c>
      <c r="M44" s="14">
        <f>IF('Rent Roll'!DG11=0,"",'Rent Roll'!DG11)</f>
        <v>106120.79999999997</v>
      </c>
      <c r="N44" s="14">
        <f>IF('Rent Roll'!DH11=0,"",'Rent Roll'!DH11)</f>
        <v>108243.216</v>
      </c>
      <c r="O44" s="14">
        <f>IF('Rent Roll'!DI11=0,"",'Rent Roll'!DI11)</f>
        <v>110408.08032000002</v>
      </c>
      <c r="P44" s="14">
        <f>IF('Rent Roll'!DJ11=0,"",'Rent Roll'!DJ11)</f>
        <v>112616.24192640001</v>
      </c>
      <c r="Q44" s="8">
        <f>IF('Rent Roll'!DK11=0,"",'Rent Roll'!DK11)</f>
        <v>114868.56676492799</v>
      </c>
    </row>
    <row r="45" spans="3:30" ht="17" hidden="1" customHeight="1" outlineLevel="1">
      <c r="J45" s="333" t="str">
        <f>IF('Rent Roll'!H12=0,"",'Rent Roll'!H12)</f>
        <v>B</v>
      </c>
      <c r="K45" s="14">
        <f>IF('Rent Roll'!DE12=0,"",'Rent Roll'!DE12)</f>
        <v>120000</v>
      </c>
      <c r="L45" s="14">
        <f>IF('Rent Roll'!DF12=0,"",'Rent Roll'!DF12)</f>
        <v>123600</v>
      </c>
      <c r="M45" s="14">
        <f>IF('Rent Roll'!DG12=0,"",'Rent Roll'!DG12)</f>
        <v>127308</v>
      </c>
      <c r="N45" s="14">
        <f>IF('Rent Roll'!DH12=0,"",'Rent Roll'!DH12)</f>
        <v>131127.24000000002</v>
      </c>
      <c r="O45" s="14">
        <f>IF('Rent Roll'!DI12=0,"",'Rent Roll'!DI12)</f>
        <v>135061.05719999998</v>
      </c>
      <c r="P45" s="14">
        <f>IF('Rent Roll'!DJ12=0,"",'Rent Roll'!DJ12)</f>
        <v>139112.88891600003</v>
      </c>
      <c r="Q45" s="8">
        <f>IF('Rent Roll'!DK12=0,"",'Rent Roll'!DK12)</f>
        <v>143286.27558348002</v>
      </c>
    </row>
    <row r="46" spans="3:30" ht="17" hidden="1" customHeight="1" outlineLevel="1">
      <c r="J46" s="333" t="str">
        <f>IF('Rent Roll'!H13=0,"",'Rent Roll'!H13)</f>
        <v>C Endcap</v>
      </c>
      <c r="K46" s="14">
        <f>IF('Rent Roll'!DE13=0,"",'Rent Roll'!DE13)</f>
        <v>102000</v>
      </c>
      <c r="L46" s="14">
        <f>IF('Rent Roll'!DF13=0,"",'Rent Roll'!DF13)</f>
        <v>106080</v>
      </c>
      <c r="M46" s="14">
        <f>IF('Rent Roll'!DG13=0,"",'Rent Roll'!DG13)</f>
        <v>110323.20000000003</v>
      </c>
      <c r="N46" s="14">
        <f>IF('Rent Roll'!DH13=0,"",'Rent Roll'!DH13)</f>
        <v>114736.12799999998</v>
      </c>
      <c r="O46" s="14">
        <f>IF('Rent Roll'!DI13=0,"",'Rent Roll'!DI13)</f>
        <v>119325.57312000002</v>
      </c>
      <c r="P46" s="14">
        <f>IF('Rent Roll'!DJ13=0,"",'Rent Roll'!DJ13)</f>
        <v>124098.5960448</v>
      </c>
      <c r="Q46" s="8">
        <f>IF('Rent Roll'!DK13=0,"",'Rent Roll'!DK13)</f>
        <v>129062.53988659201</v>
      </c>
    </row>
    <row r="47" spans="3:30" ht="17" hidden="1" customHeight="1" outlineLevel="1">
      <c r="J47" s="333" t="str">
        <f>IF('Rent Roll'!H14=0,"",'Rent Roll'!H14)</f>
        <v/>
      </c>
      <c r="K47" s="14" t="str">
        <f>IF('Rent Roll'!DE14=0,"",'Rent Roll'!DE14)</f>
        <v/>
      </c>
      <c r="L47" s="14" t="str">
        <f>IF('Rent Roll'!DF14=0,"",'Rent Roll'!DF14)</f>
        <v/>
      </c>
      <c r="M47" s="14" t="str">
        <f>IF('Rent Roll'!DG14=0,"",'Rent Roll'!DG14)</f>
        <v/>
      </c>
      <c r="N47" s="14" t="str">
        <f>IF('Rent Roll'!DH14=0,"",'Rent Roll'!DH14)</f>
        <v/>
      </c>
      <c r="O47" s="14" t="str">
        <f>IF('Rent Roll'!DI14=0,"",'Rent Roll'!DI14)</f>
        <v/>
      </c>
      <c r="P47" s="14" t="str">
        <f>IF('Rent Roll'!DJ14=0,"",'Rent Roll'!DJ14)</f>
        <v/>
      </c>
      <c r="Q47" s="8" t="str">
        <f>IF('Rent Roll'!DK14=0,"",'Rent Roll'!DK14)</f>
        <v/>
      </c>
    </row>
    <row r="48" spans="3:30" ht="17" hidden="1" customHeight="1" outlineLevel="1">
      <c r="J48" s="333" t="str">
        <f>IF('Rent Roll'!H15=0,"",'Rent Roll'!H15)</f>
        <v/>
      </c>
      <c r="K48" s="14" t="str">
        <f>IF('Rent Roll'!DE15=0,"",'Rent Roll'!DE15)</f>
        <v/>
      </c>
      <c r="L48" s="14" t="str">
        <f>IF('Rent Roll'!DF15=0,"",'Rent Roll'!DF15)</f>
        <v/>
      </c>
      <c r="M48" s="14" t="str">
        <f>IF('Rent Roll'!DG15=0,"",'Rent Roll'!DG15)</f>
        <v/>
      </c>
      <c r="N48" s="14" t="str">
        <f>IF('Rent Roll'!DH15=0,"",'Rent Roll'!DH15)</f>
        <v/>
      </c>
      <c r="O48" s="14" t="str">
        <f>IF('Rent Roll'!DI15=0,"",'Rent Roll'!DI15)</f>
        <v/>
      </c>
      <c r="P48" s="14" t="str">
        <f>IF('Rent Roll'!DJ15=0,"",'Rent Roll'!DJ15)</f>
        <v/>
      </c>
      <c r="Q48" s="8" t="str">
        <f>IF('Rent Roll'!DK15=0,"",'Rent Roll'!DK15)</f>
        <v/>
      </c>
    </row>
    <row r="49" spans="10:20" ht="17" hidden="1" customHeight="1" outlineLevel="1">
      <c r="J49" s="333" t="str">
        <f>IF('Rent Roll'!H16=0,"",'Rent Roll'!H16)</f>
        <v/>
      </c>
      <c r="K49" s="14" t="str">
        <f>IF('Rent Roll'!DE16=0,"",'Rent Roll'!DE16)</f>
        <v/>
      </c>
      <c r="L49" s="14" t="str">
        <f>IF('Rent Roll'!DF16=0,"",'Rent Roll'!DF16)</f>
        <v/>
      </c>
      <c r="M49" s="14" t="str">
        <f>IF('Rent Roll'!DG16=0,"",'Rent Roll'!DG16)</f>
        <v/>
      </c>
      <c r="N49" s="14" t="str">
        <f>IF('Rent Roll'!DH16=0,"",'Rent Roll'!DH16)</f>
        <v/>
      </c>
      <c r="O49" s="14" t="str">
        <f>IF('Rent Roll'!DI16=0,"",'Rent Roll'!DI16)</f>
        <v/>
      </c>
      <c r="P49" s="14" t="str">
        <f>IF('Rent Roll'!DJ16=0,"",'Rent Roll'!DJ16)</f>
        <v/>
      </c>
      <c r="Q49" s="8" t="str">
        <f>IF('Rent Roll'!DK16=0,"",'Rent Roll'!DK16)</f>
        <v/>
      </c>
    </row>
    <row r="50" spans="10:20" ht="17" hidden="1" customHeight="1" outlineLevel="1">
      <c r="J50" s="333" t="str">
        <f>IF('Rent Roll'!H17=0,"",'Rent Roll'!H17)</f>
        <v/>
      </c>
      <c r="K50" s="14" t="str">
        <f>IF('Rent Roll'!DE17=0,"",'Rent Roll'!DE17)</f>
        <v/>
      </c>
      <c r="L50" s="14" t="str">
        <f>IF('Rent Roll'!DF17=0,"",'Rent Roll'!DF17)</f>
        <v/>
      </c>
      <c r="M50" s="14" t="str">
        <f>IF('Rent Roll'!DG17=0,"",'Rent Roll'!DG17)</f>
        <v/>
      </c>
      <c r="N50" s="14" t="str">
        <f>IF('Rent Roll'!DH17=0,"",'Rent Roll'!DH17)</f>
        <v/>
      </c>
      <c r="O50" s="14" t="str">
        <f>IF('Rent Roll'!DI17=0,"",'Rent Roll'!DI17)</f>
        <v/>
      </c>
      <c r="P50" s="14" t="str">
        <f>IF('Rent Roll'!DJ17=0,"",'Rent Roll'!DJ17)</f>
        <v/>
      </c>
      <c r="Q50" s="8" t="str">
        <f>IF('Rent Roll'!DK17=0,"",'Rent Roll'!DK17)</f>
        <v/>
      </c>
    </row>
    <row r="51" spans="10:20" ht="17" hidden="1" customHeight="1" outlineLevel="1">
      <c r="J51" s="333" t="str">
        <f>IF('Rent Roll'!H18=0,"",'Rent Roll'!H18)</f>
        <v/>
      </c>
      <c r="K51" s="14" t="str">
        <f>IF('Rent Roll'!DE18=0,"",'Rent Roll'!DE18)</f>
        <v/>
      </c>
      <c r="L51" s="14" t="str">
        <f>IF('Rent Roll'!DF18=0,"",'Rent Roll'!DF18)</f>
        <v/>
      </c>
      <c r="M51" s="14" t="str">
        <f>IF('Rent Roll'!DG18=0,"",'Rent Roll'!DG18)</f>
        <v/>
      </c>
      <c r="N51" s="14" t="str">
        <f>IF('Rent Roll'!DH18=0,"",'Rent Roll'!DH18)</f>
        <v/>
      </c>
      <c r="O51" s="14" t="str">
        <f>IF('Rent Roll'!DI18=0,"",'Rent Roll'!DI18)</f>
        <v/>
      </c>
      <c r="P51" s="14" t="str">
        <f>IF('Rent Roll'!DJ18=0,"",'Rent Roll'!DJ18)</f>
        <v/>
      </c>
      <c r="Q51" s="8" t="str">
        <f>IF('Rent Roll'!DK18=0,"",'Rent Roll'!DK18)</f>
        <v/>
      </c>
    </row>
    <row r="52" spans="10:20" ht="17" hidden="1" customHeight="1" outlineLevel="1">
      <c r="J52" s="333" t="str">
        <f>IF('Rent Roll'!H19=0,"",'Rent Roll'!H19)</f>
        <v/>
      </c>
      <c r="K52" s="14" t="str">
        <f>IF('Rent Roll'!DE19=0,"",'Rent Roll'!DE19)</f>
        <v/>
      </c>
      <c r="L52" s="14" t="str">
        <f>IF('Rent Roll'!DF19=0,"",'Rent Roll'!DF19)</f>
        <v/>
      </c>
      <c r="M52" s="14" t="str">
        <f>IF('Rent Roll'!DG19=0,"",'Rent Roll'!DG19)</f>
        <v/>
      </c>
      <c r="N52" s="14" t="str">
        <f>IF('Rent Roll'!DH19=0,"",'Rent Roll'!DH19)</f>
        <v/>
      </c>
      <c r="O52" s="14" t="str">
        <f>IF('Rent Roll'!DI19=0,"",'Rent Roll'!DI19)</f>
        <v/>
      </c>
      <c r="P52" s="14" t="str">
        <f>IF('Rent Roll'!DJ19=0,"",'Rent Roll'!DJ19)</f>
        <v/>
      </c>
      <c r="Q52" s="8" t="str">
        <f>IF('Rent Roll'!DK19=0,"",'Rent Roll'!DK19)</f>
        <v/>
      </c>
    </row>
    <row r="53" spans="10:20" ht="17" hidden="1" customHeight="1" outlineLevel="1">
      <c r="J53" s="333" t="str">
        <f>IF('Rent Roll'!H20=0,"",'Rent Roll'!H20)</f>
        <v/>
      </c>
      <c r="K53" s="14" t="str">
        <f>IF('Rent Roll'!DE20=0,"",'Rent Roll'!DE20)</f>
        <v/>
      </c>
      <c r="L53" s="14" t="str">
        <f>IF('Rent Roll'!DF20=0,"",'Rent Roll'!DF20)</f>
        <v/>
      </c>
      <c r="M53" s="14" t="str">
        <f>IF('Rent Roll'!DG20=0,"",'Rent Roll'!DG20)</f>
        <v/>
      </c>
      <c r="N53" s="14" t="str">
        <f>IF('Rent Roll'!DH20=0,"",'Rent Roll'!DH20)</f>
        <v/>
      </c>
      <c r="O53" s="14" t="str">
        <f>IF('Rent Roll'!DI20=0,"",'Rent Roll'!DI20)</f>
        <v/>
      </c>
      <c r="P53" s="14" t="str">
        <f>IF('Rent Roll'!DJ20=0,"",'Rent Roll'!DJ20)</f>
        <v/>
      </c>
      <c r="Q53" s="8" t="str">
        <f>IF('Rent Roll'!DK20=0,"",'Rent Roll'!DK20)</f>
        <v/>
      </c>
    </row>
    <row r="54" spans="10:20" ht="15" hidden="1" customHeight="1" outlineLevel="1">
      <c r="J54" s="333" t="str">
        <f>IF('Rent Roll'!H21=0,"",'Rent Roll'!H21)</f>
        <v/>
      </c>
      <c r="K54" s="14" t="str">
        <f>IF('Rent Roll'!DE21=0,"",'Rent Roll'!DE21)</f>
        <v/>
      </c>
      <c r="L54" s="14" t="str">
        <f>IF('Rent Roll'!DF21=0,"",'Rent Roll'!DF21)</f>
        <v/>
      </c>
      <c r="M54" s="14" t="str">
        <f>IF('Rent Roll'!DG21=0,"",'Rent Roll'!DG21)</f>
        <v/>
      </c>
      <c r="N54" s="14" t="str">
        <f>IF('Rent Roll'!DH21=0,"",'Rent Roll'!DH21)</f>
        <v/>
      </c>
      <c r="O54" s="14" t="str">
        <f>IF('Rent Roll'!DI21=0,"",'Rent Roll'!DI21)</f>
        <v/>
      </c>
      <c r="P54" s="14" t="str">
        <f>IF('Rent Roll'!DJ21=0,"",'Rent Roll'!DJ21)</f>
        <v/>
      </c>
      <c r="Q54" s="8" t="str">
        <f>IF('Rent Roll'!DK21=0,"",'Rent Roll'!DK21)</f>
        <v/>
      </c>
    </row>
    <row r="55" spans="10:20" ht="15" hidden="1" customHeight="1" outlineLevel="1" thickBot="1">
      <c r="J55" s="333" t="str">
        <f>IF('Rent Roll'!H22=0,"",'Rent Roll'!H22)</f>
        <v/>
      </c>
      <c r="K55" s="14" t="str">
        <f>IF('Rent Roll'!DE22=0,"",'Rent Roll'!DE22)</f>
        <v/>
      </c>
      <c r="L55" s="14" t="str">
        <f>IF('Rent Roll'!DF22=0,"",'Rent Roll'!DF22)</f>
        <v/>
      </c>
      <c r="M55" s="14" t="str">
        <f>IF('Rent Roll'!DG22=0,"",'Rent Roll'!DG22)</f>
        <v/>
      </c>
      <c r="N55" s="14" t="str">
        <f>IF('Rent Roll'!DH22=0,"",'Rent Roll'!DH22)</f>
        <v/>
      </c>
      <c r="O55" s="14" t="str">
        <f>IF('Rent Roll'!DI22=0,"",'Rent Roll'!DI22)</f>
        <v/>
      </c>
      <c r="P55" s="14" t="str">
        <f>IF('Rent Roll'!DJ22=0,"",'Rent Roll'!DJ22)</f>
        <v/>
      </c>
      <c r="Q55" s="8" t="str">
        <f>IF('Rent Roll'!DK22=0,"",'Rent Roll'!DK22)</f>
        <v/>
      </c>
      <c r="S55" s="14"/>
      <c r="T55" s="14"/>
    </row>
    <row r="56" spans="10:20" ht="16" hidden="1" outlineLevel="1" thickBot="1">
      <c r="J56" s="233" t="s">
        <v>40</v>
      </c>
      <c r="K56" s="52">
        <f t="shared" ref="K56:Q56" si="17">SUM(K44:K54)</f>
        <v>324000</v>
      </c>
      <c r="L56" s="52">
        <f t="shared" si="17"/>
        <v>333720</v>
      </c>
      <c r="M56" s="52">
        <f t="shared" si="17"/>
        <v>343752</v>
      </c>
      <c r="N56" s="52">
        <f t="shared" si="17"/>
        <v>354106.58399999997</v>
      </c>
      <c r="O56" s="52">
        <f t="shared" si="17"/>
        <v>364794.71064</v>
      </c>
      <c r="P56" s="52">
        <f t="shared" si="17"/>
        <v>375827.72688720003</v>
      </c>
      <c r="Q56" s="53">
        <f t="shared" si="17"/>
        <v>387217.38223500003</v>
      </c>
    </row>
    <row r="57" spans="10:20" ht="16" hidden="1" outlineLevel="1" thickBot="1">
      <c r="J57" s="331" t="s">
        <v>175</v>
      </c>
      <c r="K57" s="332"/>
      <c r="L57" s="332">
        <f>(L56/K56)-1</f>
        <v>3.0000000000000027E-2</v>
      </c>
      <c r="M57" s="332">
        <f t="shared" ref="M57:Q57" si="18">(M56/L56)-1</f>
        <v>3.0061129090255267E-2</v>
      </c>
      <c r="N57" s="332">
        <f t="shared" si="18"/>
        <v>3.0122250925085359E-2</v>
      </c>
      <c r="O57" s="332">
        <f t="shared" si="18"/>
        <v>3.0183360386205171E-2</v>
      </c>
      <c r="P57" s="332">
        <f t="shared" si="18"/>
        <v>3.0244452360187912E-2</v>
      </c>
      <c r="Q57" s="334">
        <f t="shared" si="18"/>
        <v>3.0305521740332964E-2</v>
      </c>
    </row>
    <row r="58" spans="10:20" hidden="1" outlineLevel="1"/>
    <row r="59" spans="10:20" collapsed="1"/>
  </sheetData>
  <sheetProtection sheet="1" objects="1" scenarios="1" formatCells="0" sort="0" autoFilter="0" pivotTables="0"/>
  <mergeCells count="24">
    <mergeCell ref="S2:T2"/>
    <mergeCell ref="S5:T5"/>
    <mergeCell ref="S22:T22"/>
    <mergeCell ref="S28:T28"/>
    <mergeCell ref="S32:T32"/>
    <mergeCell ref="S6:T6"/>
    <mergeCell ref="S7:T7"/>
    <mergeCell ref="S8:T8"/>
    <mergeCell ref="S9:T9"/>
    <mergeCell ref="S12:T12"/>
    <mergeCell ref="D1:E1"/>
    <mergeCell ref="C8:D8"/>
    <mergeCell ref="C14:D14"/>
    <mergeCell ref="C3:Q3"/>
    <mergeCell ref="C4:Q4"/>
    <mergeCell ref="C5:Q5"/>
    <mergeCell ref="C6:Q6"/>
    <mergeCell ref="J42:Q42"/>
    <mergeCell ref="J20:Q20"/>
    <mergeCell ref="J8:Q8"/>
    <mergeCell ref="J36:Q36"/>
    <mergeCell ref="C34:D34"/>
    <mergeCell ref="F8:G8"/>
    <mergeCell ref="F26:G26"/>
  </mergeCells>
  <phoneticPr fontId="21" type="noConversion"/>
  <pageMargins left="0.7" right="0.7" top="0.75" bottom="0.75" header="0.3" footer="0.3"/>
  <pageSetup paperSize="512" scale="91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DialInFinancing_Labels">
                <anchor moveWithCells="1" sizeWithCells="1">
                  <from>
                    <xdr:col>18</xdr:col>
                    <xdr:colOff>266700</xdr:colOff>
                    <xdr:row>2</xdr:row>
                    <xdr:rowOff>88900</xdr:rowOff>
                  </from>
                  <to>
                    <xdr:col>19</xdr:col>
                    <xdr:colOff>762000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Check Box 2">
              <controlPr defaultSize="0" autoFill="0" autoLine="0" autoPict="0">
                <anchor moveWithCells="1">
                  <from>
                    <xdr:col>21</xdr:col>
                    <xdr:colOff>279400</xdr:colOff>
                    <xdr:row>35</xdr:row>
                    <xdr:rowOff>25400</xdr:rowOff>
                  </from>
                  <to>
                    <xdr:col>21</xdr:col>
                    <xdr:colOff>635000</xdr:colOff>
                    <xdr:row>36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Check Box 3">
              <controlPr defaultSize="0" autoFill="0" autoLine="0" autoPict="0">
                <anchor moveWithCells="1">
                  <from>
                    <xdr:col>21</xdr:col>
                    <xdr:colOff>292100</xdr:colOff>
                    <xdr:row>35</xdr:row>
                    <xdr:rowOff>215900</xdr:rowOff>
                  </from>
                  <to>
                    <xdr:col>21</xdr:col>
                    <xdr:colOff>635000</xdr:colOff>
                    <xdr:row>37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Check Box 4">
              <controlPr defaultSize="0" autoFill="0" autoLine="0" autoPict="0">
                <anchor moveWithCells="1">
                  <from>
                    <xdr:col>21</xdr:col>
                    <xdr:colOff>279400</xdr:colOff>
                    <xdr:row>36</xdr:row>
                    <xdr:rowOff>203200</xdr:rowOff>
                  </from>
                  <to>
                    <xdr:col>21</xdr:col>
                    <xdr:colOff>635000</xdr:colOff>
                    <xdr:row>38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793679-D9D4-41B9-8A20-F5F2B97ADD06}">
  <sheetPr codeName="Sheet2">
    <tabColor theme="4" tint="0.79998168889431442"/>
  </sheetPr>
  <dimension ref="B2:Q53"/>
  <sheetViews>
    <sheetView showGridLines="0" tabSelected="1" topLeftCell="A15" zoomScale="111" zoomScaleNormal="85" workbookViewId="0">
      <selection activeCell="M32" sqref="M32"/>
    </sheetView>
  </sheetViews>
  <sheetFormatPr baseColWidth="10" defaultColWidth="8.83203125" defaultRowHeight="15"/>
  <cols>
    <col min="2" max="2" width="25" customWidth="1"/>
    <col min="4" max="4" width="9.33203125" customWidth="1"/>
    <col min="6" max="6" width="15" bestFit="1" customWidth="1"/>
    <col min="7" max="7" width="11.1640625" bestFit="1" customWidth="1"/>
    <col min="10" max="10" width="16.33203125" bestFit="1" customWidth="1"/>
    <col min="14" max="14" width="12.83203125" bestFit="1" customWidth="1"/>
    <col min="15" max="15" width="11.1640625" bestFit="1" customWidth="1"/>
    <col min="17" max="17" width="56.6640625" customWidth="1"/>
  </cols>
  <sheetData>
    <row r="2" spans="2:17" ht="16" thickBot="1">
      <c r="B2" s="427" t="s">
        <v>1</v>
      </c>
      <c r="C2" s="427"/>
      <c r="D2" s="427"/>
      <c r="E2" s="427"/>
      <c r="F2" s="427"/>
      <c r="G2" s="427"/>
    </row>
    <row r="3" spans="2:17" ht="16" thickBot="1">
      <c r="B3" s="424" t="s">
        <v>126</v>
      </c>
      <c r="C3" s="425"/>
      <c r="D3" s="425"/>
      <c r="E3" s="425"/>
      <c r="F3" s="425"/>
      <c r="G3" s="426"/>
      <c r="J3" s="424" t="s">
        <v>205</v>
      </c>
      <c r="K3" s="425"/>
      <c r="L3" s="425"/>
      <c r="M3" s="425"/>
      <c r="N3" s="425"/>
      <c r="O3" s="426"/>
    </row>
    <row r="4" spans="2:17">
      <c r="B4" s="207" t="s">
        <v>123</v>
      </c>
      <c r="C4" s="208"/>
      <c r="D4" s="209"/>
      <c r="E4" s="210"/>
      <c r="F4" s="211" t="s">
        <v>5</v>
      </c>
      <c r="G4" s="212" t="s">
        <v>125</v>
      </c>
      <c r="J4" s="207" t="s">
        <v>123</v>
      </c>
      <c r="K4" s="208"/>
      <c r="L4" s="209"/>
      <c r="M4" s="210"/>
      <c r="N4" s="211" t="s">
        <v>5</v>
      </c>
      <c r="O4" s="212" t="s">
        <v>125</v>
      </c>
    </row>
    <row r="5" spans="2:17">
      <c r="B5" s="243"/>
      <c r="C5" s="213"/>
      <c r="D5" s="214"/>
      <c r="E5" s="215"/>
      <c r="F5" s="214"/>
      <c r="G5" s="216"/>
      <c r="J5" s="243" t="s">
        <v>122</v>
      </c>
      <c r="K5" s="213"/>
      <c r="L5" s="214"/>
      <c r="M5" s="215"/>
      <c r="N5" s="214"/>
      <c r="O5" s="216">
        <f>N5/'Deal Summary'!$G$22</f>
        <v>0</v>
      </c>
    </row>
    <row r="6" spans="2:17">
      <c r="B6" s="244" t="s">
        <v>184</v>
      </c>
      <c r="C6" s="213"/>
      <c r="D6" s="214"/>
      <c r="E6" s="215"/>
      <c r="F6" s="245"/>
      <c r="G6" s="216"/>
      <c r="J6" s="244" t="s">
        <v>134</v>
      </c>
      <c r="K6" s="213"/>
      <c r="L6" s="214"/>
      <c r="M6" s="215"/>
      <c r="N6" s="245">
        <v>0</v>
      </c>
      <c r="O6" s="216">
        <f>N6/'Deal Summary'!$G$22</f>
        <v>0</v>
      </c>
    </row>
    <row r="7" spans="2:17">
      <c r="B7" s="244" t="s">
        <v>185</v>
      </c>
      <c r="C7" s="213"/>
      <c r="D7" s="214"/>
      <c r="E7" s="215"/>
      <c r="F7" s="245"/>
      <c r="G7" s="216"/>
      <c r="J7" s="244" t="s">
        <v>135</v>
      </c>
      <c r="K7" s="213"/>
      <c r="L7" s="214"/>
      <c r="M7" s="215"/>
      <c r="N7" s="245"/>
      <c r="O7" s="216">
        <f>N7/'Deal Summary'!$G$22</f>
        <v>0</v>
      </c>
    </row>
    <row r="8" spans="2:17">
      <c r="B8" s="244" t="s">
        <v>186</v>
      </c>
      <c r="C8" s="213"/>
      <c r="D8" s="214"/>
      <c r="E8" s="215"/>
      <c r="F8" s="245"/>
      <c r="G8" s="216"/>
      <c r="J8" s="244" t="s">
        <v>136</v>
      </c>
      <c r="K8" s="213"/>
      <c r="L8" s="214"/>
      <c r="M8" s="215"/>
      <c r="N8" s="245"/>
      <c r="O8" s="216">
        <f>N8/'Deal Summary'!$G$22</f>
        <v>0</v>
      </c>
    </row>
    <row r="9" spans="2:17">
      <c r="B9" s="243"/>
      <c r="C9" s="213"/>
      <c r="D9" s="214"/>
      <c r="E9" s="215"/>
      <c r="F9" s="214"/>
      <c r="G9" s="216"/>
      <c r="J9" s="243" t="s">
        <v>132</v>
      </c>
      <c r="K9" s="213"/>
      <c r="L9" s="214"/>
      <c r="M9" s="215"/>
      <c r="N9" s="214"/>
      <c r="O9" s="216">
        <f>N9/'Deal Summary'!$G$22</f>
        <v>0</v>
      </c>
    </row>
    <row r="10" spans="2:17">
      <c r="B10" s="244" t="s">
        <v>187</v>
      </c>
      <c r="C10" s="213"/>
      <c r="D10" s="214"/>
      <c r="E10" s="215"/>
      <c r="F10" s="245"/>
      <c r="G10" s="216"/>
      <c r="J10" s="393" t="s">
        <v>137</v>
      </c>
      <c r="K10" s="213"/>
      <c r="L10" s="214"/>
      <c r="M10" s="215"/>
      <c r="N10" s="245"/>
      <c r="O10" s="216">
        <f>N10/'Deal Summary'!$G$22</f>
        <v>0</v>
      </c>
    </row>
    <row r="11" spans="2:17">
      <c r="B11" s="244" t="s">
        <v>188</v>
      </c>
      <c r="C11" s="213"/>
      <c r="D11" s="214"/>
      <c r="E11" s="215"/>
      <c r="F11" s="245"/>
      <c r="G11" s="216"/>
      <c r="J11" s="244" t="s">
        <v>127</v>
      </c>
      <c r="K11" s="213"/>
      <c r="L11" s="214"/>
      <c r="M11" s="215"/>
      <c r="N11" s="245"/>
      <c r="O11" s="216">
        <f>N11/'Deal Summary'!$G$22</f>
        <v>0</v>
      </c>
    </row>
    <row r="12" spans="2:17">
      <c r="B12" s="244" t="s">
        <v>189</v>
      </c>
      <c r="C12" s="213"/>
      <c r="D12" s="214"/>
      <c r="E12" s="215"/>
      <c r="F12" s="245"/>
      <c r="G12" s="216"/>
      <c r="J12" s="244" t="s">
        <v>127</v>
      </c>
      <c r="K12" s="213"/>
      <c r="L12" s="214"/>
      <c r="M12" s="215"/>
      <c r="N12" s="245"/>
      <c r="O12" s="216">
        <f>N12/'Deal Summary'!$G$22</f>
        <v>0</v>
      </c>
    </row>
    <row r="13" spans="2:17">
      <c r="B13" s="243"/>
      <c r="C13" s="213"/>
      <c r="D13" s="214"/>
      <c r="E13" s="215"/>
      <c r="F13" s="214"/>
      <c r="G13" s="216"/>
      <c r="J13" s="243" t="s">
        <v>133</v>
      </c>
      <c r="K13" s="213"/>
      <c r="L13" s="214"/>
      <c r="M13" s="215"/>
      <c r="N13" s="214"/>
      <c r="O13" s="216">
        <f>N13/'Deal Summary'!$G$22</f>
        <v>0</v>
      </c>
    </row>
    <row r="14" spans="2:17">
      <c r="B14" s="244" t="s">
        <v>246</v>
      </c>
      <c r="C14" s="213"/>
      <c r="D14" s="214"/>
      <c r="E14" s="215"/>
      <c r="F14" s="245"/>
      <c r="G14" s="216"/>
      <c r="J14" s="393" t="s">
        <v>138</v>
      </c>
      <c r="K14" s="213"/>
      <c r="L14" s="214"/>
      <c r="M14" s="215"/>
      <c r="N14" s="245"/>
      <c r="O14" s="216">
        <f>N14/'Deal Summary'!$G$22</f>
        <v>0</v>
      </c>
    </row>
    <row r="15" spans="2:17">
      <c r="B15" s="244" t="s">
        <v>190</v>
      </c>
      <c r="C15" s="213"/>
      <c r="D15" s="214"/>
      <c r="E15" s="215"/>
      <c r="F15" s="245"/>
      <c r="G15" s="216"/>
      <c r="J15" s="244" t="s">
        <v>139</v>
      </c>
      <c r="K15" s="213"/>
      <c r="L15" s="214"/>
      <c r="M15" s="215"/>
      <c r="N15" s="245"/>
      <c r="O15" s="216">
        <f>N15/'Deal Summary'!$G$22</f>
        <v>0</v>
      </c>
    </row>
    <row r="16" spans="2:17">
      <c r="B16" s="244" t="s">
        <v>191</v>
      </c>
      <c r="C16" s="213"/>
      <c r="D16" s="214"/>
      <c r="E16" s="215"/>
      <c r="F16" s="245"/>
      <c r="G16" s="216"/>
      <c r="J16" s="244" t="s">
        <v>127</v>
      </c>
      <c r="K16" s="213"/>
      <c r="L16" s="214"/>
      <c r="M16" s="215"/>
      <c r="N16" s="245"/>
      <c r="O16" s="216">
        <f>N16/'Deal Summary'!$G$22</f>
        <v>0</v>
      </c>
      <c r="Q16" s="409"/>
    </row>
    <row r="17" spans="2:17" ht="16" thickBot="1">
      <c r="B17" s="218" t="s">
        <v>147</v>
      </c>
      <c r="C17" s="219"/>
      <c r="D17" s="220"/>
      <c r="E17" s="221"/>
      <c r="F17" s="217">
        <f>SUM(F5:F16)</f>
        <v>0</v>
      </c>
      <c r="G17" s="242">
        <f>F17/'Deal Summary'!$G$22</f>
        <v>0</v>
      </c>
      <c r="J17" s="218" t="s">
        <v>140</v>
      </c>
      <c r="K17" s="219"/>
      <c r="L17" s="220"/>
      <c r="M17" s="221"/>
      <c r="N17" s="217">
        <f>SUM(N5:N16)</f>
        <v>0</v>
      </c>
      <c r="O17" s="242">
        <f>N17/'Deal Summary'!$G$22</f>
        <v>0</v>
      </c>
      <c r="Q17" s="409"/>
    </row>
    <row r="18" spans="2:17" ht="16" thickBot="1">
      <c r="B18" s="424" t="s">
        <v>124</v>
      </c>
      <c r="C18" s="425"/>
      <c r="D18" s="425"/>
      <c r="E18" s="425"/>
      <c r="F18" s="425"/>
      <c r="G18" s="426"/>
      <c r="Q18" s="409"/>
    </row>
    <row r="19" spans="2:17">
      <c r="B19" s="207" t="s">
        <v>123</v>
      </c>
      <c r="C19" s="208"/>
      <c r="D19" s="209"/>
      <c r="E19" s="210"/>
      <c r="F19" s="211" t="s">
        <v>5</v>
      </c>
      <c r="G19" s="212" t="s">
        <v>125</v>
      </c>
      <c r="Q19" s="409"/>
    </row>
    <row r="20" spans="2:17">
      <c r="B20" s="244" t="s">
        <v>244</v>
      </c>
      <c r="C20" s="213"/>
      <c r="D20" s="214"/>
      <c r="E20" s="215"/>
      <c r="F20" s="245"/>
      <c r="G20" s="216">
        <f>F20/'Deal Summary'!$G$22</f>
        <v>0</v>
      </c>
      <c r="Q20" s="409"/>
    </row>
    <row r="21" spans="2:17">
      <c r="B21" s="244" t="s">
        <v>245</v>
      </c>
      <c r="C21" s="213"/>
      <c r="D21" s="214"/>
      <c r="E21" s="215"/>
      <c r="F21" s="245"/>
      <c r="G21" s="216">
        <f>F21/'Deal Summary'!$G$22</f>
        <v>0</v>
      </c>
      <c r="Q21" s="409"/>
    </row>
    <row r="22" spans="2:17">
      <c r="B22" s="244" t="s">
        <v>246</v>
      </c>
      <c r="C22" s="213"/>
      <c r="D22" s="214"/>
      <c r="E22" s="215"/>
      <c r="F22" s="245"/>
      <c r="G22" s="216">
        <f>F22/'Deal Summary'!$G$22</f>
        <v>0</v>
      </c>
      <c r="Q22" s="409"/>
    </row>
    <row r="23" spans="2:17">
      <c r="B23" s="244" t="s">
        <v>191</v>
      </c>
      <c r="C23" s="213"/>
      <c r="D23" s="214"/>
      <c r="E23" s="215"/>
      <c r="F23" s="245"/>
      <c r="G23" s="216">
        <f>F23/'Deal Summary'!$G$22</f>
        <v>0</v>
      </c>
      <c r="Q23" s="409"/>
    </row>
    <row r="24" spans="2:17">
      <c r="B24" s="244" t="s">
        <v>247</v>
      </c>
      <c r="C24" s="213"/>
      <c r="D24" s="214"/>
      <c r="E24" s="215"/>
      <c r="F24" s="245"/>
      <c r="G24" s="216">
        <f>F24/'Deal Summary'!$G$22</f>
        <v>0</v>
      </c>
      <c r="Q24" s="409"/>
    </row>
    <row r="25" spans="2:17">
      <c r="B25" s="244" t="s">
        <v>248</v>
      </c>
      <c r="C25" s="213"/>
      <c r="D25" s="214"/>
      <c r="E25" s="215"/>
      <c r="F25" s="245"/>
      <c r="G25" s="216">
        <f>F25/'Deal Summary'!$G$22</f>
        <v>0</v>
      </c>
      <c r="Q25" s="409"/>
    </row>
    <row r="26" spans="2:17">
      <c r="B26" s="244" t="s">
        <v>249</v>
      </c>
      <c r="C26" s="213"/>
      <c r="D26" s="214"/>
      <c r="E26" s="215"/>
      <c r="F26" s="245"/>
      <c r="G26" s="216">
        <f>F26/'Deal Summary'!$G$22</f>
        <v>0</v>
      </c>
      <c r="Q26" s="409"/>
    </row>
    <row r="27" spans="2:17">
      <c r="B27" s="244" t="s">
        <v>189</v>
      </c>
      <c r="C27" s="213"/>
      <c r="D27" s="214"/>
      <c r="E27" s="215"/>
      <c r="F27" s="245"/>
      <c r="G27" s="216">
        <f>F27/'Deal Summary'!$G$22</f>
        <v>0</v>
      </c>
    </row>
    <row r="28" spans="2:17">
      <c r="B28" s="244" t="s">
        <v>250</v>
      </c>
      <c r="C28" s="213"/>
      <c r="D28" s="214"/>
      <c r="E28" s="215"/>
      <c r="F28" s="245"/>
      <c r="G28" s="216">
        <f>F28/'Deal Summary'!$G$22</f>
        <v>0</v>
      </c>
    </row>
    <row r="29" spans="2:17">
      <c r="B29" s="244" t="s">
        <v>251</v>
      </c>
      <c r="C29" s="213"/>
      <c r="D29" s="214"/>
      <c r="E29" s="215"/>
      <c r="F29" s="245"/>
      <c r="G29" s="216">
        <f>F29/'Deal Summary'!$G$22</f>
        <v>0</v>
      </c>
    </row>
    <row r="30" spans="2:17">
      <c r="B30" s="244" t="s">
        <v>252</v>
      </c>
      <c r="C30" s="213"/>
      <c r="D30" s="214"/>
      <c r="E30" s="215"/>
      <c r="F30" s="245"/>
      <c r="G30" s="216">
        <f>F30/'Deal Summary'!$G$22</f>
        <v>0</v>
      </c>
    </row>
    <row r="31" spans="2:17">
      <c r="B31" s="244"/>
      <c r="C31" s="213"/>
      <c r="D31" s="214"/>
      <c r="E31" s="215"/>
      <c r="F31" s="245"/>
      <c r="G31" s="216">
        <f>F31/'Deal Summary'!$G$22</f>
        <v>0</v>
      </c>
    </row>
    <row r="32" spans="2:17">
      <c r="B32" s="244" t="s">
        <v>96</v>
      </c>
      <c r="C32" s="213"/>
      <c r="D32" s="214"/>
      <c r="E32" s="215"/>
      <c r="F32" s="245"/>
      <c r="G32" s="216">
        <f>F32/'Deal Summary'!$G$22</f>
        <v>0</v>
      </c>
    </row>
    <row r="33" spans="2:7">
      <c r="B33" s="244" t="s">
        <v>96</v>
      </c>
      <c r="C33" s="213"/>
      <c r="D33" s="214"/>
      <c r="E33" s="215"/>
      <c r="F33" s="245"/>
      <c r="G33" s="216">
        <f>F33/'Deal Summary'!$G$22</f>
        <v>0</v>
      </c>
    </row>
    <row r="34" spans="2:7">
      <c r="B34" s="244" t="s">
        <v>96</v>
      </c>
      <c r="C34" s="213"/>
      <c r="D34" s="214"/>
      <c r="E34" s="215"/>
      <c r="F34" s="245"/>
      <c r="G34" s="216">
        <f>F34/'Deal Summary'!$G$22</f>
        <v>0</v>
      </c>
    </row>
    <row r="35" spans="2:7">
      <c r="B35" s="244" t="s">
        <v>96</v>
      </c>
      <c r="C35" s="213"/>
      <c r="D35" s="214"/>
      <c r="E35" s="215"/>
      <c r="F35" s="245"/>
      <c r="G35" s="216">
        <f>F35/'Deal Summary'!$G$22</f>
        <v>0</v>
      </c>
    </row>
    <row r="36" spans="2:7">
      <c r="B36" s="244" t="s">
        <v>96</v>
      </c>
      <c r="C36" s="213"/>
      <c r="D36" s="214"/>
      <c r="E36" s="215"/>
      <c r="F36" s="245"/>
      <c r="G36" s="216">
        <f>F36/'Deal Summary'!$G$22</f>
        <v>0</v>
      </c>
    </row>
    <row r="37" spans="2:7">
      <c r="B37" s="244" t="s">
        <v>96</v>
      </c>
      <c r="C37" s="213"/>
      <c r="D37" s="214"/>
      <c r="E37" s="215"/>
      <c r="F37" s="245"/>
      <c r="G37" s="216">
        <f>F37/'Deal Summary'!$G$22</f>
        <v>0</v>
      </c>
    </row>
    <row r="38" spans="2:7">
      <c r="B38" s="244" t="s">
        <v>96</v>
      </c>
      <c r="C38" s="213"/>
      <c r="D38" s="214"/>
      <c r="E38" s="215"/>
      <c r="F38" s="245"/>
      <c r="G38" s="216">
        <f>F38/'Deal Summary'!$G$22</f>
        <v>0</v>
      </c>
    </row>
    <row r="39" spans="2:7">
      <c r="B39" s="244" t="s">
        <v>96</v>
      </c>
      <c r="F39" s="245"/>
      <c r="G39" s="216">
        <f>F39/'Deal Summary'!$G$22</f>
        <v>0</v>
      </c>
    </row>
    <row r="40" spans="2:7">
      <c r="B40" s="244" t="s">
        <v>96</v>
      </c>
      <c r="F40" s="245"/>
      <c r="G40" s="216">
        <f>F40/'Deal Summary'!$G$22</f>
        <v>0</v>
      </c>
    </row>
    <row r="41" spans="2:7">
      <c r="B41" s="244" t="s">
        <v>96</v>
      </c>
      <c r="F41" s="245"/>
      <c r="G41" s="216">
        <f>F41/'Deal Summary'!$G$22</f>
        <v>0</v>
      </c>
    </row>
    <row r="42" spans="2:7">
      <c r="B42" s="244"/>
      <c r="C42" s="213"/>
      <c r="D42" s="214"/>
      <c r="E42" s="215"/>
      <c r="F42" s="245"/>
      <c r="G42" s="216">
        <f>F42/'Deal Summary'!$G$22</f>
        <v>0</v>
      </c>
    </row>
    <row r="43" spans="2:7" ht="16" thickBot="1">
      <c r="B43" s="218" t="s">
        <v>131</v>
      </c>
      <c r="C43" s="219"/>
      <c r="D43" s="220"/>
      <c r="E43" s="221"/>
      <c r="F43" s="217">
        <f>SUM(F20:F42)</f>
        <v>0</v>
      </c>
      <c r="G43" s="242">
        <f>F43/'Deal Summary'!$G$22</f>
        <v>0</v>
      </c>
    </row>
    <row r="49" spans="6:6">
      <c r="F49" t="s">
        <v>263</v>
      </c>
    </row>
    <row r="50" spans="6:6">
      <c r="F50" t="s">
        <v>266</v>
      </c>
    </row>
    <row r="51" spans="6:6">
      <c r="F51" t="s">
        <v>264</v>
      </c>
    </row>
    <row r="52" spans="6:6">
      <c r="F52" t="s">
        <v>265</v>
      </c>
    </row>
    <row r="53" spans="6:6">
      <c r="F53" t="s">
        <v>267</v>
      </c>
    </row>
  </sheetData>
  <sheetProtection sheet="1" objects="1" scenarios="1" formatCells="0" sort="0" autoFilter="0" pivotTables="0"/>
  <mergeCells count="4">
    <mergeCell ref="B3:G3"/>
    <mergeCell ref="B18:G18"/>
    <mergeCell ref="J3:O3"/>
    <mergeCell ref="B2:G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F491CF-6C12-4C99-9D60-28A7743418C6}">
  <sheetPr codeName="Sheet3">
    <tabColor rgb="FFB4C4C1"/>
  </sheetPr>
  <dimension ref="A1:EJ92"/>
  <sheetViews>
    <sheetView showGridLines="0" topLeftCell="C13" zoomScale="160" zoomScaleNormal="100" workbookViewId="0">
      <selection activeCell="J23" sqref="J23"/>
    </sheetView>
  </sheetViews>
  <sheetFormatPr baseColWidth="10" defaultColWidth="8.83203125" defaultRowHeight="15" outlineLevelRow="1" outlineLevelCol="1"/>
  <cols>
    <col min="2" max="2" width="2.83203125" customWidth="1"/>
    <col min="3" max="3" width="34.33203125" style="120" customWidth="1"/>
    <col min="4" max="4" width="8" customWidth="1"/>
    <col min="5" max="5" width="13.33203125" hidden="1" customWidth="1" outlineLevel="1"/>
    <col min="6" max="6" width="16.5" bestFit="1" customWidth="1" collapsed="1"/>
    <col min="7" max="7" width="16" bestFit="1" customWidth="1"/>
    <col min="8" max="10" width="16.5" bestFit="1" customWidth="1"/>
    <col min="11" max="11" width="12.5" bestFit="1" customWidth="1"/>
    <col min="12" max="13" width="16" customWidth="1"/>
    <col min="14" max="14" width="5" customWidth="1"/>
    <col min="15" max="15" width="39.33203125" customWidth="1"/>
    <col min="16" max="16" width="16" bestFit="1" customWidth="1"/>
    <col min="17" max="17" width="4.83203125" style="57" customWidth="1"/>
    <col min="18" max="18" width="21.1640625" customWidth="1"/>
    <col min="19" max="19" width="10.6640625" customWidth="1"/>
    <col min="20" max="20" width="13.5" bestFit="1" customWidth="1"/>
    <col min="21" max="21" width="34.5" bestFit="1" customWidth="1"/>
    <col min="22" max="22" width="14.5" customWidth="1"/>
    <col min="23" max="23" width="7.1640625" customWidth="1"/>
    <col min="24" max="24" width="34.5" bestFit="1" customWidth="1"/>
    <col min="25" max="25" width="14.5" customWidth="1"/>
    <col min="26" max="26" width="0.5" customWidth="1"/>
  </cols>
  <sheetData>
    <row r="1" spans="1:140" ht="16" thickBot="1">
      <c r="C1" s="54"/>
      <c r="D1" s="54"/>
      <c r="F1" s="55"/>
      <c r="J1" s="56"/>
    </row>
    <row r="2" spans="1:140" ht="14.5" customHeight="1">
      <c r="C2" s="448" t="s">
        <v>41</v>
      </c>
      <c r="D2" s="449"/>
      <c r="E2" s="449"/>
      <c r="F2" s="449"/>
      <c r="G2" s="449"/>
      <c r="H2" s="449"/>
      <c r="I2" s="449"/>
      <c r="J2" s="449"/>
      <c r="K2" s="449"/>
      <c r="L2" s="449"/>
      <c r="M2" s="449"/>
      <c r="N2" s="449"/>
      <c r="O2" s="449"/>
      <c r="P2" s="450"/>
      <c r="Q2" s="58"/>
    </row>
    <row r="3" spans="1:140" ht="14.5" customHeight="1" thickBot="1">
      <c r="C3" s="451"/>
      <c r="D3" s="452"/>
      <c r="E3" s="452"/>
      <c r="F3" s="452"/>
      <c r="G3" s="452"/>
      <c r="H3" s="452"/>
      <c r="I3" s="452"/>
      <c r="J3" s="452"/>
      <c r="K3" s="452"/>
      <c r="L3" s="452"/>
      <c r="M3" s="452"/>
      <c r="N3" s="452"/>
      <c r="O3" s="452"/>
      <c r="P3" s="453"/>
      <c r="Q3" s="58"/>
    </row>
    <row r="4" spans="1:140" ht="16" thickBot="1">
      <c r="C4" s="59"/>
      <c r="D4" s="60"/>
      <c r="E4" s="362" t="s">
        <v>159</v>
      </c>
      <c r="F4" s="362" t="s">
        <v>231</v>
      </c>
      <c r="G4" s="362" t="s">
        <v>103</v>
      </c>
      <c r="H4" s="362" t="s">
        <v>104</v>
      </c>
      <c r="I4" s="362" t="s">
        <v>105</v>
      </c>
      <c r="J4" s="362" t="s">
        <v>106</v>
      </c>
      <c r="K4" s="362" t="s">
        <v>107</v>
      </c>
      <c r="L4" s="362">
        <v>7</v>
      </c>
      <c r="M4" s="61"/>
      <c r="N4" s="62"/>
      <c r="O4" s="454" t="s">
        <v>42</v>
      </c>
      <c r="P4" s="455"/>
      <c r="Q4" s="63"/>
    </row>
    <row r="5" spans="1:140">
      <c r="C5" s="35"/>
      <c r="F5" s="51"/>
      <c r="G5" s="51"/>
      <c r="H5" s="246"/>
      <c r="I5" s="246"/>
      <c r="J5" s="246"/>
      <c r="O5" s="26"/>
      <c r="P5" s="64"/>
      <c r="Q5" s="65"/>
    </row>
    <row r="6" spans="1:140">
      <c r="C6" s="35"/>
      <c r="F6" s="13"/>
      <c r="G6" s="13"/>
      <c r="H6" s="13"/>
      <c r="I6" s="13"/>
      <c r="J6" s="13"/>
      <c r="K6" s="13"/>
      <c r="L6" s="13"/>
      <c r="M6" s="13"/>
      <c r="O6" s="7" t="s">
        <v>160</v>
      </c>
      <c r="P6" s="66">
        <f>'Deal Summary'!T31</f>
        <v>0</v>
      </c>
      <c r="Q6" s="67"/>
    </row>
    <row r="7" spans="1:140">
      <c r="C7" s="35"/>
      <c r="F7" s="13"/>
      <c r="G7" s="13"/>
      <c r="H7" s="13"/>
      <c r="I7" s="13"/>
      <c r="J7" s="13"/>
      <c r="K7" s="13"/>
      <c r="L7" s="13"/>
      <c r="M7" s="13"/>
      <c r="O7" s="7"/>
      <c r="P7" s="66"/>
      <c r="Q7" s="67"/>
    </row>
    <row r="8" spans="1:140">
      <c r="C8" s="68" t="s">
        <v>43</v>
      </c>
      <c r="O8" s="7"/>
      <c r="P8" s="66"/>
      <c r="Q8" s="67"/>
    </row>
    <row r="9" spans="1:140">
      <c r="C9" s="35" t="s">
        <v>6</v>
      </c>
      <c r="E9" s="74">
        <v>0</v>
      </c>
      <c r="F9" s="74">
        <f>'Rent Roll'!DE28</f>
        <v>324000</v>
      </c>
      <c r="G9" s="74">
        <f>'Rent Roll'!DF28</f>
        <v>333720</v>
      </c>
      <c r="H9" s="74">
        <f>'Rent Roll'!DG28</f>
        <v>343752</v>
      </c>
      <c r="I9" s="74">
        <f>'Rent Roll'!DH28</f>
        <v>354106.58399999997</v>
      </c>
      <c r="J9" s="74">
        <f>'Rent Roll'!DI28</f>
        <v>364794.71064</v>
      </c>
      <c r="K9" s="74">
        <f>'Rent Roll'!DJ28</f>
        <v>375827.72688720003</v>
      </c>
      <c r="L9" s="74">
        <f>'Rent Roll'!DK28</f>
        <v>387217.38223500003</v>
      </c>
      <c r="M9" s="247"/>
      <c r="O9" s="7" t="s">
        <v>161</v>
      </c>
      <c r="P9" s="85">
        <f>'Deal Summary'!T26</f>
        <v>0</v>
      </c>
      <c r="Q9" s="65"/>
    </row>
    <row r="10" spans="1:140" s="70" customFormat="1">
      <c r="A10"/>
      <c r="B10"/>
      <c r="C10" s="44" t="s">
        <v>162</v>
      </c>
      <c r="E10" s="71"/>
      <c r="F10" s="71">
        <f t="shared" ref="F10:L10" si="0">F$9*$P$6</f>
        <v>0</v>
      </c>
      <c r="G10" s="71">
        <f t="shared" si="0"/>
        <v>0</v>
      </c>
      <c r="H10" s="71">
        <f t="shared" si="0"/>
        <v>0</v>
      </c>
      <c r="I10" s="71">
        <f t="shared" si="0"/>
        <v>0</v>
      </c>
      <c r="J10" s="71">
        <f t="shared" si="0"/>
        <v>0</v>
      </c>
      <c r="K10" s="71">
        <f t="shared" si="0"/>
        <v>0</v>
      </c>
      <c r="L10" s="71">
        <f t="shared" si="0"/>
        <v>0</v>
      </c>
      <c r="M10" s="247"/>
      <c r="N10"/>
      <c r="O10" s="7" t="s">
        <v>163</v>
      </c>
      <c r="P10" s="69" t="s">
        <v>164</v>
      </c>
      <c r="Q10" s="73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</row>
    <row r="11" spans="1:140" s="70" customFormat="1">
      <c r="A11"/>
      <c r="B11"/>
      <c r="C11" s="68" t="s">
        <v>45</v>
      </c>
      <c r="D11"/>
      <c r="E11" s="247"/>
      <c r="F11" s="247">
        <f>F9-F10</f>
        <v>324000</v>
      </c>
      <c r="G11" s="33">
        <f t="shared" ref="G11:K11" si="1">G9-G10</f>
        <v>333720</v>
      </c>
      <c r="H11" s="247">
        <f t="shared" si="1"/>
        <v>343752</v>
      </c>
      <c r="I11" s="33">
        <f t="shared" si="1"/>
        <v>354106.58399999997</v>
      </c>
      <c r="J11" s="247">
        <f t="shared" si="1"/>
        <v>364794.71064</v>
      </c>
      <c r="K11" s="33">
        <f t="shared" si="1"/>
        <v>375827.72688720003</v>
      </c>
      <c r="L11" s="33">
        <f t="shared" ref="L11" si="2">L9-L10</f>
        <v>387217.38223500003</v>
      </c>
      <c r="M11" s="33"/>
      <c r="N11"/>
      <c r="O11" s="7" t="s">
        <v>44</v>
      </c>
      <c r="P11" s="72">
        <f>'Deal Summary'!T30</f>
        <v>6.5000000000000002E-2</v>
      </c>
      <c r="Q11" s="67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</row>
    <row r="12" spans="1:140">
      <c r="C12" s="35" t="s">
        <v>165</v>
      </c>
      <c r="E12" s="247">
        <f>F12</f>
        <v>0</v>
      </c>
      <c r="F12" s="247">
        <f>F18*'Rent Roll'!$C$28+Proforma!F19*'Rent Roll'!$D$28+Proforma!F20*'Rent Roll'!$E$28</f>
        <v>0</v>
      </c>
      <c r="G12" s="247">
        <f>G18*'Rent Roll'!$C$28+Proforma!G19*'Rent Roll'!$D$28+Proforma!G20*'Rent Roll'!$E$28</f>
        <v>0</v>
      </c>
      <c r="H12" s="247">
        <f>H18*'Rent Roll'!$C$28+Proforma!H19*'Rent Roll'!$D$28+Proforma!H20*'Rent Roll'!$E$28</f>
        <v>0</v>
      </c>
      <c r="I12" s="247">
        <f>I18*'Rent Roll'!$C$28+Proforma!I19*'Rent Roll'!$D$28+Proforma!I20*'Rent Roll'!$E$28</f>
        <v>0</v>
      </c>
      <c r="J12" s="247">
        <f>J18*'Rent Roll'!$C$28+Proforma!J19*'Rent Roll'!$D$28+Proforma!J20*'Rent Roll'!$E$28</f>
        <v>0</v>
      </c>
      <c r="K12" s="247">
        <f>K18*'Rent Roll'!$C$28+Proforma!K19*'Rent Roll'!$D$28+Proforma!K20*'Rent Roll'!$E$28</f>
        <v>0</v>
      </c>
      <c r="L12" s="247">
        <f>L18*'Rent Roll'!$C$28+Proforma!L19*'Rent Roll'!$D$28+Proforma!L20*'Rent Roll'!$E$28</f>
        <v>0</v>
      </c>
      <c r="M12" s="14"/>
      <c r="O12" s="7" t="s">
        <v>46</v>
      </c>
      <c r="P12" s="66">
        <v>0.04</v>
      </c>
      <c r="Q12"/>
    </row>
    <row r="13" spans="1:140" s="70" customFormat="1">
      <c r="A13"/>
      <c r="B13"/>
      <c r="C13" s="35" t="s">
        <v>47</v>
      </c>
      <c r="D13"/>
      <c r="E13" s="247">
        <v>0</v>
      </c>
      <c r="F13" s="247">
        <v>0</v>
      </c>
      <c r="G13" s="247">
        <v>0</v>
      </c>
      <c r="H13" s="247">
        <v>0</v>
      </c>
      <c r="I13" s="247">
        <v>0</v>
      </c>
      <c r="J13" s="14">
        <v>0</v>
      </c>
      <c r="K13" s="14">
        <v>0</v>
      </c>
      <c r="L13" s="14">
        <v>0</v>
      </c>
      <c r="M13" s="14"/>
      <c r="N13"/>
      <c r="O13" s="7" t="s">
        <v>204</v>
      </c>
      <c r="P13" s="75">
        <f>'Deal Summary'!G24</f>
        <v>0.1588661206375647</v>
      </c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</row>
    <row r="14" spans="1:140" s="70" customFormat="1">
      <c r="A14"/>
      <c r="B14"/>
      <c r="C14" s="78" t="s">
        <v>49</v>
      </c>
      <c r="D14" s="79"/>
      <c r="E14" s="315">
        <f t="shared" ref="E14:K14" si="3">E11+E12+E13</f>
        <v>0</v>
      </c>
      <c r="F14" s="315">
        <f t="shared" si="3"/>
        <v>324000</v>
      </c>
      <c r="G14" s="80">
        <f t="shared" si="3"/>
        <v>333720</v>
      </c>
      <c r="H14" s="315">
        <f t="shared" si="3"/>
        <v>343752</v>
      </c>
      <c r="I14" s="80">
        <f t="shared" si="3"/>
        <v>354106.58399999997</v>
      </c>
      <c r="J14" s="315">
        <f t="shared" si="3"/>
        <v>364794.71064</v>
      </c>
      <c r="K14" s="80">
        <f t="shared" si="3"/>
        <v>375827.72688720003</v>
      </c>
      <c r="L14" s="80">
        <f t="shared" ref="L14" si="4">L11+L12+L13</f>
        <v>387217.38223500003</v>
      </c>
      <c r="M14" s="360"/>
      <c r="N14"/>
      <c r="O14" s="76" t="s">
        <v>48</v>
      </c>
      <c r="P14" s="77">
        <f>'Deal Summary'!G30</f>
        <v>611835.92580919713</v>
      </c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</row>
    <row r="15" spans="1:140" s="82" customFormat="1">
      <c r="A15" s="51"/>
      <c r="B15" s="51"/>
      <c r="C15" s="68" t="s">
        <v>50</v>
      </c>
      <c r="D15" s="21"/>
      <c r="E15" s="248"/>
      <c r="F15" s="248"/>
      <c r="G15" s="248"/>
      <c r="H15" s="248"/>
      <c r="I15" s="248"/>
      <c r="J15" s="248"/>
      <c r="K15" s="248"/>
      <c r="L15" s="248"/>
      <c r="M15" s="247"/>
      <c r="N15" s="51"/>
      <c r="O15" s="76"/>
      <c r="P15" s="8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 s="51"/>
      <c r="AH15" s="51"/>
      <c r="AI15" s="51"/>
      <c r="AJ15" s="51"/>
      <c r="AK15" s="51"/>
      <c r="AL15" s="51"/>
      <c r="AM15" s="51"/>
      <c r="AN15" s="51"/>
      <c r="AO15" s="51"/>
      <c r="AP15" s="51"/>
      <c r="AQ15" s="51"/>
      <c r="AR15" s="51"/>
      <c r="AS15" s="51"/>
      <c r="AT15" s="51"/>
    </row>
    <row r="16" spans="1:140" s="79" customFormat="1">
      <c r="A16" s="51"/>
      <c r="B16" s="51"/>
      <c r="C16" s="35" t="s">
        <v>229</v>
      </c>
      <c r="D16" s="21"/>
      <c r="E16" s="248">
        <v>0</v>
      </c>
      <c r="F16" s="248">
        <v>0</v>
      </c>
      <c r="G16" s="248">
        <f>'Rent Roll'!H34</f>
        <v>0</v>
      </c>
      <c r="H16" s="248">
        <f>'Rent Roll'!I34</f>
        <v>0</v>
      </c>
      <c r="I16" s="248">
        <f>'Rent Roll'!J34</f>
        <v>0</v>
      </c>
      <c r="J16" s="248">
        <f>'Rent Roll'!K34</f>
        <v>0</v>
      </c>
      <c r="K16" s="248">
        <f>'Rent Roll'!L34</f>
        <v>0</v>
      </c>
      <c r="L16" s="248">
        <f>'Rent Roll'!M34</f>
        <v>0</v>
      </c>
      <c r="M16" s="247"/>
      <c r="N16" s="51"/>
      <c r="O16" s="76"/>
      <c r="P16" s="8"/>
      <c r="Q16" s="84"/>
      <c r="R16"/>
      <c r="S16"/>
      <c r="T16"/>
      <c r="U16"/>
      <c r="V16"/>
      <c r="W16"/>
      <c r="X16"/>
      <c r="Y16"/>
      <c r="Z16"/>
      <c r="AA16"/>
      <c r="AB16"/>
      <c r="AC16" s="51"/>
      <c r="AD16" s="51"/>
      <c r="AE16" s="51"/>
      <c r="AF16" s="51"/>
      <c r="AG16" s="51"/>
      <c r="AH16" s="51"/>
      <c r="AI16" s="51"/>
      <c r="AJ16" s="51"/>
      <c r="AK16" s="51"/>
      <c r="AL16" s="51"/>
      <c r="AM16" s="51"/>
      <c r="AN16" s="51"/>
      <c r="AO16" s="51"/>
      <c r="AP16" s="51"/>
      <c r="AQ16" s="51"/>
      <c r="AR16" s="51"/>
      <c r="AS16" s="51"/>
      <c r="AT16" s="51"/>
      <c r="AU16" s="51"/>
      <c r="AV16" s="51"/>
      <c r="AW16" s="51"/>
      <c r="AX16" s="51"/>
      <c r="AY16" s="51"/>
      <c r="AZ16" s="51"/>
      <c r="BA16" s="51"/>
      <c r="BB16" s="51"/>
      <c r="BC16" s="51"/>
      <c r="BD16" s="51"/>
      <c r="BE16" s="51"/>
      <c r="BF16" s="51"/>
      <c r="BG16" s="51"/>
      <c r="BH16" s="51"/>
      <c r="BI16" s="51"/>
      <c r="BJ16" s="51"/>
      <c r="BK16" s="51"/>
      <c r="BL16" s="51"/>
      <c r="BM16" s="51"/>
      <c r="BN16" s="51"/>
      <c r="BO16" s="51"/>
      <c r="BP16" s="51"/>
      <c r="BQ16" s="51"/>
      <c r="BR16" s="51"/>
      <c r="BS16" s="51"/>
      <c r="BT16" s="51"/>
      <c r="BU16" s="51"/>
      <c r="BV16" s="51"/>
      <c r="BW16" s="51"/>
      <c r="BX16" s="51"/>
    </row>
    <row r="17" spans="1:76" s="51" customFormat="1" ht="16" thickBot="1">
      <c r="C17" s="35" t="s">
        <v>166</v>
      </c>
      <c r="D17"/>
      <c r="E17" s="33"/>
      <c r="F17" s="33">
        <f>'Rent Roll'!$I$28*0.2</f>
        <v>1100</v>
      </c>
      <c r="G17" s="33">
        <f>'Rent Roll'!$I$28*0.2</f>
        <v>1100</v>
      </c>
      <c r="H17" s="33">
        <f>'Rent Roll'!$I$28*0.2</f>
        <v>1100</v>
      </c>
      <c r="I17" s="33">
        <f>'Rent Roll'!$I$28*0.2</f>
        <v>1100</v>
      </c>
      <c r="J17" s="33">
        <f>'Rent Roll'!$I$28*0.2</f>
        <v>1100</v>
      </c>
      <c r="K17" s="33">
        <f>'Rent Roll'!$I$28*0.2</f>
        <v>1100</v>
      </c>
      <c r="L17" s="33">
        <f>'Rent Roll'!$I$28*0.2</f>
        <v>1100</v>
      </c>
      <c r="M17" s="33"/>
      <c r="O17" s="16" t="s">
        <v>225</v>
      </c>
      <c r="P17" s="124">
        <f>'Tax Credits'!D22</f>
        <v>0</v>
      </c>
      <c r="Q17" s="84"/>
      <c r="R17"/>
      <c r="S17"/>
      <c r="T17"/>
      <c r="U17"/>
      <c r="V17"/>
      <c r="W17"/>
      <c r="X17"/>
      <c r="Y17"/>
      <c r="Z17"/>
      <c r="AA17"/>
      <c r="AB17"/>
    </row>
    <row r="18" spans="1:76" s="51" customFormat="1">
      <c r="C18" s="35" t="s">
        <v>167</v>
      </c>
      <c r="D18"/>
      <c r="E18" s="74">
        <f>F18</f>
        <v>0</v>
      </c>
      <c r="F18" s="335">
        <f>'Deal Summary'!$T23*'Rent Roll'!$I$28</f>
        <v>0</v>
      </c>
      <c r="G18" s="33">
        <f t="shared" ref="G18:L18" si="5">F$18*(1+$P$9)</f>
        <v>0</v>
      </c>
      <c r="H18" s="33">
        <f t="shared" si="5"/>
        <v>0</v>
      </c>
      <c r="I18" s="33">
        <f t="shared" si="5"/>
        <v>0</v>
      </c>
      <c r="J18" s="33">
        <f t="shared" si="5"/>
        <v>0</v>
      </c>
      <c r="K18" s="33">
        <f t="shared" si="5"/>
        <v>0</v>
      </c>
      <c r="L18" s="33">
        <f t="shared" si="5"/>
        <v>0</v>
      </c>
      <c r="M18" s="33"/>
      <c r="O18"/>
      <c r="P18" s="99"/>
      <c r="Q18" s="84"/>
      <c r="R18"/>
      <c r="S18"/>
      <c r="T18"/>
      <c r="U18"/>
      <c r="V18"/>
      <c r="W18"/>
      <c r="X18"/>
      <c r="Y18"/>
      <c r="Z18"/>
      <c r="AA18"/>
      <c r="AB18"/>
    </row>
    <row r="19" spans="1:76" s="51" customFormat="1">
      <c r="C19" s="35" t="s">
        <v>168</v>
      </c>
      <c r="D19"/>
      <c r="E19" s="74">
        <f>F19</f>
        <v>0</v>
      </c>
      <c r="F19" s="335">
        <f>'Deal Summary'!$T24*'Rent Roll'!$I$28</f>
        <v>0</v>
      </c>
      <c r="G19" s="33">
        <f t="shared" ref="G19:L19" si="6">F$19*(1+$P$9)</f>
        <v>0</v>
      </c>
      <c r="H19" s="33">
        <f t="shared" si="6"/>
        <v>0</v>
      </c>
      <c r="I19" s="33">
        <f t="shared" si="6"/>
        <v>0</v>
      </c>
      <c r="J19" s="33">
        <f t="shared" si="6"/>
        <v>0</v>
      </c>
      <c r="K19" s="33">
        <f t="shared" si="6"/>
        <v>0</v>
      </c>
      <c r="L19" s="33">
        <f t="shared" si="6"/>
        <v>0</v>
      </c>
      <c r="M19" s="33"/>
      <c r="O19"/>
      <c r="P19" s="99"/>
      <c r="Q19" s="84"/>
      <c r="R19"/>
      <c r="S19"/>
      <c r="T19"/>
      <c r="U19"/>
      <c r="V19"/>
      <c r="W19"/>
      <c r="X19"/>
      <c r="Y19"/>
      <c r="Z19"/>
      <c r="AA19"/>
      <c r="AB19"/>
    </row>
    <row r="20" spans="1:76" s="51" customFormat="1">
      <c r="C20" s="35" t="s">
        <v>169</v>
      </c>
      <c r="D20"/>
      <c r="E20" s="74">
        <f>F20</f>
        <v>0</v>
      </c>
      <c r="F20" s="335">
        <f>'Deal Summary'!$T25*'Rent Roll'!$I$28</f>
        <v>0</v>
      </c>
      <c r="G20" s="33">
        <f t="shared" ref="G20:L20" si="7">F$20*(1+$P$9)</f>
        <v>0</v>
      </c>
      <c r="H20" s="33">
        <f t="shared" si="7"/>
        <v>0</v>
      </c>
      <c r="I20" s="33">
        <f t="shared" si="7"/>
        <v>0</v>
      </c>
      <c r="J20" s="33">
        <f t="shared" si="7"/>
        <v>0</v>
      </c>
      <c r="K20" s="33">
        <f t="shared" si="7"/>
        <v>0</v>
      </c>
      <c r="L20" s="33">
        <f t="shared" si="7"/>
        <v>0</v>
      </c>
      <c r="M20" s="33"/>
      <c r="O20"/>
      <c r="P20" s="99"/>
      <c r="Q20" s="86"/>
      <c r="R20"/>
      <c r="S20"/>
      <c r="T20"/>
      <c r="U20"/>
      <c r="V20"/>
      <c r="W20"/>
      <c r="X20"/>
      <c r="Y20"/>
      <c r="Z20"/>
      <c r="AA20"/>
      <c r="AB20"/>
    </row>
    <row r="21" spans="1:76" s="51" customFormat="1">
      <c r="C21" s="35" t="s">
        <v>170</v>
      </c>
      <c r="D21" s="316">
        <f>'Deal Summary'!T27</f>
        <v>0.04</v>
      </c>
      <c r="E21" s="33">
        <f>E$11*$D$21</f>
        <v>0</v>
      </c>
      <c r="F21" s="33">
        <f>F$11*$D$21</f>
        <v>12960</v>
      </c>
      <c r="G21" s="33">
        <f>G$11*$D$21</f>
        <v>13348.800000000001</v>
      </c>
      <c r="H21" s="33">
        <f t="shared" ref="H21:L21" si="8">H$11*$D$21</f>
        <v>13750.08</v>
      </c>
      <c r="I21" s="33">
        <f t="shared" si="8"/>
        <v>14164.263359999999</v>
      </c>
      <c r="J21" s="33">
        <f t="shared" si="8"/>
        <v>14591.7884256</v>
      </c>
      <c r="K21" s="33">
        <f t="shared" si="8"/>
        <v>15033.109075488001</v>
      </c>
      <c r="L21" s="33">
        <f t="shared" si="8"/>
        <v>15488.695289400001</v>
      </c>
      <c r="M21" s="33"/>
      <c r="O21"/>
      <c r="P21" s="99"/>
      <c r="Q21" s="86"/>
      <c r="R21"/>
      <c r="S21"/>
      <c r="T21"/>
      <c r="U21"/>
      <c r="V21"/>
      <c r="W21"/>
      <c r="X21"/>
      <c r="Y21"/>
      <c r="Z21"/>
      <c r="AA21"/>
      <c r="AB21"/>
    </row>
    <row r="22" spans="1:76" s="51" customFormat="1" ht="15.75" customHeight="1">
      <c r="C22" s="78" t="s">
        <v>52</v>
      </c>
      <c r="D22" s="79"/>
      <c r="E22" s="87">
        <f t="shared" ref="E22:L22" si="9">E$14-SUM(E$15:E$21)</f>
        <v>0</v>
      </c>
      <c r="F22" s="87">
        <f t="shared" si="9"/>
        <v>309940</v>
      </c>
      <c r="G22" s="87">
        <f t="shared" si="9"/>
        <v>319271.2</v>
      </c>
      <c r="H22" s="87">
        <f t="shared" si="9"/>
        <v>328901.92</v>
      </c>
      <c r="I22" s="87">
        <f t="shared" si="9"/>
        <v>338842.32063999999</v>
      </c>
      <c r="J22" s="87">
        <f t="shared" si="9"/>
        <v>349102.92221440002</v>
      </c>
      <c r="K22" s="87">
        <f t="shared" si="9"/>
        <v>359694.61781171203</v>
      </c>
      <c r="L22" s="87">
        <f t="shared" si="9"/>
        <v>370628.68694560003</v>
      </c>
      <c r="M22" s="96"/>
      <c r="N22"/>
      <c r="O22"/>
      <c r="P22" s="99"/>
      <c r="Q22" s="81"/>
      <c r="R22"/>
      <c r="S22"/>
      <c r="T22"/>
      <c r="U22"/>
      <c r="V22"/>
      <c r="W22"/>
      <c r="X22"/>
      <c r="Y22"/>
      <c r="Z22"/>
      <c r="AA22"/>
      <c r="AB22"/>
    </row>
    <row r="23" spans="1:76" ht="17.25" customHeight="1" thickBot="1">
      <c r="C23" s="89" t="s">
        <v>53</v>
      </c>
      <c r="D23" s="90"/>
      <c r="E23" s="91"/>
      <c r="F23" s="91">
        <f>Financing!$C$12</f>
        <v>113010.63894662136</v>
      </c>
      <c r="G23" s="91">
        <f>Financing!$C$12</f>
        <v>113010.63894662136</v>
      </c>
      <c r="H23" s="91">
        <f>Financing!$C$12</f>
        <v>113010.63894662136</v>
      </c>
      <c r="I23" s="91">
        <f>Financing!$C$12</f>
        <v>113010.63894662136</v>
      </c>
      <c r="J23" s="91">
        <f>Financing!$C$12</f>
        <v>113010.63894662136</v>
      </c>
      <c r="K23" s="91">
        <f>Financing!$C$12</f>
        <v>113010.63894662136</v>
      </c>
      <c r="L23" s="91">
        <f>Financing!$C$12</f>
        <v>113010.63894662136</v>
      </c>
      <c r="M23" s="247"/>
      <c r="P23" s="10"/>
      <c r="Q23" s="81"/>
    </row>
    <row r="24" spans="1:76" ht="17.25" hidden="1" customHeight="1" outlineLevel="1" thickBot="1">
      <c r="C24" s="92" t="s">
        <v>54</v>
      </c>
      <c r="D24" s="93"/>
      <c r="E24" s="94"/>
      <c r="F24" s="94">
        <f>F22-F23</f>
        <v>196929.36105337864</v>
      </c>
      <c r="G24" s="94">
        <f t="shared" ref="G24:H24" si="10">G22-G23</f>
        <v>206260.56105337865</v>
      </c>
      <c r="H24" s="94">
        <f t="shared" si="10"/>
        <v>215891.28105337863</v>
      </c>
      <c r="I24" s="94">
        <f>I22-I23</f>
        <v>225831.68169337863</v>
      </c>
      <c r="J24" s="52">
        <f>J22-J23</f>
        <v>236092.28326777866</v>
      </c>
      <c r="K24" s="52">
        <f>K22-K23</f>
        <v>246683.97886509067</v>
      </c>
      <c r="L24" s="52">
        <f>L22-L23</f>
        <v>257618.04799897867</v>
      </c>
      <c r="M24" s="96"/>
      <c r="P24" s="83">
        <v>7.0000000000000007E-2</v>
      </c>
      <c r="Q24" s="81"/>
    </row>
    <row r="25" spans="1:76" ht="17.25" hidden="1" customHeight="1" outlineLevel="1">
      <c r="C25" s="68" t="s">
        <v>17</v>
      </c>
      <c r="D25" s="51"/>
      <c r="E25" s="95"/>
      <c r="F25" s="95">
        <f t="shared" ref="F25:L25" si="11">F$22/F$23</f>
        <v>2.7425736451803875</v>
      </c>
      <c r="G25" s="95">
        <f t="shared" si="11"/>
        <v>2.8251428624414938</v>
      </c>
      <c r="H25" s="95">
        <f t="shared" si="11"/>
        <v>2.9103624496393756</v>
      </c>
      <c r="I25" s="95">
        <f t="shared" si="11"/>
        <v>2.9983223154772745</v>
      </c>
      <c r="J25" s="95">
        <f t="shared" si="11"/>
        <v>3.0891155511410995</v>
      </c>
      <c r="K25" s="95">
        <f t="shared" si="11"/>
        <v>3.1828385465691209</v>
      </c>
      <c r="L25" s="95">
        <f t="shared" si="11"/>
        <v>3.2795911110692875</v>
      </c>
      <c r="M25" s="96"/>
      <c r="P25" s="83"/>
      <c r="Q25" s="81"/>
    </row>
    <row r="26" spans="1:76" ht="17.25" hidden="1" customHeight="1" outlineLevel="1">
      <c r="C26" s="68"/>
      <c r="D26" s="74"/>
      <c r="E26" s="249"/>
      <c r="F26" s="249"/>
      <c r="G26" s="249"/>
      <c r="H26" s="249"/>
      <c r="I26" s="249"/>
      <c r="J26" s="96"/>
      <c r="K26" s="96"/>
      <c r="L26" s="96"/>
      <c r="M26" s="96"/>
      <c r="P26" s="83"/>
      <c r="Q26" s="81"/>
    </row>
    <row r="27" spans="1:76" ht="15" hidden="1" customHeight="1" outlineLevel="1">
      <c r="C27" s="68" t="s">
        <v>55</v>
      </c>
      <c r="D27" s="74"/>
      <c r="E27" s="249"/>
      <c r="F27" s="249"/>
      <c r="G27" s="249"/>
      <c r="H27" s="249"/>
      <c r="I27" s="249"/>
      <c r="J27" s="96"/>
      <c r="K27" s="96"/>
      <c r="L27" s="96"/>
      <c r="M27" s="96"/>
      <c r="P27" s="83"/>
    </row>
    <row r="28" spans="1:76" s="79" customFormat="1" ht="15" hidden="1" customHeight="1" outlineLevel="1" thickBot="1">
      <c r="A28" s="51"/>
      <c r="B28" s="51"/>
      <c r="C28" s="97" t="s">
        <v>56</v>
      </c>
      <c r="D28"/>
      <c r="E28" s="98"/>
      <c r="F28" s="98">
        <f t="shared" ref="F28:L28" si="12">F$24</f>
        <v>196929.36105337864</v>
      </c>
      <c r="G28" s="98">
        <f t="shared" si="12"/>
        <v>206260.56105337865</v>
      </c>
      <c r="H28" s="98">
        <f t="shared" si="12"/>
        <v>215891.28105337863</v>
      </c>
      <c r="I28" s="98">
        <f t="shared" si="12"/>
        <v>225831.68169337863</v>
      </c>
      <c r="J28" s="98">
        <f t="shared" si="12"/>
        <v>236092.28326777866</v>
      </c>
      <c r="K28" s="98">
        <f t="shared" si="12"/>
        <v>246683.97886509067</v>
      </c>
      <c r="L28" s="98">
        <f t="shared" si="12"/>
        <v>257618.04799897867</v>
      </c>
      <c r="M28" s="247"/>
      <c r="N28"/>
      <c r="O28"/>
      <c r="P28" s="85">
        <v>0.7</v>
      </c>
      <c r="Q28" s="100"/>
      <c r="R28"/>
      <c r="S28"/>
      <c r="T28"/>
      <c r="U28"/>
      <c r="V28"/>
      <c r="W28"/>
      <c r="X28"/>
      <c r="Y28"/>
      <c r="Z28"/>
      <c r="AA28"/>
      <c r="AB28"/>
      <c r="AC28" s="51"/>
      <c r="AD28" s="51"/>
      <c r="AE28" s="51"/>
      <c r="AF28" s="51"/>
      <c r="AG28" s="51"/>
      <c r="AH28" s="51"/>
      <c r="AI28" s="51"/>
      <c r="AJ28" s="51"/>
      <c r="AK28" s="51"/>
      <c r="AL28" s="51"/>
      <c r="AM28" s="51"/>
      <c r="AN28" s="51"/>
      <c r="AO28" s="51"/>
      <c r="AP28" s="51"/>
      <c r="AQ28" s="51"/>
      <c r="AR28" s="51"/>
      <c r="AS28" s="51"/>
      <c r="AT28" s="51"/>
      <c r="AU28" s="51"/>
      <c r="AV28" s="51"/>
      <c r="AW28" s="51"/>
      <c r="AX28" s="51"/>
      <c r="AY28" s="51"/>
      <c r="AZ28" s="51"/>
      <c r="BA28" s="51"/>
      <c r="BB28" s="51"/>
      <c r="BC28" s="51"/>
      <c r="BD28" s="51"/>
      <c r="BE28" s="51"/>
      <c r="BF28" s="51"/>
      <c r="BG28" s="51"/>
      <c r="BH28" s="51"/>
      <c r="BI28" s="51"/>
      <c r="BJ28" s="51"/>
      <c r="BK28" s="51"/>
      <c r="BL28" s="51"/>
      <c r="BM28" s="51"/>
      <c r="BN28" s="51"/>
      <c r="BO28" s="51"/>
      <c r="BP28" s="51"/>
      <c r="BQ28" s="51"/>
      <c r="BR28" s="51"/>
      <c r="BS28" s="51"/>
      <c r="BT28" s="51"/>
      <c r="BU28" s="51"/>
      <c r="BV28" s="51"/>
      <c r="BW28" s="51"/>
      <c r="BX28" s="51"/>
    </row>
    <row r="29" spans="1:76" s="51" customFormat="1" ht="15" hidden="1" customHeight="1" outlineLevel="1" thickTop="1" thickBot="1">
      <c r="C29" s="68" t="s">
        <v>57</v>
      </c>
      <c r="D29"/>
      <c r="E29" s="96"/>
      <c r="F29" s="96">
        <f t="shared" ref="F29:L29" si="13">F$28</f>
        <v>196929.36105337864</v>
      </c>
      <c r="G29" s="96">
        <f t="shared" si="13"/>
        <v>206260.56105337865</v>
      </c>
      <c r="H29" s="96">
        <f t="shared" si="13"/>
        <v>215891.28105337863</v>
      </c>
      <c r="I29" s="96">
        <f t="shared" si="13"/>
        <v>225831.68169337863</v>
      </c>
      <c r="J29" s="96">
        <f t="shared" si="13"/>
        <v>236092.28326777866</v>
      </c>
      <c r="K29" s="96">
        <f t="shared" si="13"/>
        <v>246683.97886509067</v>
      </c>
      <c r="L29" s="96">
        <f t="shared" si="13"/>
        <v>257618.04799897867</v>
      </c>
      <c r="M29" s="14"/>
      <c r="O29"/>
      <c r="P29" s="88">
        <v>0.3</v>
      </c>
      <c r="Q29" s="100"/>
      <c r="R29"/>
      <c r="S29"/>
      <c r="T29"/>
      <c r="U29"/>
      <c r="V29"/>
      <c r="W29"/>
      <c r="X29"/>
      <c r="Y29"/>
      <c r="Z29"/>
      <c r="AA29"/>
      <c r="AB29"/>
    </row>
    <row r="30" spans="1:76" s="51" customFormat="1" ht="15" hidden="1" customHeight="1" outlineLevel="1">
      <c r="C30" s="68"/>
      <c r="D30"/>
      <c r="E30" s="96"/>
      <c r="F30" s="96"/>
      <c r="G30" s="96"/>
      <c r="H30" s="96"/>
      <c r="I30" s="96"/>
      <c r="J30" s="96"/>
      <c r="K30" s="96"/>
      <c r="L30" s="96"/>
      <c r="M30" s="14"/>
      <c r="O30"/>
      <c r="P30" s="99"/>
      <c r="Q30" s="100"/>
      <c r="R30"/>
      <c r="S30"/>
      <c r="T30"/>
      <c r="U30"/>
      <c r="V30"/>
      <c r="W30"/>
      <c r="X30"/>
      <c r="Y30"/>
      <c r="Z30"/>
      <c r="AA30"/>
      <c r="AB30"/>
    </row>
    <row r="31" spans="1:76" ht="15" hidden="1" customHeight="1" outlineLevel="1">
      <c r="C31" s="101" t="s">
        <v>51</v>
      </c>
      <c r="E31" s="102"/>
      <c r="F31" s="102">
        <f>+$P$14*$P$24</f>
        <v>42828.514806643805</v>
      </c>
      <c r="G31" s="102">
        <f t="shared" ref="G31:L31" si="14">+$P$14*$P$24</f>
        <v>42828.514806643805</v>
      </c>
      <c r="H31" s="102">
        <f t="shared" si="14"/>
        <v>42828.514806643805</v>
      </c>
      <c r="I31" s="102">
        <f t="shared" si="14"/>
        <v>42828.514806643805</v>
      </c>
      <c r="J31" s="102">
        <f t="shared" si="14"/>
        <v>42828.514806643805</v>
      </c>
      <c r="K31" s="102">
        <f t="shared" si="14"/>
        <v>42828.514806643805</v>
      </c>
      <c r="L31" s="102">
        <f t="shared" si="14"/>
        <v>42828.514806643805</v>
      </c>
      <c r="M31" s="14"/>
      <c r="N31" s="51"/>
      <c r="P31" s="99"/>
    </row>
    <row r="32" spans="1:76" ht="15" hidden="1" customHeight="1" outlineLevel="1">
      <c r="C32" s="35" t="s">
        <v>58</v>
      </c>
      <c r="E32" s="14"/>
      <c r="F32" s="14">
        <f t="shared" ref="F32:L32" si="15">F$29-F$31</f>
        <v>154100.84624673484</v>
      </c>
      <c r="G32" s="14">
        <f t="shared" si="15"/>
        <v>163432.04624673486</v>
      </c>
      <c r="H32" s="14">
        <f t="shared" si="15"/>
        <v>173062.76624673483</v>
      </c>
      <c r="I32" s="14">
        <f t="shared" si="15"/>
        <v>183003.16688673483</v>
      </c>
      <c r="J32" s="14">
        <f t="shared" si="15"/>
        <v>193263.76846113487</v>
      </c>
      <c r="K32" s="14">
        <f t="shared" si="15"/>
        <v>203855.46405844687</v>
      </c>
      <c r="L32" s="14">
        <f t="shared" si="15"/>
        <v>214789.53319233487</v>
      </c>
      <c r="M32" s="14"/>
      <c r="P32" s="99"/>
      <c r="R32" s="21"/>
    </row>
    <row r="33" spans="1:76" ht="14.25" customHeight="1" collapsed="1" thickBot="1">
      <c r="A33" s="13"/>
      <c r="B33" s="13"/>
      <c r="C33" s="103"/>
      <c r="N33" s="51"/>
      <c r="P33" s="10"/>
      <c r="R33" s="12"/>
      <c r="T33" s="2"/>
    </row>
    <row r="34" spans="1:76" s="93" customFormat="1" ht="16" thickBot="1">
      <c r="A34" s="13"/>
      <c r="B34" s="13"/>
      <c r="C34" s="97" t="s">
        <v>59</v>
      </c>
      <c r="D34" s="104"/>
      <c r="E34" s="105"/>
      <c r="F34" s="105">
        <f t="shared" ref="F34:L34" si="16">IF(($P$14*$P$24)&gt;F29,F29,$P$14*$P$24)+IF((F$32*$P$28)&gt;0,F$32*$P$28,0)</f>
        <v>150699.10717935819</v>
      </c>
      <c r="G34" s="105">
        <f t="shared" si="16"/>
        <v>157230.94717935819</v>
      </c>
      <c r="H34" s="105">
        <f t="shared" si="16"/>
        <v>163972.45117935818</v>
      </c>
      <c r="I34" s="105">
        <f t="shared" si="16"/>
        <v>170930.73162735818</v>
      </c>
      <c r="J34" s="105">
        <f t="shared" si="16"/>
        <v>178113.15272943821</v>
      </c>
      <c r="K34" s="105">
        <f t="shared" si="16"/>
        <v>185527.3396475566</v>
      </c>
      <c r="L34" s="105">
        <f t="shared" si="16"/>
        <v>193181.18804127819</v>
      </c>
      <c r="M34" s="361"/>
      <c r="N34"/>
      <c r="O34"/>
      <c r="P34" s="18"/>
      <c r="Q34" s="100"/>
      <c r="R34"/>
      <c r="S34"/>
      <c r="T34"/>
      <c r="U34"/>
      <c r="V34"/>
      <c r="W34"/>
      <c r="X34"/>
      <c r="Y34"/>
      <c r="Z34"/>
      <c r="AA34"/>
      <c r="AB34"/>
      <c r="AC34" s="51"/>
      <c r="AD34" s="51"/>
      <c r="AE34" s="51"/>
      <c r="AF34" s="51"/>
      <c r="AG34" s="51"/>
      <c r="AH34" s="51"/>
      <c r="AI34" s="51"/>
      <c r="AJ34" s="51"/>
      <c r="AK34" s="51"/>
      <c r="AL34" s="51"/>
      <c r="AM34" s="51"/>
      <c r="AN34" s="51"/>
      <c r="AO34" s="51"/>
      <c r="AP34" s="51"/>
      <c r="AQ34" s="51"/>
      <c r="AR34" s="51"/>
      <c r="AS34" s="51"/>
      <c r="AT34" s="51"/>
      <c r="AU34" s="51"/>
      <c r="AV34" s="51"/>
      <c r="AW34" s="51"/>
      <c r="AX34" s="51"/>
      <c r="AY34" s="51"/>
      <c r="AZ34" s="51"/>
      <c r="BA34" s="51"/>
      <c r="BB34" s="51"/>
      <c r="BC34" s="51"/>
      <c r="BD34" s="51"/>
      <c r="BE34" s="51"/>
      <c r="BF34" s="51"/>
      <c r="BG34" s="51"/>
      <c r="BH34" s="51"/>
      <c r="BI34" s="51"/>
      <c r="BJ34" s="51"/>
      <c r="BK34" s="51"/>
      <c r="BL34" s="51"/>
      <c r="BM34" s="51"/>
      <c r="BN34" s="51"/>
      <c r="BO34" s="51"/>
      <c r="BP34" s="51"/>
      <c r="BQ34" s="51"/>
      <c r="BR34" s="51"/>
      <c r="BS34" s="51"/>
      <c r="BT34" s="51"/>
      <c r="BU34" s="51"/>
      <c r="BV34" s="51"/>
      <c r="BW34" s="51"/>
      <c r="BX34" s="51"/>
    </row>
    <row r="35" spans="1:76">
      <c r="C35" s="97" t="s">
        <v>60</v>
      </c>
      <c r="D35" s="104"/>
      <c r="E35" s="105"/>
      <c r="F35" s="105">
        <f>IF(F$32*$P$29&gt;0,F$32*$P$29,0)</f>
        <v>46230.253874020455</v>
      </c>
      <c r="G35" s="105">
        <f t="shared" ref="G35:L35" si="17">IF(G$32*$P$29&gt;0,G$32*$P$29,0)</f>
        <v>49029.613874020455</v>
      </c>
      <c r="H35" s="105">
        <f t="shared" si="17"/>
        <v>51918.829874020448</v>
      </c>
      <c r="I35" s="105">
        <f t="shared" si="17"/>
        <v>54900.95006602045</v>
      </c>
      <c r="J35" s="105">
        <f t="shared" si="17"/>
        <v>57979.130538340461</v>
      </c>
      <c r="K35" s="105">
        <f t="shared" si="17"/>
        <v>61156.639217534059</v>
      </c>
      <c r="L35" s="105">
        <f t="shared" si="17"/>
        <v>64436.859957700457</v>
      </c>
      <c r="M35" s="20"/>
      <c r="P35" s="18"/>
    </row>
    <row r="36" spans="1:76">
      <c r="C36" s="97"/>
      <c r="D36" s="106"/>
      <c r="E36" s="20"/>
      <c r="F36" s="20"/>
      <c r="G36" s="20"/>
      <c r="H36" s="20"/>
      <c r="I36" s="20"/>
      <c r="J36" s="20"/>
      <c r="K36" s="20"/>
      <c r="L36" s="20"/>
      <c r="O36" s="51"/>
      <c r="P36" s="99"/>
    </row>
    <row r="37" spans="1:76" ht="15" hidden="1" customHeight="1">
      <c r="C37" s="97" t="s">
        <v>171</v>
      </c>
      <c r="D37" s="106"/>
      <c r="E37" s="20"/>
      <c r="F37" s="20" t="e">
        <f t="shared" ref="F37:L37" si="18">F$34/$O$14</f>
        <v>#VALUE!</v>
      </c>
      <c r="G37" s="20" t="e">
        <f t="shared" si="18"/>
        <v>#VALUE!</v>
      </c>
      <c r="H37" s="20" t="e">
        <f t="shared" si="18"/>
        <v>#VALUE!</v>
      </c>
      <c r="I37" s="20" t="e">
        <f t="shared" si="18"/>
        <v>#VALUE!</v>
      </c>
      <c r="J37" s="20" t="e">
        <f t="shared" si="18"/>
        <v>#VALUE!</v>
      </c>
      <c r="K37" s="20" t="e">
        <f t="shared" si="18"/>
        <v>#VALUE!</v>
      </c>
      <c r="L37" s="20" t="e">
        <f t="shared" si="18"/>
        <v>#VALUE!</v>
      </c>
      <c r="M37" s="20"/>
      <c r="P37" s="10"/>
    </row>
    <row r="38" spans="1:76">
      <c r="C38" s="97" t="s">
        <v>172</v>
      </c>
      <c r="E38" s="25"/>
      <c r="F38" s="25">
        <f>F$35/$P$14</f>
        <v>7.5559887747483304E-2</v>
      </c>
      <c r="G38" s="25">
        <f t="shared" ref="G38:L38" si="19">G$35/$P$14</f>
        <v>8.0135232021845165E-2</v>
      </c>
      <c r="H38" s="25">
        <f t="shared" si="19"/>
        <v>8.4857439198840853E-2</v>
      </c>
      <c r="I38" s="25">
        <f t="shared" si="19"/>
        <v>8.9731491320013596E-2</v>
      </c>
      <c r="J38" s="25">
        <f t="shared" si="19"/>
        <v>9.4762546775361195E-2</v>
      </c>
      <c r="K38" s="25">
        <f t="shared" si="19"/>
        <v>9.9955946746098631E-2</v>
      </c>
      <c r="L38" s="25">
        <f t="shared" si="19"/>
        <v>0.10531722188833234</v>
      </c>
      <c r="M38" s="250"/>
      <c r="N38" s="51"/>
      <c r="P38" s="10"/>
    </row>
    <row r="39" spans="1:76">
      <c r="C39" s="97" t="s">
        <v>35</v>
      </c>
      <c r="E39" s="25"/>
      <c r="F39" s="25">
        <f>F24/$P$14</f>
        <v>0.32186629249161097</v>
      </c>
      <c r="G39" s="25">
        <f t="shared" ref="G39:K39" si="20">G24/$P$14</f>
        <v>0.33711744007281724</v>
      </c>
      <c r="H39" s="25">
        <f t="shared" si="20"/>
        <v>0.35285813066280286</v>
      </c>
      <c r="I39" s="25">
        <f t="shared" si="20"/>
        <v>0.36910497106671197</v>
      </c>
      <c r="J39" s="25">
        <f t="shared" si="20"/>
        <v>0.38587515591787064</v>
      </c>
      <c r="K39" s="25">
        <f t="shared" si="20"/>
        <v>0.40318648915366212</v>
      </c>
      <c r="L39" s="25">
        <f t="shared" ref="L39" si="21">L24/$P$14</f>
        <v>0.42105740629444116</v>
      </c>
      <c r="M39" s="25"/>
      <c r="N39" s="51"/>
      <c r="P39" s="10"/>
      <c r="S39" s="46"/>
    </row>
    <row r="40" spans="1:76" s="70" customFormat="1">
      <c r="A40"/>
      <c r="B40"/>
      <c r="C40" s="97" t="s">
        <v>61</v>
      </c>
      <c r="D40"/>
      <c r="E40"/>
      <c r="F40" s="251">
        <f>(SUM($F$28:F28)+F48)/$P$14</f>
        <v>5.4702371081279715</v>
      </c>
      <c r="G40" s="251">
        <f>(SUM($F$28:G28)+G48)/$P$14</f>
        <v>6.0726095011532664</v>
      </c>
      <c r="H40" s="251">
        <f>(SUM($F$28:H28)+H48)/$P$14</f>
        <v>6.7005260963783231</v>
      </c>
      <c r="I40" s="251">
        <f>(SUM($F$28:I28)+I48)/$P$14</f>
        <v>7.3549038351205818</v>
      </c>
      <c r="J40" s="251">
        <f>(SUM($F$28:J28)+J48)/$P$14</f>
        <v>8.0366961817612239</v>
      </c>
      <c r="K40" s="251">
        <f>(SUM($F$28:K28)+K48)/$P$14</f>
        <v>8.7468947350439077</v>
      </c>
      <c r="L40" s="251">
        <f>(SUM($F$28:L28)+L48)/$P$14</f>
        <v>9.4865309175610495</v>
      </c>
      <c r="M40" s="251"/>
      <c r="N40"/>
      <c r="O40"/>
      <c r="P40" s="10"/>
      <c r="Q40" s="57"/>
      <c r="R40"/>
      <c r="S40" s="2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</row>
    <row r="41" spans="1:76">
      <c r="C41" s="107" t="s">
        <v>62</v>
      </c>
      <c r="D41" s="108"/>
      <c r="E41" s="108"/>
      <c r="F41" s="108"/>
      <c r="G41" s="109">
        <f>'IRR '!G10</f>
        <v>0.90578413085937504</v>
      </c>
      <c r="H41" s="109">
        <f>'IRR '!H19</f>
        <v>0.69060350585937513</v>
      </c>
      <c r="I41" s="109">
        <f>'IRR '!I28</f>
        <v>0.57608350585937496</v>
      </c>
      <c r="J41" s="109">
        <f>'IRR '!J37</f>
        <v>0.50579374023437507</v>
      </c>
      <c r="K41" s="109">
        <f>'IRR '!K46</f>
        <v>0.45856892089843759</v>
      </c>
      <c r="L41" s="109">
        <f>'IRR '!L55</f>
        <v>0.42519904785156271</v>
      </c>
      <c r="M41" s="109"/>
      <c r="N41" s="108"/>
      <c r="O41" s="108"/>
      <c r="P41" s="317"/>
      <c r="S41" s="2"/>
    </row>
    <row r="42" spans="1:76">
      <c r="C42" s="35"/>
      <c r="P42" s="10"/>
      <c r="S42" s="2"/>
    </row>
    <row r="43" spans="1:76" ht="36.75" customHeight="1">
      <c r="C43" s="456" t="s">
        <v>63</v>
      </c>
      <c r="D43" s="457"/>
      <c r="E43" s="457"/>
      <c r="F43" s="457"/>
      <c r="G43" s="457"/>
      <c r="H43" s="457"/>
      <c r="I43" s="457"/>
      <c r="J43" s="457"/>
      <c r="K43" s="457"/>
      <c r="L43" s="458"/>
      <c r="M43" s="14"/>
      <c r="O43" s="318" t="s">
        <v>173</v>
      </c>
      <c r="P43" s="10"/>
      <c r="S43" s="2"/>
    </row>
    <row r="44" spans="1:76" ht="26.25" customHeight="1">
      <c r="C44" s="319"/>
      <c r="D44" s="320"/>
      <c r="E44" s="320"/>
      <c r="F44" s="320" t="str">
        <f t="shared" ref="F44:L44" si="22">+F4</f>
        <v>Year 1 (2026)</v>
      </c>
      <c r="G44" s="320" t="str">
        <f t="shared" si="22"/>
        <v>Year 2</v>
      </c>
      <c r="H44" s="320" t="str">
        <f t="shared" si="22"/>
        <v>Year 3</v>
      </c>
      <c r="I44" s="320" t="str">
        <f t="shared" si="22"/>
        <v>Year 4</v>
      </c>
      <c r="J44" s="320" t="str">
        <f t="shared" si="22"/>
        <v>Year 5</v>
      </c>
      <c r="K44" s="320" t="str">
        <f t="shared" si="22"/>
        <v>Year 6</v>
      </c>
      <c r="L44" s="364">
        <f t="shared" si="22"/>
        <v>7</v>
      </c>
      <c r="M44" s="14"/>
      <c r="O44" s="321" t="s">
        <v>174</v>
      </c>
      <c r="P44" s="10"/>
    </row>
    <row r="45" spans="1:76" s="112" customFormat="1" ht="15" customHeight="1">
      <c r="A45"/>
      <c r="B45"/>
      <c r="C45" s="27" t="s">
        <v>64</v>
      </c>
      <c r="D45" s="110"/>
      <c r="E45" s="110"/>
      <c r="F45" s="14">
        <f>F$22/$P$11</f>
        <v>4768307.692307692</v>
      </c>
      <c r="G45" s="14">
        <f t="shared" ref="G45:L45" si="23">G$22/$P$11</f>
        <v>4911864.615384615</v>
      </c>
      <c r="H45" s="14">
        <f t="shared" si="23"/>
        <v>5060029.538461538</v>
      </c>
      <c r="I45" s="14">
        <f t="shared" si="23"/>
        <v>5212958.7790769227</v>
      </c>
      <c r="J45" s="14">
        <f t="shared" si="23"/>
        <v>5370814.1879138462</v>
      </c>
      <c r="K45" s="14">
        <f t="shared" si="23"/>
        <v>5533763.3509494159</v>
      </c>
      <c r="L45" s="111">
        <f t="shared" si="23"/>
        <v>5701979.799163077</v>
      </c>
      <c r="M45"/>
      <c r="N45"/>
      <c r="O45" s="322"/>
      <c r="P45" s="10"/>
      <c r="Q45" s="57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</row>
    <row r="46" spans="1:76" ht="15.75" customHeight="1">
      <c r="C46" s="27" t="s">
        <v>65</v>
      </c>
      <c r="D46" s="110"/>
      <c r="E46" s="110"/>
      <c r="F46" s="14">
        <f t="shared" ref="F46:L46" si="24">F$45*0.04</f>
        <v>190732.30769230769</v>
      </c>
      <c r="G46" s="14">
        <f t="shared" si="24"/>
        <v>196474.58461538461</v>
      </c>
      <c r="H46" s="14">
        <f t="shared" si="24"/>
        <v>202401.18153846153</v>
      </c>
      <c r="I46" s="14">
        <f t="shared" si="24"/>
        <v>208518.35116307691</v>
      </c>
      <c r="J46" s="14">
        <f t="shared" si="24"/>
        <v>214832.56751655386</v>
      </c>
      <c r="K46" s="14">
        <f t="shared" si="24"/>
        <v>221350.53403797664</v>
      </c>
      <c r="L46" s="111">
        <f t="shared" si="24"/>
        <v>228079.1919665231</v>
      </c>
      <c r="M46" s="14"/>
      <c r="O46" s="321"/>
      <c r="P46" s="10"/>
    </row>
    <row r="47" spans="1:76" ht="15" customHeight="1">
      <c r="C47" s="27" t="s">
        <v>66</v>
      </c>
      <c r="D47" s="110"/>
      <c r="E47" s="110"/>
      <c r="F47" s="14">
        <f>Financing!H28</f>
        <v>1427617.16022146</v>
      </c>
      <c r="G47" s="14">
        <f>Financing!H40</f>
        <v>1403139.2966601527</v>
      </c>
      <c r="H47" s="14">
        <f>Financing!H52</f>
        <v>1377086.9724968956</v>
      </c>
      <c r="I47" s="14">
        <f>Financing!H64</f>
        <v>1349358.9155687445</v>
      </c>
      <c r="J47" s="14">
        <f>Financing!H76</f>
        <v>1319847.3397034674</v>
      </c>
      <c r="K47" s="14">
        <f>Financing!H88</f>
        <v>1288437.5257266425</v>
      </c>
      <c r="L47" s="111">
        <f>Financing!H100</f>
        <v>1255007.37551838</v>
      </c>
      <c r="M47" s="14"/>
      <c r="O47" s="323"/>
      <c r="P47" s="10"/>
      <c r="Q47" s="114"/>
    </row>
    <row r="48" spans="1:76" ht="15" customHeight="1">
      <c r="C48" s="76" t="s">
        <v>67</v>
      </c>
      <c r="D48" s="51"/>
      <c r="E48" s="51"/>
      <c r="F48" s="96">
        <f t="shared" ref="F48:L48" si="25">F$45-F$46-F$47</f>
        <v>3149958.2243939238</v>
      </c>
      <c r="G48" s="96">
        <f t="shared" si="25"/>
        <v>3312250.7341090781</v>
      </c>
      <c r="H48" s="96">
        <f t="shared" si="25"/>
        <v>3480541.3844261807</v>
      </c>
      <c r="I48" s="96">
        <f t="shared" si="25"/>
        <v>3655081.5123451008</v>
      </c>
      <c r="J48" s="96">
        <f t="shared" si="25"/>
        <v>3836134.2806938244</v>
      </c>
      <c r="K48" s="96">
        <f t="shared" si="25"/>
        <v>4023975.291184797</v>
      </c>
      <c r="L48" s="113">
        <f t="shared" si="25"/>
        <v>4218893.2316781739</v>
      </c>
      <c r="M48" s="96"/>
      <c r="O48" s="324"/>
      <c r="P48" s="10"/>
      <c r="Q48" s="114"/>
    </row>
    <row r="49" spans="3:17" ht="15" customHeight="1">
      <c r="C49" s="11" t="s">
        <v>68</v>
      </c>
      <c r="D49" s="110"/>
      <c r="E49" s="110"/>
      <c r="F49" s="14">
        <f>$P$14</f>
        <v>611835.92580919713</v>
      </c>
      <c r="G49" s="14">
        <f t="shared" ref="G49:L49" si="26">$P$14</f>
        <v>611835.92580919713</v>
      </c>
      <c r="H49" s="14">
        <f t="shared" si="26"/>
        <v>611835.92580919713</v>
      </c>
      <c r="I49" s="14">
        <f t="shared" si="26"/>
        <v>611835.92580919713</v>
      </c>
      <c r="J49" s="14">
        <f t="shared" si="26"/>
        <v>611835.92580919713</v>
      </c>
      <c r="K49" s="14">
        <f t="shared" si="26"/>
        <v>611835.92580919713</v>
      </c>
      <c r="L49" s="111">
        <f t="shared" si="26"/>
        <v>611835.92580919713</v>
      </c>
      <c r="M49" s="14"/>
      <c r="N49" s="325"/>
      <c r="O49" s="326"/>
      <c r="P49" s="327"/>
      <c r="Q49" s="117"/>
    </row>
    <row r="50" spans="3:17" ht="19" customHeight="1" thickBot="1">
      <c r="C50" s="29" t="s">
        <v>69</v>
      </c>
      <c r="D50" s="115"/>
      <c r="E50" s="115"/>
      <c r="F50" s="116">
        <f t="shared" ref="F50:L50" si="27">F$48-F$49</f>
        <v>2538122.2985847266</v>
      </c>
      <c r="G50" s="116">
        <f t="shared" si="27"/>
        <v>2700414.8082998809</v>
      </c>
      <c r="H50" s="116">
        <f t="shared" si="27"/>
        <v>2868705.4586169836</v>
      </c>
      <c r="I50" s="116">
        <f t="shared" si="27"/>
        <v>3043245.5865359036</v>
      </c>
      <c r="J50" s="116">
        <f t="shared" si="27"/>
        <v>3224298.3548846273</v>
      </c>
      <c r="K50" s="116">
        <f t="shared" si="27"/>
        <v>3412139.3653755998</v>
      </c>
      <c r="L50" s="363">
        <f t="shared" si="27"/>
        <v>3607057.3058689767</v>
      </c>
      <c r="M50" s="123"/>
      <c r="N50" s="328"/>
      <c r="O50" s="329"/>
      <c r="P50" s="330"/>
      <c r="Q50" s="119"/>
    </row>
    <row r="51" spans="3:17" ht="19" customHeight="1">
      <c r="C51" s="110"/>
      <c r="D51" s="110"/>
      <c r="E51" s="110"/>
      <c r="F51" s="14"/>
      <c r="G51" s="14"/>
      <c r="H51" s="14"/>
      <c r="N51" s="117"/>
      <c r="P51" s="118"/>
      <c r="Q51" s="119"/>
    </row>
    <row r="52" spans="3:17" ht="19" customHeight="1">
      <c r="C52" s="340" t="s">
        <v>201</v>
      </c>
      <c r="D52" s="112"/>
      <c r="E52" s="112"/>
      <c r="F52" s="339">
        <f t="shared" ref="F52:L53" si="28">F$50*$P28</f>
        <v>1776685.6090093085</v>
      </c>
      <c r="G52" s="339">
        <f t="shared" si="28"/>
        <v>1890290.3658099165</v>
      </c>
      <c r="H52" s="339">
        <f t="shared" si="28"/>
        <v>2008093.8210318885</v>
      </c>
      <c r="I52" s="339">
        <f t="shared" si="28"/>
        <v>2130271.9105751324</v>
      </c>
      <c r="J52" s="339">
        <f t="shared" si="28"/>
        <v>2257008.8484192388</v>
      </c>
      <c r="K52" s="339">
        <f t="shared" si="28"/>
        <v>2388497.5557629196</v>
      </c>
      <c r="L52" s="342">
        <f t="shared" si="28"/>
        <v>2524940.1141082835</v>
      </c>
      <c r="Q52" s="119"/>
    </row>
    <row r="53" spans="3:17" ht="19" customHeight="1">
      <c r="C53" s="341" t="s">
        <v>202</v>
      </c>
      <c r="D53" s="70"/>
      <c r="E53" s="70"/>
      <c r="F53" s="121">
        <f t="shared" si="28"/>
        <v>761436.68957541802</v>
      </c>
      <c r="G53" s="121">
        <f t="shared" si="28"/>
        <v>810124.44248996431</v>
      </c>
      <c r="H53" s="121">
        <f t="shared" si="28"/>
        <v>860611.63758509501</v>
      </c>
      <c r="I53" s="121">
        <f t="shared" si="28"/>
        <v>912973.67596077104</v>
      </c>
      <c r="J53" s="121">
        <f t="shared" si="28"/>
        <v>967289.50646538811</v>
      </c>
      <c r="K53" s="121">
        <f t="shared" si="28"/>
        <v>1023641.8096126799</v>
      </c>
      <c r="L53" s="343">
        <f t="shared" si="28"/>
        <v>1082117.191760693</v>
      </c>
      <c r="Q53" s="119"/>
    </row>
    <row r="54" spans="3:17" ht="15.75" customHeight="1">
      <c r="C54"/>
      <c r="Q54" s="81"/>
    </row>
    <row r="55" spans="3:17">
      <c r="C55"/>
      <c r="D55" s="13"/>
    </row>
    <row r="56" spans="3:17">
      <c r="C56"/>
    </row>
    <row r="57" spans="3:17">
      <c r="C57"/>
    </row>
    <row r="58" spans="3:17">
      <c r="C58"/>
      <c r="N58" s="2"/>
    </row>
    <row r="59" spans="3:17">
      <c r="C59"/>
    </row>
    <row r="60" spans="3:17">
      <c r="C60"/>
    </row>
    <row r="61" spans="3:17">
      <c r="C61"/>
    </row>
    <row r="62" spans="3:17">
      <c r="C62"/>
    </row>
    <row r="63" spans="3:17">
      <c r="C63"/>
    </row>
    <row r="64" spans="3:17">
      <c r="C64"/>
    </row>
    <row r="65" spans="3:3">
      <c r="C65"/>
    </row>
    <row r="66" spans="3:3">
      <c r="C66"/>
    </row>
    <row r="67" spans="3:3">
      <c r="C67"/>
    </row>
    <row r="68" spans="3:3">
      <c r="C68"/>
    </row>
    <row r="69" spans="3:3">
      <c r="C69"/>
    </row>
    <row r="70" spans="3:3">
      <c r="C70"/>
    </row>
    <row r="71" spans="3:3">
      <c r="C71"/>
    </row>
    <row r="72" spans="3:3">
      <c r="C72"/>
    </row>
    <row r="73" spans="3:3">
      <c r="C73"/>
    </row>
    <row r="74" spans="3:3">
      <c r="C74"/>
    </row>
    <row r="75" spans="3:3">
      <c r="C75"/>
    </row>
    <row r="76" spans="3:3">
      <c r="C76"/>
    </row>
    <row r="77" spans="3:3">
      <c r="C77"/>
    </row>
    <row r="78" spans="3:3">
      <c r="C78"/>
    </row>
    <row r="79" spans="3:3">
      <c r="C79"/>
    </row>
    <row r="80" spans="3:3">
      <c r="C80"/>
    </row>
    <row r="81" spans="3:13">
      <c r="C81"/>
    </row>
    <row r="82" spans="3:13">
      <c r="C82"/>
    </row>
    <row r="83" spans="3:13">
      <c r="C83"/>
    </row>
    <row r="84" spans="3:13">
      <c r="C84"/>
    </row>
    <row r="85" spans="3:13">
      <c r="C85"/>
      <c r="D85" s="14"/>
      <c r="E85" s="14"/>
      <c r="F85" s="14"/>
      <c r="G85" s="14"/>
      <c r="H85" s="14"/>
      <c r="I85" s="14"/>
      <c r="J85" s="14"/>
      <c r="K85" s="14"/>
    </row>
    <row r="86" spans="3:13">
      <c r="C86"/>
      <c r="D86" s="14"/>
      <c r="E86" s="20"/>
      <c r="F86" s="14"/>
      <c r="G86" s="14"/>
      <c r="H86" s="14"/>
      <c r="I86" s="14"/>
      <c r="J86" s="14"/>
      <c r="K86" s="14"/>
    </row>
    <row r="87" spans="3:13">
      <c r="C87"/>
      <c r="D87" s="14"/>
      <c r="E87" s="14"/>
      <c r="H87" s="14"/>
      <c r="I87" s="14"/>
      <c r="J87" s="14"/>
      <c r="K87" s="14"/>
    </row>
    <row r="90" spans="3:13">
      <c r="L90" s="14"/>
      <c r="M90" s="14"/>
    </row>
    <row r="91" spans="3:13">
      <c r="L91" s="14"/>
      <c r="M91" s="14"/>
    </row>
    <row r="92" spans="3:13">
      <c r="L92" s="14"/>
      <c r="M92" s="14"/>
    </row>
  </sheetData>
  <sheetProtection sheet="1" objects="1" scenarios="1" formatCells="0" sort="0" autoFilter="0" pivotTables="0"/>
  <mergeCells count="3">
    <mergeCell ref="C2:P3"/>
    <mergeCell ref="O4:P4"/>
    <mergeCell ref="C43:L43"/>
  </mergeCells>
  <phoneticPr fontId="2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22907A-42C3-40AE-9C88-1CBADE8E8F29}">
  <sheetPr codeName="Sheet4">
    <tabColor theme="4" tint="0.79998168889431442"/>
  </sheetPr>
  <dimension ref="B1:DL34"/>
  <sheetViews>
    <sheetView showGridLines="0" topLeftCell="A9" zoomScale="150" workbookViewId="0">
      <selection activeCell="G15" sqref="G15"/>
    </sheetView>
  </sheetViews>
  <sheetFormatPr baseColWidth="10" defaultColWidth="8.83203125" defaultRowHeight="15"/>
  <cols>
    <col min="2" max="2" width="10.5" customWidth="1"/>
    <col min="3" max="3" width="6.1640625" customWidth="1"/>
    <col min="4" max="4" width="5.83203125" customWidth="1"/>
    <col min="5" max="5" width="6.5" customWidth="1"/>
    <col min="6" max="6" width="8" customWidth="1"/>
    <col min="7" max="7" width="20.5" bestFit="1" customWidth="1"/>
    <col min="8" max="10" width="10.6640625" bestFit="1" customWidth="1"/>
    <col min="11" max="11" width="14" bestFit="1" customWidth="1"/>
    <col min="12" max="12" width="10.6640625" bestFit="1" customWidth="1"/>
    <col min="13" max="13" width="11.5" bestFit="1" customWidth="1"/>
    <col min="14" max="14" width="14.33203125" bestFit="1" customWidth="1"/>
    <col min="15" max="15" width="15.5" bestFit="1" customWidth="1"/>
    <col min="29" max="29" width="13.1640625" customWidth="1"/>
    <col min="42" max="42" width="14.1640625" bestFit="1" customWidth="1"/>
    <col min="109" max="115" width="13.1640625" bestFit="1" customWidth="1"/>
  </cols>
  <sheetData>
    <row r="1" spans="2:116">
      <c r="AC1" s="266" t="s">
        <v>148</v>
      </c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</row>
    <row r="2" spans="2:116">
      <c r="AC2" s="267" t="s">
        <v>149</v>
      </c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</row>
    <row r="3" spans="2:116">
      <c r="AC3" s="268" t="s">
        <v>150</v>
      </c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</row>
    <row r="4" spans="2:116">
      <c r="AC4" s="269" t="s">
        <v>151</v>
      </c>
    </row>
    <row r="7" spans="2:116" ht="16" thickBot="1"/>
    <row r="8" spans="2:116" ht="16" thickBot="1">
      <c r="G8" s="459" t="s">
        <v>157</v>
      </c>
      <c r="H8" s="460"/>
      <c r="I8" s="460"/>
      <c r="J8" s="460"/>
      <c r="K8" s="460"/>
      <c r="L8" s="460"/>
      <c r="M8" s="460"/>
      <c r="N8" s="460"/>
      <c r="O8" s="461"/>
      <c r="P8" s="270"/>
      <c r="Q8" s="271"/>
      <c r="R8" s="272"/>
      <c r="S8" s="272"/>
      <c r="T8" s="272"/>
      <c r="U8" s="272"/>
      <c r="V8" s="272"/>
      <c r="W8" s="272"/>
      <c r="X8" s="272"/>
      <c r="Y8" s="272"/>
      <c r="Z8" s="272"/>
      <c r="AA8" s="272"/>
      <c r="AB8" s="272"/>
      <c r="AC8" s="273">
        <v>2026</v>
      </c>
      <c r="AD8" s="274"/>
      <c r="AE8" s="272"/>
      <c r="AF8" s="272"/>
      <c r="AG8" s="272"/>
      <c r="AH8" s="272"/>
      <c r="AI8" s="272"/>
      <c r="AJ8" s="272"/>
      <c r="AK8" s="272"/>
      <c r="AL8" s="272"/>
      <c r="AM8" s="272"/>
      <c r="AN8" s="272"/>
      <c r="AO8" s="275"/>
      <c r="AP8" s="276">
        <v>2027</v>
      </c>
      <c r="AQ8" s="274"/>
      <c r="AR8" s="272"/>
      <c r="AS8" s="272"/>
      <c r="AT8" s="272"/>
      <c r="AU8" s="272"/>
      <c r="AV8" s="272"/>
      <c r="AW8" s="272"/>
      <c r="AX8" s="272"/>
      <c r="AY8" s="272"/>
      <c r="AZ8" s="272"/>
      <c r="BA8" s="272"/>
      <c r="BB8" s="275"/>
      <c r="BC8" s="276">
        <v>2028</v>
      </c>
      <c r="BD8" s="274"/>
      <c r="BE8" s="272"/>
      <c r="BF8" s="272"/>
      <c r="BG8" s="272"/>
      <c r="BH8" s="272"/>
      <c r="BI8" s="272"/>
      <c r="BJ8" s="272"/>
      <c r="BK8" s="272"/>
      <c r="BL8" s="272"/>
      <c r="BM8" s="272"/>
      <c r="BN8" s="272"/>
      <c r="BO8" s="275"/>
      <c r="BP8" s="276">
        <v>2029</v>
      </c>
      <c r="BQ8" s="274"/>
      <c r="BR8" s="272"/>
      <c r="BS8" s="272"/>
      <c r="BT8" s="272"/>
      <c r="BU8" s="272"/>
      <c r="BV8" s="272"/>
      <c r="BW8" s="272"/>
      <c r="BX8" s="272"/>
      <c r="BY8" s="272"/>
      <c r="BZ8" s="272"/>
      <c r="CA8" s="272"/>
      <c r="CB8" s="275"/>
      <c r="CC8" s="276">
        <v>2030</v>
      </c>
      <c r="CD8" s="274"/>
      <c r="CE8" s="272"/>
      <c r="CF8" s="272"/>
      <c r="CG8" s="272"/>
      <c r="CH8" s="272"/>
      <c r="CI8" s="272"/>
      <c r="CJ8" s="272"/>
      <c r="CK8" s="272"/>
      <c r="CL8" s="272"/>
      <c r="CM8" s="272"/>
      <c r="CN8" s="272"/>
      <c r="CO8" s="275"/>
      <c r="CP8" s="276">
        <v>2031</v>
      </c>
      <c r="CQ8" s="274"/>
      <c r="CR8" s="272"/>
      <c r="CS8" s="272"/>
      <c r="CT8" s="272"/>
      <c r="CU8" s="272"/>
      <c r="CV8" s="272"/>
      <c r="CW8" s="272"/>
      <c r="CX8" s="272"/>
      <c r="CY8" s="272"/>
      <c r="CZ8" s="272"/>
      <c r="DA8" s="272"/>
      <c r="DB8" s="275"/>
      <c r="DC8" s="296">
        <v>2032</v>
      </c>
      <c r="DE8" s="278">
        <v>2026</v>
      </c>
      <c r="DF8" s="276">
        <v>2027</v>
      </c>
      <c r="DG8" s="276">
        <v>2028</v>
      </c>
      <c r="DH8" s="276">
        <v>2029</v>
      </c>
      <c r="DI8" s="276">
        <v>2030</v>
      </c>
      <c r="DJ8" s="276">
        <v>2031</v>
      </c>
      <c r="DK8" s="277">
        <v>2032</v>
      </c>
    </row>
    <row r="9" spans="2:116">
      <c r="B9" s="411" t="s">
        <v>269</v>
      </c>
      <c r="C9" s="462" t="s">
        <v>182</v>
      </c>
      <c r="D9" s="463"/>
      <c r="E9" s="464"/>
      <c r="F9" s="337" t="s">
        <v>176</v>
      </c>
      <c r="G9" s="279" t="s">
        <v>119</v>
      </c>
      <c r="H9" s="6" t="s">
        <v>152</v>
      </c>
      <c r="I9" s="6" t="s">
        <v>20</v>
      </c>
      <c r="J9" s="6" t="s">
        <v>153</v>
      </c>
      <c r="K9" s="6" t="s">
        <v>121</v>
      </c>
      <c r="L9" s="6" t="s">
        <v>21</v>
      </c>
      <c r="M9" s="6" t="s">
        <v>22</v>
      </c>
      <c r="N9" s="6" t="s">
        <v>23</v>
      </c>
      <c r="O9" s="280" t="s">
        <v>24</v>
      </c>
      <c r="P9" s="270"/>
      <c r="Q9" s="257">
        <v>1</v>
      </c>
      <c r="R9" s="281">
        <v>2</v>
      </c>
      <c r="S9" s="281">
        <v>3</v>
      </c>
      <c r="T9" s="281">
        <v>4</v>
      </c>
      <c r="U9" s="281">
        <v>5</v>
      </c>
      <c r="V9" s="281">
        <v>6</v>
      </c>
      <c r="W9" s="281">
        <v>7</v>
      </c>
      <c r="X9" s="281">
        <v>8</v>
      </c>
      <c r="Y9" s="281">
        <v>9</v>
      </c>
      <c r="Z9" s="281">
        <v>10</v>
      </c>
      <c r="AA9" s="281">
        <v>11</v>
      </c>
      <c r="AB9" s="281">
        <v>12</v>
      </c>
      <c r="AC9" s="282" t="s">
        <v>154</v>
      </c>
      <c r="AD9" s="283">
        <v>1</v>
      </c>
      <c r="AE9" s="281">
        <v>2</v>
      </c>
      <c r="AF9" s="281">
        <v>3</v>
      </c>
      <c r="AG9" s="281">
        <v>4</v>
      </c>
      <c r="AH9" s="281">
        <v>5</v>
      </c>
      <c r="AI9" s="281">
        <v>6</v>
      </c>
      <c r="AJ9" s="281">
        <v>7</v>
      </c>
      <c r="AK9" s="281">
        <v>8</v>
      </c>
      <c r="AL9" s="281">
        <v>9</v>
      </c>
      <c r="AM9" s="281">
        <v>10</v>
      </c>
      <c r="AN9" s="281">
        <v>11</v>
      </c>
      <c r="AO9" s="284">
        <v>12</v>
      </c>
      <c r="AP9" s="285" t="s">
        <v>154</v>
      </c>
      <c r="AQ9" s="283">
        <v>1</v>
      </c>
      <c r="AR9" s="281">
        <v>2</v>
      </c>
      <c r="AS9" s="281">
        <v>3</v>
      </c>
      <c r="AT9" s="281">
        <v>4</v>
      </c>
      <c r="AU9" s="281">
        <v>5</v>
      </c>
      <c r="AV9" s="281">
        <v>6</v>
      </c>
      <c r="AW9" s="281">
        <v>7</v>
      </c>
      <c r="AX9" s="281">
        <v>8</v>
      </c>
      <c r="AY9" s="281">
        <v>9</v>
      </c>
      <c r="AZ9" s="281">
        <v>10</v>
      </c>
      <c r="BA9" s="281">
        <v>11</v>
      </c>
      <c r="BB9" s="284">
        <v>12</v>
      </c>
      <c r="BC9" s="285" t="s">
        <v>154</v>
      </c>
      <c r="BD9" s="283">
        <v>1</v>
      </c>
      <c r="BE9" s="281">
        <v>2</v>
      </c>
      <c r="BF9" s="281">
        <v>3</v>
      </c>
      <c r="BG9" s="281">
        <v>4</v>
      </c>
      <c r="BH9" s="281">
        <v>5</v>
      </c>
      <c r="BI9" s="281">
        <v>6</v>
      </c>
      <c r="BJ9" s="281">
        <v>7</v>
      </c>
      <c r="BK9" s="281">
        <v>8</v>
      </c>
      <c r="BL9" s="281">
        <v>9</v>
      </c>
      <c r="BM9" s="281">
        <v>10</v>
      </c>
      <c r="BN9" s="281">
        <v>11</v>
      </c>
      <c r="BO9" s="284">
        <v>12</v>
      </c>
      <c r="BP9" s="285" t="s">
        <v>154</v>
      </c>
      <c r="BQ9" s="283">
        <v>1</v>
      </c>
      <c r="BR9" s="281">
        <v>2</v>
      </c>
      <c r="BS9" s="281">
        <v>3</v>
      </c>
      <c r="BT9" s="281">
        <v>4</v>
      </c>
      <c r="BU9" s="281">
        <v>5</v>
      </c>
      <c r="BV9" s="281">
        <v>6</v>
      </c>
      <c r="BW9" s="281">
        <v>7</v>
      </c>
      <c r="BX9" s="281">
        <v>8</v>
      </c>
      <c r="BY9" s="281">
        <v>9</v>
      </c>
      <c r="BZ9" s="281">
        <v>10</v>
      </c>
      <c r="CA9" s="281">
        <v>11</v>
      </c>
      <c r="CB9" s="284">
        <v>12</v>
      </c>
      <c r="CC9" s="285" t="s">
        <v>154</v>
      </c>
      <c r="CD9" s="283">
        <v>1</v>
      </c>
      <c r="CE9" s="281">
        <v>2</v>
      </c>
      <c r="CF9" s="281">
        <v>3</v>
      </c>
      <c r="CG9" s="281">
        <v>4</v>
      </c>
      <c r="CH9" s="281">
        <v>5</v>
      </c>
      <c r="CI9" s="281">
        <v>6</v>
      </c>
      <c r="CJ9" s="281">
        <v>7</v>
      </c>
      <c r="CK9" s="281">
        <v>8</v>
      </c>
      <c r="CL9" s="281">
        <v>9</v>
      </c>
      <c r="CM9" s="281">
        <v>10</v>
      </c>
      <c r="CN9" s="281">
        <v>11</v>
      </c>
      <c r="CO9" s="284">
        <v>12</v>
      </c>
      <c r="CP9" s="285" t="s">
        <v>154</v>
      </c>
      <c r="CQ9" s="283">
        <v>1</v>
      </c>
      <c r="CR9" s="281">
        <v>2</v>
      </c>
      <c r="CS9" s="281">
        <v>3</v>
      </c>
      <c r="CT9" s="281">
        <v>4</v>
      </c>
      <c r="CU9" s="281">
        <v>5</v>
      </c>
      <c r="CV9" s="281">
        <v>6</v>
      </c>
      <c r="CW9" s="281">
        <v>7</v>
      </c>
      <c r="CX9" s="281">
        <v>8</v>
      </c>
      <c r="CY9" s="281">
        <v>9</v>
      </c>
      <c r="CZ9" s="281">
        <v>10</v>
      </c>
      <c r="DA9" s="281">
        <v>11</v>
      </c>
      <c r="DB9" s="284">
        <v>12</v>
      </c>
      <c r="DC9" s="297" t="s">
        <v>154</v>
      </c>
      <c r="DE9" s="287" t="s">
        <v>155</v>
      </c>
      <c r="DF9" s="285" t="s">
        <v>155</v>
      </c>
      <c r="DG9" s="285" t="s">
        <v>155</v>
      </c>
      <c r="DH9" s="285" t="s">
        <v>155</v>
      </c>
      <c r="DI9" s="285" t="s">
        <v>155</v>
      </c>
      <c r="DJ9" s="285" t="s">
        <v>155</v>
      </c>
      <c r="DK9" s="286" t="s">
        <v>155</v>
      </c>
    </row>
    <row r="10" spans="2:116">
      <c r="B10" s="412" t="s">
        <v>270</v>
      </c>
      <c r="C10" s="24" t="s">
        <v>177</v>
      </c>
      <c r="D10" s="70" t="s">
        <v>178</v>
      </c>
      <c r="E10" s="160" t="s">
        <v>179</v>
      </c>
      <c r="F10" s="338"/>
      <c r="G10" s="298" t="s">
        <v>158</v>
      </c>
      <c r="H10" s="6"/>
      <c r="I10" s="6"/>
      <c r="J10" s="6"/>
      <c r="K10" s="6"/>
      <c r="L10" s="6"/>
      <c r="M10" s="6"/>
      <c r="N10" s="6"/>
      <c r="O10" s="280"/>
      <c r="P10" s="270"/>
      <c r="Q10" s="288"/>
      <c r="R10" s="289"/>
      <c r="S10" s="289"/>
      <c r="T10" s="289"/>
      <c r="U10" s="289"/>
      <c r="V10" s="289"/>
      <c r="W10" s="289"/>
      <c r="X10" s="289"/>
      <c r="Y10" s="289"/>
      <c r="Z10" s="289"/>
      <c r="AA10" s="289"/>
      <c r="AB10" s="289"/>
      <c r="AC10" s="299"/>
      <c r="AD10" s="300"/>
      <c r="AE10" s="289"/>
      <c r="AF10" s="289"/>
      <c r="AG10" s="289"/>
      <c r="AH10" s="289"/>
      <c r="AI10" s="289"/>
      <c r="AJ10" s="289"/>
      <c r="AK10" s="289"/>
      <c r="AL10" s="289"/>
      <c r="AM10" s="289"/>
      <c r="AN10" s="289"/>
      <c r="AO10" s="301"/>
      <c r="AP10" s="299"/>
      <c r="AQ10" s="300"/>
      <c r="AR10" s="289"/>
      <c r="AS10" s="289"/>
      <c r="AT10" s="289"/>
      <c r="AU10" s="289"/>
      <c r="AV10" s="289"/>
      <c r="AW10" s="289"/>
      <c r="AX10" s="289"/>
      <c r="AY10" s="289"/>
      <c r="AZ10" s="289"/>
      <c r="BA10" s="289"/>
      <c r="BB10" s="302"/>
      <c r="BC10" s="299"/>
      <c r="BD10" s="300"/>
      <c r="BE10" s="289"/>
      <c r="BF10" s="289"/>
      <c r="BG10" s="289"/>
      <c r="BH10" s="289"/>
      <c r="BI10" s="289"/>
      <c r="BJ10" s="289"/>
      <c r="BK10" s="289"/>
      <c r="BL10" s="289"/>
      <c r="BM10" s="289"/>
      <c r="BN10" s="289"/>
      <c r="BO10" s="302"/>
      <c r="BP10" s="299"/>
      <c r="BQ10" s="300"/>
      <c r="BR10" s="289"/>
      <c r="BS10" s="289"/>
      <c r="BT10" s="289"/>
      <c r="BU10" s="289"/>
      <c r="BV10" s="289"/>
      <c r="BW10" s="289"/>
      <c r="BX10" s="289"/>
      <c r="BY10" s="289"/>
      <c r="BZ10" s="289"/>
      <c r="CA10" s="289"/>
      <c r="CB10" s="302"/>
      <c r="CC10" s="299"/>
      <c r="CD10" s="300"/>
      <c r="CE10" s="289"/>
      <c r="CF10" s="289"/>
      <c r="CG10" s="289"/>
      <c r="CH10" s="289"/>
      <c r="CI10" s="289"/>
      <c r="CJ10" s="289"/>
      <c r="CK10" s="289"/>
      <c r="CL10" s="289"/>
      <c r="CM10" s="289"/>
      <c r="CN10" s="289"/>
      <c r="CO10" s="302"/>
      <c r="CP10" s="258"/>
      <c r="CQ10" s="300"/>
      <c r="CR10" s="289"/>
      <c r="CS10" s="289"/>
      <c r="CT10" s="289"/>
      <c r="CU10" s="289"/>
      <c r="CV10" s="289"/>
      <c r="CW10" s="289"/>
      <c r="CX10" s="289"/>
      <c r="CY10" s="289"/>
      <c r="CZ10" s="289"/>
      <c r="DA10" s="289"/>
      <c r="DB10" s="302"/>
      <c r="DC10" s="291"/>
      <c r="DE10" s="369"/>
      <c r="DF10" s="370"/>
      <c r="DG10" s="370"/>
      <c r="DH10" s="370"/>
      <c r="DI10" s="370"/>
      <c r="DJ10" s="370"/>
      <c r="DK10" s="371"/>
      <c r="DL10" s="6"/>
    </row>
    <row r="11" spans="2:116">
      <c r="B11" s="422">
        <v>10</v>
      </c>
      <c r="C11" s="303" t="s">
        <v>180</v>
      </c>
      <c r="D11" s="304" t="s">
        <v>180</v>
      </c>
      <c r="E11" s="383" t="s">
        <v>180</v>
      </c>
      <c r="F11" s="384">
        <v>0.02</v>
      </c>
      <c r="G11" s="303" t="s">
        <v>257</v>
      </c>
      <c r="H11" s="304" t="s">
        <v>260</v>
      </c>
      <c r="I11" s="305">
        <v>1500</v>
      </c>
      <c r="J11" s="290">
        <f>I11/$I$28</f>
        <v>0.27272727272727271</v>
      </c>
      <c r="K11" s="306">
        <v>68</v>
      </c>
      <c r="L11" s="306">
        <v>50</v>
      </c>
      <c r="M11" s="32">
        <f t="shared" ref="M11:M27" si="0">IF(L11=0," ",L11*I11)</f>
        <v>75000</v>
      </c>
      <c r="N11" s="33">
        <f t="shared" ref="N11:N12" si="1">IF(I11=0," ",K11*I11)</f>
        <v>102000</v>
      </c>
      <c r="O11" s="8">
        <f t="shared" ref="O11:O12" si="2">IF(N11=" "," ",N11/12)</f>
        <v>8500</v>
      </c>
      <c r="P11" s="270"/>
      <c r="Q11" s="378">
        <f>K11</f>
        <v>68</v>
      </c>
      <c r="R11" s="376">
        <f t="shared" ref="R11:AB27" si="3">Q11</f>
        <v>68</v>
      </c>
      <c r="S11" s="376">
        <f t="shared" si="3"/>
        <v>68</v>
      </c>
      <c r="T11" s="376">
        <f t="shared" si="3"/>
        <v>68</v>
      </c>
      <c r="U11" s="376">
        <f t="shared" si="3"/>
        <v>68</v>
      </c>
      <c r="V11" s="376">
        <f t="shared" si="3"/>
        <v>68</v>
      </c>
      <c r="W11" s="376">
        <f t="shared" si="3"/>
        <v>68</v>
      </c>
      <c r="X11" s="376">
        <f t="shared" si="3"/>
        <v>68</v>
      </c>
      <c r="Y11" s="376">
        <f t="shared" si="3"/>
        <v>68</v>
      </c>
      <c r="Z11" s="376">
        <f t="shared" si="3"/>
        <v>68</v>
      </c>
      <c r="AA11" s="376">
        <f t="shared" si="3"/>
        <v>68</v>
      </c>
      <c r="AB11" s="376">
        <f t="shared" si="3"/>
        <v>68</v>
      </c>
      <c r="AC11" s="291">
        <f>+AVERAGE(Q11:AB11)</f>
        <v>68</v>
      </c>
      <c r="AD11" s="375">
        <f t="shared" ref="AD11:AD27" si="4">AB11*(1+F11)</f>
        <v>69.36</v>
      </c>
      <c r="AE11" s="376">
        <f>AD11</f>
        <v>69.36</v>
      </c>
      <c r="AF11" s="376">
        <f t="shared" ref="AF11:AO11" si="5">AE11</f>
        <v>69.36</v>
      </c>
      <c r="AG11" s="376">
        <f t="shared" si="5"/>
        <v>69.36</v>
      </c>
      <c r="AH11" s="376">
        <f t="shared" si="5"/>
        <v>69.36</v>
      </c>
      <c r="AI11" s="376">
        <f t="shared" si="5"/>
        <v>69.36</v>
      </c>
      <c r="AJ11" s="376">
        <f>AI11</f>
        <v>69.36</v>
      </c>
      <c r="AK11" s="376">
        <f t="shared" si="5"/>
        <v>69.36</v>
      </c>
      <c r="AL11" s="376">
        <f t="shared" si="5"/>
        <v>69.36</v>
      </c>
      <c r="AM11" s="376">
        <f t="shared" si="5"/>
        <v>69.36</v>
      </c>
      <c r="AN11" s="376">
        <f t="shared" si="5"/>
        <v>69.36</v>
      </c>
      <c r="AO11" s="377">
        <f t="shared" si="5"/>
        <v>69.36</v>
      </c>
      <c r="AP11" s="291">
        <f>+AVERAGE(AD11:AO11)</f>
        <v>69.36</v>
      </c>
      <c r="AQ11" s="375">
        <f t="shared" ref="AQ11:AQ27" si="6">AO11*(1+F11)</f>
        <v>70.747200000000007</v>
      </c>
      <c r="AR11" s="376">
        <f>AQ11</f>
        <v>70.747200000000007</v>
      </c>
      <c r="AS11" s="376">
        <f t="shared" ref="AS11:BB11" si="7">AR11</f>
        <v>70.747200000000007</v>
      </c>
      <c r="AT11" s="376">
        <f t="shared" si="7"/>
        <v>70.747200000000007</v>
      </c>
      <c r="AU11" s="376">
        <f t="shared" si="7"/>
        <v>70.747200000000007</v>
      </c>
      <c r="AV11" s="376">
        <f t="shared" si="7"/>
        <v>70.747200000000007</v>
      </c>
      <c r="AW11" s="376">
        <f t="shared" si="7"/>
        <v>70.747200000000007</v>
      </c>
      <c r="AX11" s="376">
        <f t="shared" si="7"/>
        <v>70.747200000000007</v>
      </c>
      <c r="AY11" s="376">
        <f t="shared" si="7"/>
        <v>70.747200000000007</v>
      </c>
      <c r="AZ11" s="376">
        <f t="shared" si="7"/>
        <v>70.747200000000007</v>
      </c>
      <c r="BA11" s="376">
        <f t="shared" si="7"/>
        <v>70.747200000000007</v>
      </c>
      <c r="BB11" s="377">
        <f t="shared" si="7"/>
        <v>70.747200000000007</v>
      </c>
      <c r="BC11" s="291">
        <f>+AVERAGE(AQ11:BB11)</f>
        <v>70.747200000000007</v>
      </c>
      <c r="BD11" s="375">
        <f t="shared" ref="BD11:BD27" si="8">BB11*(1+F11)</f>
        <v>72.162144000000012</v>
      </c>
      <c r="BE11" s="376">
        <f>BD11</f>
        <v>72.162144000000012</v>
      </c>
      <c r="BF11" s="376">
        <f t="shared" ref="BF11:BO11" si="9">BE11</f>
        <v>72.162144000000012</v>
      </c>
      <c r="BG11" s="376">
        <f t="shared" si="9"/>
        <v>72.162144000000012</v>
      </c>
      <c r="BH11" s="376">
        <f t="shared" si="9"/>
        <v>72.162144000000012</v>
      </c>
      <c r="BI11" s="376">
        <f t="shared" si="9"/>
        <v>72.162144000000012</v>
      </c>
      <c r="BJ11" s="376">
        <f t="shared" si="9"/>
        <v>72.162144000000012</v>
      </c>
      <c r="BK11" s="376">
        <f t="shared" si="9"/>
        <v>72.162144000000012</v>
      </c>
      <c r="BL11" s="376">
        <f t="shared" si="9"/>
        <v>72.162144000000012</v>
      </c>
      <c r="BM11" s="376">
        <f t="shared" si="9"/>
        <v>72.162144000000012</v>
      </c>
      <c r="BN11" s="376">
        <f t="shared" si="9"/>
        <v>72.162144000000012</v>
      </c>
      <c r="BO11" s="377">
        <f t="shared" si="9"/>
        <v>72.162144000000012</v>
      </c>
      <c r="BP11" s="291">
        <f>+AVERAGE(BD11:BO11)</f>
        <v>72.162144000000012</v>
      </c>
      <c r="BQ11" s="375">
        <f t="shared" ref="BQ11:BQ27" si="10">BO11*(1+F11)</f>
        <v>73.605386880000012</v>
      </c>
      <c r="BR11" s="376">
        <f>BQ11</f>
        <v>73.605386880000012</v>
      </c>
      <c r="BS11" s="376">
        <f t="shared" ref="BS11:CB11" si="11">BR11</f>
        <v>73.605386880000012</v>
      </c>
      <c r="BT11" s="376">
        <f t="shared" si="11"/>
        <v>73.605386880000012</v>
      </c>
      <c r="BU11" s="376">
        <f t="shared" si="11"/>
        <v>73.605386880000012</v>
      </c>
      <c r="BV11" s="376">
        <f t="shared" si="11"/>
        <v>73.605386880000012</v>
      </c>
      <c r="BW11" s="376">
        <f t="shared" si="11"/>
        <v>73.605386880000012</v>
      </c>
      <c r="BX11" s="376">
        <f t="shared" si="11"/>
        <v>73.605386880000012</v>
      </c>
      <c r="BY11" s="376">
        <f t="shared" si="11"/>
        <v>73.605386880000012</v>
      </c>
      <c r="BZ11" s="376">
        <f t="shared" si="11"/>
        <v>73.605386880000012</v>
      </c>
      <c r="CA11" s="376">
        <f t="shared" si="11"/>
        <v>73.605386880000012</v>
      </c>
      <c r="CB11" s="377">
        <f t="shared" si="11"/>
        <v>73.605386880000012</v>
      </c>
      <c r="CC11" s="291">
        <f>+AVERAGE(BQ11:CB11)</f>
        <v>73.605386879999998</v>
      </c>
      <c r="CD11" s="375">
        <f t="shared" ref="CD11:CD27" si="12">CB11*(1+F11)</f>
        <v>75.07749461760001</v>
      </c>
      <c r="CE11" s="376">
        <f>CD11</f>
        <v>75.07749461760001</v>
      </c>
      <c r="CF11" s="376">
        <f t="shared" ref="CF11:CO11" si="13">CE11</f>
        <v>75.07749461760001</v>
      </c>
      <c r="CG11" s="376">
        <f t="shared" si="13"/>
        <v>75.07749461760001</v>
      </c>
      <c r="CH11" s="376">
        <f t="shared" si="13"/>
        <v>75.07749461760001</v>
      </c>
      <c r="CI11" s="376">
        <f t="shared" si="13"/>
        <v>75.07749461760001</v>
      </c>
      <c r="CJ11" s="376">
        <f t="shared" si="13"/>
        <v>75.07749461760001</v>
      </c>
      <c r="CK11" s="376">
        <f t="shared" si="13"/>
        <v>75.07749461760001</v>
      </c>
      <c r="CL11" s="376">
        <f t="shared" si="13"/>
        <v>75.07749461760001</v>
      </c>
      <c r="CM11" s="376">
        <f t="shared" si="13"/>
        <v>75.07749461760001</v>
      </c>
      <c r="CN11" s="376">
        <f t="shared" si="13"/>
        <v>75.07749461760001</v>
      </c>
      <c r="CO11" s="377">
        <f t="shared" si="13"/>
        <v>75.07749461760001</v>
      </c>
      <c r="CP11" s="307">
        <f>+AVERAGE(CD11:CO11)</f>
        <v>75.07749461760001</v>
      </c>
      <c r="CQ11" s="375">
        <f t="shared" ref="CQ11:CQ27" si="14">CO11*(1+F11)</f>
        <v>76.579044509952013</v>
      </c>
      <c r="CR11" s="376">
        <f>CQ11</f>
        <v>76.579044509952013</v>
      </c>
      <c r="CS11" s="376">
        <f t="shared" ref="CS11:DB11" si="15">CR11</f>
        <v>76.579044509952013</v>
      </c>
      <c r="CT11" s="376">
        <f t="shared" si="15"/>
        <v>76.579044509952013</v>
      </c>
      <c r="CU11" s="376">
        <f t="shared" si="15"/>
        <v>76.579044509952013</v>
      </c>
      <c r="CV11" s="376">
        <f t="shared" si="15"/>
        <v>76.579044509952013</v>
      </c>
      <c r="CW11" s="376">
        <f t="shared" si="15"/>
        <v>76.579044509952013</v>
      </c>
      <c r="CX11" s="376">
        <f t="shared" si="15"/>
        <v>76.579044509952013</v>
      </c>
      <c r="CY11" s="376">
        <f t="shared" si="15"/>
        <v>76.579044509952013</v>
      </c>
      <c r="CZ11" s="376">
        <f t="shared" si="15"/>
        <v>76.579044509952013</v>
      </c>
      <c r="DA11" s="376">
        <f t="shared" si="15"/>
        <v>76.579044509952013</v>
      </c>
      <c r="DB11" s="377">
        <f t="shared" si="15"/>
        <v>76.579044509952013</v>
      </c>
      <c r="DC11" s="291">
        <f>+AVERAGE(CQ11:DB11)</f>
        <v>76.579044509952027</v>
      </c>
      <c r="DE11" s="372">
        <f t="shared" ref="DE11:DE27" si="16">+(Q11*$I11)/12+(R11*$I11)/12+(S11*$I11)/12+(T11*$I11)/12+(U11*$I11)/12+(V11*$I11)/12+(W11*$I11)/12+(X11*$I11)/12+(Y11*$I11)/12+(Z11*$I11)/12+(AA11*$I11)/12+(AB11*$I11)/12</f>
        <v>102000</v>
      </c>
      <c r="DF11" s="373">
        <f t="shared" ref="DF11:DF27" si="17">+(AD11*$I11)/12+(AE11*$I11)/12+(AF11*$I11)/12+(AG11*$I11)/12+(AH11*$I11)/12+(AI11*$I11)/12+(AJ11*$I11)/12+(AK11*$I11)/12+(AL11*$I11)/12+(AM11*$I11)/12+(AN11*$I11)/12+(AO11*$I11)/12</f>
        <v>104040</v>
      </c>
      <c r="DG11" s="373">
        <f t="shared" ref="DG11:DG27" si="18">+(AQ11*$I11)/12+(AR11*$I11)/12+(AS11*$I11)/12+(AT11*$I11)/12+(AU11*$I11)/12+(AV11*$I11)/12+(AW11*$I11)/12+(AX11*$I11)/12+(AY11*$I11)/12+(AZ11*$I11)/12+(BA11*$I11)/12+(BB11*$I11)/12</f>
        <v>106120.79999999997</v>
      </c>
      <c r="DH11" s="373">
        <f t="shared" ref="DH11:DH27" si="19">+(BD11*$I11)/12+(BE11*$I11)/12+(BF11*$I11)/12+(BG11*$I11)/12+(BH11*$I11)/12+(BI11*$I11)/12+(BJ11*$I11)/12+(BK11*$I11)/12+(BL11*$I11)/12+(BM11*$I11)/12+(BN11*$I11)/12+(BO11*$I11)/12</f>
        <v>108243.216</v>
      </c>
      <c r="DI11" s="373">
        <f t="shared" ref="DI11:DI27" si="20">+(BQ11*$I11)/12+(BR11*$I11)/12+(BS11*$I11)/12+(BT11*$I11)/12+(BU11*$I11)/12+(BV11*$I11)/12+(BW11*$I11)/12+(BX11*$I11)/12+(BY11*$I11)/12+(BZ11*$I11)/12+(CA11*$I11)/12+(CB11*$I11)/12</f>
        <v>110408.08032000002</v>
      </c>
      <c r="DJ11" s="373">
        <f>+(CD11*$I11)/12+(CE11*$I11)/12+(CF11*$I11)/12+(CG11*$I11)/12+(CH11*$I11)/12+(CI11*$I11)/12+(CJ11*$I11)/12+(CK11*$I11)/12+(CL11*$I11)/12+(CM11*$I11)/12+(CN11*$I11)/12+(CO11*$I11)/12</f>
        <v>112616.24192640001</v>
      </c>
      <c r="DK11" s="374">
        <f>+(CQ11*$I11)/12+(CR11*$I11)/12+(CS11*$I11)/12+(CT11*$I11)/12+(CU11*$I11)/12+(CV11*$I11)/12+(CW11*$I11)/12+(CX11*$I11)/12+(CY11*$I11)/12+(CZ11*$I11)/12+(DA11*$I11)/12+(DB11*$I11)/12</f>
        <v>114868.56676492799</v>
      </c>
      <c r="DL11" s="2"/>
    </row>
    <row r="12" spans="2:116">
      <c r="B12" s="422">
        <v>10</v>
      </c>
      <c r="C12" s="303" t="s">
        <v>180</v>
      </c>
      <c r="D12" s="304" t="s">
        <v>180</v>
      </c>
      <c r="E12" s="383" t="s">
        <v>180</v>
      </c>
      <c r="F12" s="384">
        <v>0.03</v>
      </c>
      <c r="G12" s="303" t="s">
        <v>258</v>
      </c>
      <c r="H12" s="304" t="s">
        <v>255</v>
      </c>
      <c r="I12" s="305">
        <v>2500</v>
      </c>
      <c r="J12" s="290">
        <f t="shared" ref="J12:J27" si="21">I12/$I$28</f>
        <v>0.45454545454545453</v>
      </c>
      <c r="K12" s="306">
        <v>48</v>
      </c>
      <c r="L12" s="306">
        <v>50</v>
      </c>
      <c r="M12" s="32">
        <f t="shared" si="0"/>
        <v>125000</v>
      </c>
      <c r="N12" s="33">
        <f t="shared" si="1"/>
        <v>120000</v>
      </c>
      <c r="O12" s="8">
        <f t="shared" si="2"/>
        <v>10000</v>
      </c>
      <c r="P12" s="270"/>
      <c r="Q12" s="378">
        <f t="shared" ref="Q12:Q27" si="22">K12</f>
        <v>48</v>
      </c>
      <c r="R12" s="376">
        <f t="shared" si="3"/>
        <v>48</v>
      </c>
      <c r="S12" s="376">
        <f t="shared" si="3"/>
        <v>48</v>
      </c>
      <c r="T12" s="376">
        <f t="shared" si="3"/>
        <v>48</v>
      </c>
      <c r="U12" s="376">
        <f t="shared" si="3"/>
        <v>48</v>
      </c>
      <c r="V12" s="376">
        <f t="shared" si="3"/>
        <v>48</v>
      </c>
      <c r="W12" s="376">
        <f t="shared" si="3"/>
        <v>48</v>
      </c>
      <c r="X12" s="376">
        <f t="shared" si="3"/>
        <v>48</v>
      </c>
      <c r="Y12" s="376">
        <f t="shared" si="3"/>
        <v>48</v>
      </c>
      <c r="Z12" s="376">
        <f t="shared" si="3"/>
        <v>48</v>
      </c>
      <c r="AA12" s="376">
        <f t="shared" si="3"/>
        <v>48</v>
      </c>
      <c r="AB12" s="376">
        <f t="shared" si="3"/>
        <v>48</v>
      </c>
      <c r="AC12" s="291">
        <f t="shared" ref="AC12:AC27" si="23">+AVERAGE(Q12:AB12)</f>
        <v>48</v>
      </c>
      <c r="AD12" s="375">
        <f t="shared" si="4"/>
        <v>49.44</v>
      </c>
      <c r="AE12" s="376">
        <f t="shared" ref="AE12:AO27" si="24">AD12</f>
        <v>49.44</v>
      </c>
      <c r="AF12" s="376">
        <f t="shared" si="24"/>
        <v>49.44</v>
      </c>
      <c r="AG12" s="376">
        <f t="shared" si="24"/>
        <v>49.44</v>
      </c>
      <c r="AH12" s="376">
        <f t="shared" si="24"/>
        <v>49.44</v>
      </c>
      <c r="AI12" s="376">
        <f t="shared" si="24"/>
        <v>49.44</v>
      </c>
      <c r="AJ12" s="376">
        <f t="shared" si="24"/>
        <v>49.44</v>
      </c>
      <c r="AK12" s="376">
        <f t="shared" si="24"/>
        <v>49.44</v>
      </c>
      <c r="AL12" s="376">
        <f t="shared" si="24"/>
        <v>49.44</v>
      </c>
      <c r="AM12" s="376">
        <f t="shared" si="24"/>
        <v>49.44</v>
      </c>
      <c r="AN12" s="376">
        <f t="shared" si="24"/>
        <v>49.44</v>
      </c>
      <c r="AO12" s="377">
        <f t="shared" si="24"/>
        <v>49.44</v>
      </c>
      <c r="AP12" s="291">
        <f t="shared" ref="AP12:AP27" si="25">+AVERAGE(AD12:AO12)</f>
        <v>49.44</v>
      </c>
      <c r="AQ12" s="375">
        <f t="shared" si="6"/>
        <v>50.923200000000001</v>
      </c>
      <c r="AR12" s="376">
        <f t="shared" ref="AR12:BB27" si="26">AQ12</f>
        <v>50.923200000000001</v>
      </c>
      <c r="AS12" s="376">
        <f t="shared" si="26"/>
        <v>50.923200000000001</v>
      </c>
      <c r="AT12" s="376">
        <f t="shared" si="26"/>
        <v>50.923200000000001</v>
      </c>
      <c r="AU12" s="376">
        <f t="shared" si="26"/>
        <v>50.923200000000001</v>
      </c>
      <c r="AV12" s="376">
        <f t="shared" si="26"/>
        <v>50.923200000000001</v>
      </c>
      <c r="AW12" s="376">
        <f t="shared" si="26"/>
        <v>50.923200000000001</v>
      </c>
      <c r="AX12" s="376">
        <f t="shared" si="26"/>
        <v>50.923200000000001</v>
      </c>
      <c r="AY12" s="376">
        <f t="shared" si="26"/>
        <v>50.923200000000001</v>
      </c>
      <c r="AZ12" s="376">
        <f t="shared" si="26"/>
        <v>50.923200000000001</v>
      </c>
      <c r="BA12" s="376">
        <f t="shared" si="26"/>
        <v>50.923200000000001</v>
      </c>
      <c r="BB12" s="377">
        <f t="shared" si="26"/>
        <v>50.923200000000001</v>
      </c>
      <c r="BC12" s="291">
        <f t="shared" ref="BC12:BC27" si="27">+AVERAGE(AQ12:BB12)</f>
        <v>50.923200000000001</v>
      </c>
      <c r="BD12" s="375">
        <f t="shared" si="8"/>
        <v>52.450896</v>
      </c>
      <c r="BE12" s="376">
        <f t="shared" ref="BE12:BO27" si="28">BD12</f>
        <v>52.450896</v>
      </c>
      <c r="BF12" s="376">
        <f t="shared" si="28"/>
        <v>52.450896</v>
      </c>
      <c r="BG12" s="376">
        <f t="shared" si="28"/>
        <v>52.450896</v>
      </c>
      <c r="BH12" s="376">
        <f t="shared" si="28"/>
        <v>52.450896</v>
      </c>
      <c r="BI12" s="376">
        <f t="shared" si="28"/>
        <v>52.450896</v>
      </c>
      <c r="BJ12" s="376">
        <f t="shared" si="28"/>
        <v>52.450896</v>
      </c>
      <c r="BK12" s="376">
        <f t="shared" si="28"/>
        <v>52.450896</v>
      </c>
      <c r="BL12" s="376">
        <f t="shared" si="28"/>
        <v>52.450896</v>
      </c>
      <c r="BM12" s="376">
        <f t="shared" si="28"/>
        <v>52.450896</v>
      </c>
      <c r="BN12" s="376">
        <f t="shared" si="28"/>
        <v>52.450896</v>
      </c>
      <c r="BO12" s="377">
        <f t="shared" si="28"/>
        <v>52.450896</v>
      </c>
      <c r="BP12" s="291">
        <f t="shared" ref="BP12:BP27" si="29">+AVERAGE(BD12:BO12)</f>
        <v>52.450896</v>
      </c>
      <c r="BQ12" s="375">
        <f t="shared" si="10"/>
        <v>54.024422880000003</v>
      </c>
      <c r="BR12" s="376">
        <f t="shared" ref="BR12:CB27" si="30">BQ12</f>
        <v>54.024422880000003</v>
      </c>
      <c r="BS12" s="376">
        <f t="shared" si="30"/>
        <v>54.024422880000003</v>
      </c>
      <c r="BT12" s="376">
        <f t="shared" si="30"/>
        <v>54.024422880000003</v>
      </c>
      <c r="BU12" s="376">
        <f t="shared" si="30"/>
        <v>54.024422880000003</v>
      </c>
      <c r="BV12" s="376">
        <f t="shared" si="30"/>
        <v>54.024422880000003</v>
      </c>
      <c r="BW12" s="376">
        <f t="shared" si="30"/>
        <v>54.024422880000003</v>
      </c>
      <c r="BX12" s="376">
        <f t="shared" si="30"/>
        <v>54.024422880000003</v>
      </c>
      <c r="BY12" s="376">
        <f t="shared" si="30"/>
        <v>54.024422880000003</v>
      </c>
      <c r="BZ12" s="376">
        <f t="shared" si="30"/>
        <v>54.024422880000003</v>
      </c>
      <c r="CA12" s="376">
        <f t="shared" si="30"/>
        <v>54.024422880000003</v>
      </c>
      <c r="CB12" s="377">
        <f t="shared" si="30"/>
        <v>54.024422880000003</v>
      </c>
      <c r="CC12" s="291">
        <f t="shared" ref="CC12:CC27" si="31">+AVERAGE(BQ12:CB12)</f>
        <v>54.024422879999982</v>
      </c>
      <c r="CD12" s="375">
        <f t="shared" si="12"/>
        <v>55.645155566400007</v>
      </c>
      <c r="CE12" s="376">
        <f t="shared" ref="CE12:CO27" si="32">CD12</f>
        <v>55.645155566400007</v>
      </c>
      <c r="CF12" s="376">
        <f t="shared" si="32"/>
        <v>55.645155566400007</v>
      </c>
      <c r="CG12" s="376">
        <f t="shared" si="32"/>
        <v>55.645155566400007</v>
      </c>
      <c r="CH12" s="376">
        <f t="shared" si="32"/>
        <v>55.645155566400007</v>
      </c>
      <c r="CI12" s="376">
        <f t="shared" si="32"/>
        <v>55.645155566400007</v>
      </c>
      <c r="CJ12" s="376">
        <f t="shared" si="32"/>
        <v>55.645155566400007</v>
      </c>
      <c r="CK12" s="376">
        <f t="shared" si="32"/>
        <v>55.645155566400007</v>
      </c>
      <c r="CL12" s="376">
        <f t="shared" si="32"/>
        <v>55.645155566400007</v>
      </c>
      <c r="CM12" s="376">
        <f t="shared" si="32"/>
        <v>55.645155566400007</v>
      </c>
      <c r="CN12" s="376">
        <f t="shared" si="32"/>
        <v>55.645155566400007</v>
      </c>
      <c r="CO12" s="377">
        <f t="shared" si="32"/>
        <v>55.645155566400007</v>
      </c>
      <c r="CP12" s="307">
        <f t="shared" ref="CP12:CP27" si="33">+AVERAGE(CD12:CO12)</f>
        <v>55.645155566400028</v>
      </c>
      <c r="CQ12" s="375">
        <f t="shared" si="14"/>
        <v>57.314510233392006</v>
      </c>
      <c r="CR12" s="376">
        <f t="shared" ref="CR12:DB27" si="34">CQ12</f>
        <v>57.314510233392006</v>
      </c>
      <c r="CS12" s="376">
        <f t="shared" si="34"/>
        <v>57.314510233392006</v>
      </c>
      <c r="CT12" s="376">
        <f t="shared" si="34"/>
        <v>57.314510233392006</v>
      </c>
      <c r="CU12" s="376">
        <f t="shared" si="34"/>
        <v>57.314510233392006</v>
      </c>
      <c r="CV12" s="376">
        <f t="shared" si="34"/>
        <v>57.314510233392006</v>
      </c>
      <c r="CW12" s="376">
        <f t="shared" si="34"/>
        <v>57.314510233392006</v>
      </c>
      <c r="CX12" s="376">
        <f t="shared" si="34"/>
        <v>57.314510233392006</v>
      </c>
      <c r="CY12" s="376">
        <f t="shared" si="34"/>
        <v>57.314510233392006</v>
      </c>
      <c r="CZ12" s="376">
        <f t="shared" si="34"/>
        <v>57.314510233392006</v>
      </c>
      <c r="DA12" s="376">
        <f t="shared" si="34"/>
        <v>57.314510233392006</v>
      </c>
      <c r="DB12" s="377">
        <f t="shared" si="34"/>
        <v>57.314510233392006</v>
      </c>
      <c r="DC12" s="291">
        <f t="shared" ref="DC12:DC27" si="35">+AVERAGE(CQ12:DB12)</f>
        <v>57.314510233391992</v>
      </c>
      <c r="DE12" s="372">
        <f t="shared" si="16"/>
        <v>120000</v>
      </c>
      <c r="DF12" s="373">
        <f t="shared" si="17"/>
        <v>123600</v>
      </c>
      <c r="DG12" s="373">
        <f t="shared" si="18"/>
        <v>127308</v>
      </c>
      <c r="DH12" s="373">
        <f t="shared" si="19"/>
        <v>131127.24000000002</v>
      </c>
      <c r="DI12" s="373">
        <f t="shared" si="20"/>
        <v>135061.05719999998</v>
      </c>
      <c r="DJ12" s="373">
        <f t="shared" ref="DJ12:DJ16" si="36">+(CD12*$I12)/12+(CE12*$I12)/12+(CF12*$I12)/12+(CG12*$I12)/12+(CH12*$I12)/12+(CI12*$I12)/12+(CJ12*$I12)/12+(CK12*$I12)/12+(CL12*$I12)/12+(CM12*$I12)/12+(CN12*$I12)/12+(CO12*$I12)/12</f>
        <v>139112.88891600003</v>
      </c>
      <c r="DK12" s="374">
        <f t="shared" ref="DK12:DK16" si="37">+(CQ12*$I12)/12+(CR12*$I12)/12+(CS12*$I12)/12+(CT12*$I12)/12+(CU12*$I12)/12+(CV12*$I12)/12+(CW12*$I12)/12+(CX12*$I12)/12+(CY12*$I12)/12+(CZ12*$I12)/12+(DA12*$I12)/12+(DB12*$I12)/12</f>
        <v>143286.27558348002</v>
      </c>
      <c r="DL12" s="2"/>
    </row>
    <row r="13" spans="2:116">
      <c r="B13" s="422">
        <v>10</v>
      </c>
      <c r="C13" s="303" t="s">
        <v>180</v>
      </c>
      <c r="D13" s="304" t="s">
        <v>181</v>
      </c>
      <c r="E13" s="383" t="s">
        <v>180</v>
      </c>
      <c r="F13" s="384">
        <v>0.04</v>
      </c>
      <c r="G13" s="303" t="s">
        <v>259</v>
      </c>
      <c r="H13" s="304" t="s">
        <v>261</v>
      </c>
      <c r="I13" s="305">
        <v>1500</v>
      </c>
      <c r="J13" s="290">
        <f t="shared" si="21"/>
        <v>0.27272727272727271</v>
      </c>
      <c r="K13" s="306">
        <v>68</v>
      </c>
      <c r="L13" s="306">
        <v>50</v>
      </c>
      <c r="M13" s="32">
        <f t="shared" si="0"/>
        <v>75000</v>
      </c>
      <c r="N13" s="33">
        <f>IF(I13=0," ",K13*I13)</f>
        <v>102000</v>
      </c>
      <c r="O13" s="8">
        <f>IF(N13=" "," ",N13/12)</f>
        <v>8500</v>
      </c>
      <c r="P13" s="270"/>
      <c r="Q13" s="378">
        <f t="shared" si="22"/>
        <v>68</v>
      </c>
      <c r="R13" s="376">
        <f t="shared" si="3"/>
        <v>68</v>
      </c>
      <c r="S13" s="376">
        <f t="shared" si="3"/>
        <v>68</v>
      </c>
      <c r="T13" s="376">
        <f t="shared" si="3"/>
        <v>68</v>
      </c>
      <c r="U13" s="376">
        <f t="shared" si="3"/>
        <v>68</v>
      </c>
      <c r="V13" s="376">
        <f t="shared" si="3"/>
        <v>68</v>
      </c>
      <c r="W13" s="376">
        <f t="shared" si="3"/>
        <v>68</v>
      </c>
      <c r="X13" s="376">
        <f t="shared" si="3"/>
        <v>68</v>
      </c>
      <c r="Y13" s="376">
        <f t="shared" si="3"/>
        <v>68</v>
      </c>
      <c r="Z13" s="376">
        <f t="shared" si="3"/>
        <v>68</v>
      </c>
      <c r="AA13" s="376">
        <f t="shared" si="3"/>
        <v>68</v>
      </c>
      <c r="AB13" s="376">
        <f t="shared" si="3"/>
        <v>68</v>
      </c>
      <c r="AC13" s="291">
        <f t="shared" si="23"/>
        <v>68</v>
      </c>
      <c r="AD13" s="375">
        <f t="shared" si="4"/>
        <v>70.72</v>
      </c>
      <c r="AE13" s="376">
        <f t="shared" si="24"/>
        <v>70.72</v>
      </c>
      <c r="AF13" s="376">
        <f t="shared" si="24"/>
        <v>70.72</v>
      </c>
      <c r="AG13" s="376">
        <f t="shared" si="24"/>
        <v>70.72</v>
      </c>
      <c r="AH13" s="376">
        <f t="shared" si="24"/>
        <v>70.72</v>
      </c>
      <c r="AI13" s="376">
        <f t="shared" si="24"/>
        <v>70.72</v>
      </c>
      <c r="AJ13" s="376">
        <f t="shared" si="24"/>
        <v>70.72</v>
      </c>
      <c r="AK13" s="376">
        <f t="shared" si="24"/>
        <v>70.72</v>
      </c>
      <c r="AL13" s="376">
        <f t="shared" si="24"/>
        <v>70.72</v>
      </c>
      <c r="AM13" s="376">
        <f t="shared" si="24"/>
        <v>70.72</v>
      </c>
      <c r="AN13" s="376">
        <f t="shared" si="24"/>
        <v>70.72</v>
      </c>
      <c r="AO13" s="377">
        <f t="shared" si="24"/>
        <v>70.72</v>
      </c>
      <c r="AP13" s="291">
        <f t="shared" si="25"/>
        <v>70.720000000000013</v>
      </c>
      <c r="AQ13" s="375">
        <f t="shared" si="6"/>
        <v>73.5488</v>
      </c>
      <c r="AR13" s="376">
        <f t="shared" si="26"/>
        <v>73.5488</v>
      </c>
      <c r="AS13" s="376">
        <f t="shared" si="26"/>
        <v>73.5488</v>
      </c>
      <c r="AT13" s="376">
        <f t="shared" si="26"/>
        <v>73.5488</v>
      </c>
      <c r="AU13" s="376">
        <f t="shared" si="26"/>
        <v>73.5488</v>
      </c>
      <c r="AV13" s="376">
        <f t="shared" si="26"/>
        <v>73.5488</v>
      </c>
      <c r="AW13" s="376">
        <f t="shared" si="26"/>
        <v>73.5488</v>
      </c>
      <c r="AX13" s="376">
        <f t="shared" si="26"/>
        <v>73.5488</v>
      </c>
      <c r="AY13" s="376">
        <f t="shared" si="26"/>
        <v>73.5488</v>
      </c>
      <c r="AZ13" s="376">
        <f t="shared" si="26"/>
        <v>73.5488</v>
      </c>
      <c r="BA13" s="376">
        <f t="shared" si="26"/>
        <v>73.5488</v>
      </c>
      <c r="BB13" s="377">
        <f t="shared" si="26"/>
        <v>73.5488</v>
      </c>
      <c r="BC13" s="291">
        <f t="shared" si="27"/>
        <v>73.548800000000014</v>
      </c>
      <c r="BD13" s="375">
        <f t="shared" si="8"/>
        <v>76.490752000000001</v>
      </c>
      <c r="BE13" s="376">
        <f t="shared" si="28"/>
        <v>76.490752000000001</v>
      </c>
      <c r="BF13" s="376">
        <f t="shared" si="28"/>
        <v>76.490752000000001</v>
      </c>
      <c r="BG13" s="376">
        <f t="shared" si="28"/>
        <v>76.490752000000001</v>
      </c>
      <c r="BH13" s="376">
        <f t="shared" si="28"/>
        <v>76.490752000000001</v>
      </c>
      <c r="BI13" s="376">
        <f t="shared" si="28"/>
        <v>76.490752000000001</v>
      </c>
      <c r="BJ13" s="376">
        <f t="shared" si="28"/>
        <v>76.490752000000001</v>
      </c>
      <c r="BK13" s="376">
        <f t="shared" si="28"/>
        <v>76.490752000000001</v>
      </c>
      <c r="BL13" s="376">
        <f t="shared" si="28"/>
        <v>76.490752000000001</v>
      </c>
      <c r="BM13" s="376">
        <f t="shared" si="28"/>
        <v>76.490752000000001</v>
      </c>
      <c r="BN13" s="376">
        <f t="shared" si="28"/>
        <v>76.490752000000001</v>
      </c>
      <c r="BO13" s="377">
        <f t="shared" si="28"/>
        <v>76.490752000000001</v>
      </c>
      <c r="BP13" s="291">
        <f t="shared" si="29"/>
        <v>76.490752000000015</v>
      </c>
      <c r="BQ13" s="375">
        <f t="shared" si="10"/>
        <v>79.550382080000006</v>
      </c>
      <c r="BR13" s="376">
        <f t="shared" si="30"/>
        <v>79.550382080000006</v>
      </c>
      <c r="BS13" s="376">
        <f t="shared" si="30"/>
        <v>79.550382080000006</v>
      </c>
      <c r="BT13" s="376">
        <f t="shared" si="30"/>
        <v>79.550382080000006</v>
      </c>
      <c r="BU13" s="376">
        <f t="shared" si="30"/>
        <v>79.550382080000006</v>
      </c>
      <c r="BV13" s="376">
        <f t="shared" si="30"/>
        <v>79.550382080000006</v>
      </c>
      <c r="BW13" s="376">
        <f t="shared" si="30"/>
        <v>79.550382080000006</v>
      </c>
      <c r="BX13" s="376">
        <f t="shared" si="30"/>
        <v>79.550382080000006</v>
      </c>
      <c r="BY13" s="376">
        <f t="shared" si="30"/>
        <v>79.550382080000006</v>
      </c>
      <c r="BZ13" s="376">
        <f t="shared" si="30"/>
        <v>79.550382080000006</v>
      </c>
      <c r="CA13" s="376">
        <f t="shared" si="30"/>
        <v>79.550382080000006</v>
      </c>
      <c r="CB13" s="377">
        <f t="shared" si="30"/>
        <v>79.550382080000006</v>
      </c>
      <c r="CC13" s="291">
        <f t="shared" si="31"/>
        <v>79.550382079999991</v>
      </c>
      <c r="CD13" s="375">
        <f t="shared" si="12"/>
        <v>82.732397363200008</v>
      </c>
      <c r="CE13" s="376">
        <f t="shared" si="32"/>
        <v>82.732397363200008</v>
      </c>
      <c r="CF13" s="376">
        <f t="shared" si="32"/>
        <v>82.732397363200008</v>
      </c>
      <c r="CG13" s="376">
        <f t="shared" si="32"/>
        <v>82.732397363200008</v>
      </c>
      <c r="CH13" s="376">
        <f t="shared" si="32"/>
        <v>82.732397363200008</v>
      </c>
      <c r="CI13" s="376">
        <f t="shared" si="32"/>
        <v>82.732397363200008</v>
      </c>
      <c r="CJ13" s="376">
        <f t="shared" si="32"/>
        <v>82.732397363200008</v>
      </c>
      <c r="CK13" s="376">
        <f t="shared" si="32"/>
        <v>82.732397363200008</v>
      </c>
      <c r="CL13" s="376">
        <f t="shared" si="32"/>
        <v>82.732397363200008</v>
      </c>
      <c r="CM13" s="376">
        <f t="shared" si="32"/>
        <v>82.732397363200008</v>
      </c>
      <c r="CN13" s="376">
        <f t="shared" si="32"/>
        <v>82.732397363200008</v>
      </c>
      <c r="CO13" s="377">
        <f t="shared" si="32"/>
        <v>82.732397363200008</v>
      </c>
      <c r="CP13" s="307">
        <f t="shared" si="33"/>
        <v>82.732397363200008</v>
      </c>
      <c r="CQ13" s="375">
        <f t="shared" si="14"/>
        <v>86.041693257728014</v>
      </c>
      <c r="CR13" s="376">
        <f t="shared" si="34"/>
        <v>86.041693257728014</v>
      </c>
      <c r="CS13" s="376">
        <f t="shared" si="34"/>
        <v>86.041693257728014</v>
      </c>
      <c r="CT13" s="376">
        <f t="shared" si="34"/>
        <v>86.041693257728014</v>
      </c>
      <c r="CU13" s="376">
        <f t="shared" si="34"/>
        <v>86.041693257728014</v>
      </c>
      <c r="CV13" s="376">
        <f t="shared" si="34"/>
        <v>86.041693257728014</v>
      </c>
      <c r="CW13" s="376">
        <f t="shared" si="34"/>
        <v>86.041693257728014</v>
      </c>
      <c r="CX13" s="376">
        <f t="shared" si="34"/>
        <v>86.041693257728014</v>
      </c>
      <c r="CY13" s="376">
        <f t="shared" si="34"/>
        <v>86.041693257728014</v>
      </c>
      <c r="CZ13" s="376">
        <f t="shared" si="34"/>
        <v>86.041693257728014</v>
      </c>
      <c r="DA13" s="376">
        <f t="shared" si="34"/>
        <v>86.041693257728014</v>
      </c>
      <c r="DB13" s="377">
        <f t="shared" si="34"/>
        <v>86.041693257728014</v>
      </c>
      <c r="DC13" s="291">
        <f t="shared" si="35"/>
        <v>86.041693257727999</v>
      </c>
      <c r="DE13" s="372">
        <f t="shared" si="16"/>
        <v>102000</v>
      </c>
      <c r="DF13" s="373">
        <f t="shared" si="17"/>
        <v>106080</v>
      </c>
      <c r="DG13" s="373">
        <f t="shared" si="18"/>
        <v>110323.20000000003</v>
      </c>
      <c r="DH13" s="373">
        <f t="shared" si="19"/>
        <v>114736.12799999998</v>
      </c>
      <c r="DI13" s="373">
        <f t="shared" si="20"/>
        <v>119325.57312000002</v>
      </c>
      <c r="DJ13" s="373">
        <f t="shared" si="36"/>
        <v>124098.5960448</v>
      </c>
      <c r="DK13" s="374">
        <f t="shared" si="37"/>
        <v>129062.53988659201</v>
      </c>
      <c r="DL13" s="2"/>
    </row>
    <row r="14" spans="2:116">
      <c r="B14" s="422"/>
      <c r="C14" s="303" t="s">
        <v>180</v>
      </c>
      <c r="D14" s="304" t="s">
        <v>180</v>
      </c>
      <c r="E14" s="383" t="s">
        <v>180</v>
      </c>
      <c r="F14" s="384"/>
      <c r="G14" s="303"/>
      <c r="H14" s="304"/>
      <c r="I14" s="305"/>
      <c r="J14" s="290">
        <f t="shared" si="21"/>
        <v>0</v>
      </c>
      <c r="K14" s="306"/>
      <c r="L14" s="306">
        <v>0</v>
      </c>
      <c r="M14" s="32" t="str">
        <f t="shared" si="0"/>
        <v xml:space="preserve"> </v>
      </c>
      <c r="N14" s="33" t="str">
        <f t="shared" ref="N14:N27" si="38">IF(I14=0," ",K14*I14)</f>
        <v xml:space="preserve"> </v>
      </c>
      <c r="O14" s="8" t="str">
        <f t="shared" ref="O14:O27" si="39">IF(N14=" "," ",N14/12)</f>
        <v xml:space="preserve"> </v>
      </c>
      <c r="P14" s="270"/>
      <c r="Q14" s="378">
        <f t="shared" si="22"/>
        <v>0</v>
      </c>
      <c r="R14" s="376">
        <f t="shared" si="3"/>
        <v>0</v>
      </c>
      <c r="S14" s="376">
        <f t="shared" si="3"/>
        <v>0</v>
      </c>
      <c r="T14" s="376">
        <f t="shared" si="3"/>
        <v>0</v>
      </c>
      <c r="U14" s="376">
        <f t="shared" si="3"/>
        <v>0</v>
      </c>
      <c r="V14" s="376">
        <f t="shared" si="3"/>
        <v>0</v>
      </c>
      <c r="W14" s="376">
        <f t="shared" si="3"/>
        <v>0</v>
      </c>
      <c r="X14" s="376">
        <f t="shared" si="3"/>
        <v>0</v>
      </c>
      <c r="Y14" s="376">
        <f t="shared" si="3"/>
        <v>0</v>
      </c>
      <c r="Z14" s="376">
        <f t="shared" si="3"/>
        <v>0</v>
      </c>
      <c r="AA14" s="376">
        <f t="shared" si="3"/>
        <v>0</v>
      </c>
      <c r="AB14" s="376">
        <f t="shared" si="3"/>
        <v>0</v>
      </c>
      <c r="AC14" s="291">
        <f t="shared" si="23"/>
        <v>0</v>
      </c>
      <c r="AD14" s="375">
        <f t="shared" si="4"/>
        <v>0</v>
      </c>
      <c r="AE14" s="376">
        <f t="shared" si="24"/>
        <v>0</v>
      </c>
      <c r="AF14" s="376">
        <f t="shared" si="24"/>
        <v>0</v>
      </c>
      <c r="AG14" s="376">
        <f t="shared" si="24"/>
        <v>0</v>
      </c>
      <c r="AH14" s="376">
        <f t="shared" si="24"/>
        <v>0</v>
      </c>
      <c r="AI14" s="376">
        <f t="shared" si="24"/>
        <v>0</v>
      </c>
      <c r="AJ14" s="376">
        <f t="shared" si="24"/>
        <v>0</v>
      </c>
      <c r="AK14" s="376">
        <f t="shared" si="24"/>
        <v>0</v>
      </c>
      <c r="AL14" s="376">
        <f t="shared" si="24"/>
        <v>0</v>
      </c>
      <c r="AM14" s="376">
        <f t="shared" si="24"/>
        <v>0</v>
      </c>
      <c r="AN14" s="376">
        <f t="shared" si="24"/>
        <v>0</v>
      </c>
      <c r="AO14" s="377">
        <f t="shared" si="24"/>
        <v>0</v>
      </c>
      <c r="AP14" s="291">
        <f t="shared" si="25"/>
        <v>0</v>
      </c>
      <c r="AQ14" s="375">
        <f t="shared" si="6"/>
        <v>0</v>
      </c>
      <c r="AR14" s="376">
        <f t="shared" si="26"/>
        <v>0</v>
      </c>
      <c r="AS14" s="376">
        <f t="shared" si="26"/>
        <v>0</v>
      </c>
      <c r="AT14" s="376">
        <f t="shared" si="26"/>
        <v>0</v>
      </c>
      <c r="AU14" s="376">
        <f t="shared" si="26"/>
        <v>0</v>
      </c>
      <c r="AV14" s="376">
        <f t="shared" si="26"/>
        <v>0</v>
      </c>
      <c r="AW14" s="376">
        <f t="shared" si="26"/>
        <v>0</v>
      </c>
      <c r="AX14" s="376">
        <f t="shared" si="26"/>
        <v>0</v>
      </c>
      <c r="AY14" s="376">
        <f t="shared" si="26"/>
        <v>0</v>
      </c>
      <c r="AZ14" s="376">
        <f t="shared" si="26"/>
        <v>0</v>
      </c>
      <c r="BA14" s="376">
        <f t="shared" si="26"/>
        <v>0</v>
      </c>
      <c r="BB14" s="377">
        <f t="shared" si="26"/>
        <v>0</v>
      </c>
      <c r="BC14" s="291">
        <f t="shared" si="27"/>
        <v>0</v>
      </c>
      <c r="BD14" s="375">
        <f t="shared" si="8"/>
        <v>0</v>
      </c>
      <c r="BE14" s="376">
        <f t="shared" si="28"/>
        <v>0</v>
      </c>
      <c r="BF14" s="376">
        <f t="shared" si="28"/>
        <v>0</v>
      </c>
      <c r="BG14" s="376">
        <f t="shared" si="28"/>
        <v>0</v>
      </c>
      <c r="BH14" s="376">
        <f t="shared" si="28"/>
        <v>0</v>
      </c>
      <c r="BI14" s="376">
        <f t="shared" si="28"/>
        <v>0</v>
      </c>
      <c r="BJ14" s="376">
        <f t="shared" si="28"/>
        <v>0</v>
      </c>
      <c r="BK14" s="376">
        <f t="shared" si="28"/>
        <v>0</v>
      </c>
      <c r="BL14" s="376">
        <f t="shared" si="28"/>
        <v>0</v>
      </c>
      <c r="BM14" s="376">
        <f t="shared" si="28"/>
        <v>0</v>
      </c>
      <c r="BN14" s="376">
        <f t="shared" si="28"/>
        <v>0</v>
      </c>
      <c r="BO14" s="377">
        <f t="shared" si="28"/>
        <v>0</v>
      </c>
      <c r="BP14" s="291">
        <f t="shared" si="29"/>
        <v>0</v>
      </c>
      <c r="BQ14" s="375">
        <f t="shared" si="10"/>
        <v>0</v>
      </c>
      <c r="BR14" s="376">
        <f t="shared" si="30"/>
        <v>0</v>
      </c>
      <c r="BS14" s="376">
        <f t="shared" si="30"/>
        <v>0</v>
      </c>
      <c r="BT14" s="376">
        <f t="shared" si="30"/>
        <v>0</v>
      </c>
      <c r="BU14" s="376">
        <f t="shared" si="30"/>
        <v>0</v>
      </c>
      <c r="BV14" s="376">
        <f t="shared" si="30"/>
        <v>0</v>
      </c>
      <c r="BW14" s="376">
        <f t="shared" si="30"/>
        <v>0</v>
      </c>
      <c r="BX14" s="376">
        <f t="shared" si="30"/>
        <v>0</v>
      </c>
      <c r="BY14" s="376">
        <f t="shared" si="30"/>
        <v>0</v>
      </c>
      <c r="BZ14" s="376">
        <f t="shared" si="30"/>
        <v>0</v>
      </c>
      <c r="CA14" s="376">
        <f t="shared" si="30"/>
        <v>0</v>
      </c>
      <c r="CB14" s="377">
        <f t="shared" si="30"/>
        <v>0</v>
      </c>
      <c r="CC14" s="291">
        <f t="shared" si="31"/>
        <v>0</v>
      </c>
      <c r="CD14" s="375">
        <f t="shared" si="12"/>
        <v>0</v>
      </c>
      <c r="CE14" s="376">
        <f t="shared" si="32"/>
        <v>0</v>
      </c>
      <c r="CF14" s="376">
        <f t="shared" si="32"/>
        <v>0</v>
      </c>
      <c r="CG14" s="376">
        <f t="shared" si="32"/>
        <v>0</v>
      </c>
      <c r="CH14" s="376">
        <f t="shared" si="32"/>
        <v>0</v>
      </c>
      <c r="CI14" s="376">
        <f t="shared" si="32"/>
        <v>0</v>
      </c>
      <c r="CJ14" s="376">
        <f t="shared" si="32"/>
        <v>0</v>
      </c>
      <c r="CK14" s="376">
        <f t="shared" si="32"/>
        <v>0</v>
      </c>
      <c r="CL14" s="376">
        <f t="shared" si="32"/>
        <v>0</v>
      </c>
      <c r="CM14" s="376">
        <f t="shared" si="32"/>
        <v>0</v>
      </c>
      <c r="CN14" s="376">
        <f t="shared" si="32"/>
        <v>0</v>
      </c>
      <c r="CO14" s="377">
        <f t="shared" si="32"/>
        <v>0</v>
      </c>
      <c r="CP14" s="307">
        <f t="shared" si="33"/>
        <v>0</v>
      </c>
      <c r="CQ14" s="375">
        <f t="shared" si="14"/>
        <v>0</v>
      </c>
      <c r="CR14" s="376">
        <f t="shared" si="34"/>
        <v>0</v>
      </c>
      <c r="CS14" s="376">
        <f t="shared" si="34"/>
        <v>0</v>
      </c>
      <c r="CT14" s="376">
        <f t="shared" si="34"/>
        <v>0</v>
      </c>
      <c r="CU14" s="376">
        <f t="shared" si="34"/>
        <v>0</v>
      </c>
      <c r="CV14" s="376">
        <f t="shared" si="34"/>
        <v>0</v>
      </c>
      <c r="CW14" s="376">
        <f t="shared" si="34"/>
        <v>0</v>
      </c>
      <c r="CX14" s="376">
        <f t="shared" si="34"/>
        <v>0</v>
      </c>
      <c r="CY14" s="376">
        <f t="shared" si="34"/>
        <v>0</v>
      </c>
      <c r="CZ14" s="376">
        <f t="shared" si="34"/>
        <v>0</v>
      </c>
      <c r="DA14" s="376">
        <f t="shared" si="34"/>
        <v>0</v>
      </c>
      <c r="DB14" s="377">
        <f t="shared" si="34"/>
        <v>0</v>
      </c>
      <c r="DC14" s="291">
        <f t="shared" si="35"/>
        <v>0</v>
      </c>
      <c r="DE14" s="372">
        <f t="shared" si="16"/>
        <v>0</v>
      </c>
      <c r="DF14" s="373">
        <f t="shared" si="17"/>
        <v>0</v>
      </c>
      <c r="DG14" s="373">
        <f t="shared" si="18"/>
        <v>0</v>
      </c>
      <c r="DH14" s="373">
        <f t="shared" si="19"/>
        <v>0</v>
      </c>
      <c r="DI14" s="373">
        <f t="shared" si="20"/>
        <v>0</v>
      </c>
      <c r="DJ14" s="373">
        <f t="shared" si="36"/>
        <v>0</v>
      </c>
      <c r="DK14" s="374">
        <f t="shared" si="37"/>
        <v>0</v>
      </c>
      <c r="DL14" s="2"/>
    </row>
    <row r="15" spans="2:116">
      <c r="B15" s="422"/>
      <c r="C15" s="303" t="s">
        <v>180</v>
      </c>
      <c r="D15" s="304" t="s">
        <v>180</v>
      </c>
      <c r="E15" s="383" t="s">
        <v>180</v>
      </c>
      <c r="F15" s="384"/>
      <c r="G15" s="303"/>
      <c r="H15" s="304"/>
      <c r="I15" s="305"/>
      <c r="J15" s="290">
        <f t="shared" si="21"/>
        <v>0</v>
      </c>
      <c r="K15" s="306"/>
      <c r="L15" s="306">
        <v>0</v>
      </c>
      <c r="M15" s="32" t="str">
        <f t="shared" si="0"/>
        <v xml:space="preserve"> </v>
      </c>
      <c r="N15" s="33" t="str">
        <f t="shared" si="38"/>
        <v xml:space="preserve"> </v>
      </c>
      <c r="O15" s="8" t="str">
        <f t="shared" si="39"/>
        <v xml:space="preserve"> </v>
      </c>
      <c r="P15" s="270"/>
      <c r="Q15" s="378">
        <f t="shared" si="22"/>
        <v>0</v>
      </c>
      <c r="R15" s="376">
        <f t="shared" si="3"/>
        <v>0</v>
      </c>
      <c r="S15" s="376">
        <f t="shared" si="3"/>
        <v>0</v>
      </c>
      <c r="T15" s="376">
        <f t="shared" si="3"/>
        <v>0</v>
      </c>
      <c r="U15" s="376">
        <f t="shared" si="3"/>
        <v>0</v>
      </c>
      <c r="V15" s="376">
        <f t="shared" si="3"/>
        <v>0</v>
      </c>
      <c r="W15" s="376">
        <f t="shared" si="3"/>
        <v>0</v>
      </c>
      <c r="X15" s="376">
        <f t="shared" si="3"/>
        <v>0</v>
      </c>
      <c r="Y15" s="376">
        <f t="shared" si="3"/>
        <v>0</v>
      </c>
      <c r="Z15" s="376">
        <f t="shared" si="3"/>
        <v>0</v>
      </c>
      <c r="AA15" s="376">
        <f t="shared" si="3"/>
        <v>0</v>
      </c>
      <c r="AB15" s="376">
        <f t="shared" si="3"/>
        <v>0</v>
      </c>
      <c r="AC15" s="291">
        <f t="shared" si="23"/>
        <v>0</v>
      </c>
      <c r="AD15" s="375">
        <f t="shared" si="4"/>
        <v>0</v>
      </c>
      <c r="AE15" s="376">
        <f t="shared" si="24"/>
        <v>0</v>
      </c>
      <c r="AF15" s="376">
        <f t="shared" si="24"/>
        <v>0</v>
      </c>
      <c r="AG15" s="376">
        <f t="shared" si="24"/>
        <v>0</v>
      </c>
      <c r="AH15" s="376">
        <f t="shared" si="24"/>
        <v>0</v>
      </c>
      <c r="AI15" s="376">
        <f t="shared" si="24"/>
        <v>0</v>
      </c>
      <c r="AJ15" s="376">
        <f t="shared" si="24"/>
        <v>0</v>
      </c>
      <c r="AK15" s="376">
        <f t="shared" si="24"/>
        <v>0</v>
      </c>
      <c r="AL15" s="376">
        <f t="shared" si="24"/>
        <v>0</v>
      </c>
      <c r="AM15" s="376">
        <f t="shared" si="24"/>
        <v>0</v>
      </c>
      <c r="AN15" s="376">
        <f t="shared" si="24"/>
        <v>0</v>
      </c>
      <c r="AO15" s="377">
        <f t="shared" si="24"/>
        <v>0</v>
      </c>
      <c r="AP15" s="291">
        <f t="shared" si="25"/>
        <v>0</v>
      </c>
      <c r="AQ15" s="375">
        <f t="shared" si="6"/>
        <v>0</v>
      </c>
      <c r="AR15" s="376">
        <f t="shared" si="26"/>
        <v>0</v>
      </c>
      <c r="AS15" s="376">
        <f t="shared" si="26"/>
        <v>0</v>
      </c>
      <c r="AT15" s="376">
        <f t="shared" si="26"/>
        <v>0</v>
      </c>
      <c r="AU15" s="376">
        <f t="shared" si="26"/>
        <v>0</v>
      </c>
      <c r="AV15" s="376">
        <f t="shared" si="26"/>
        <v>0</v>
      </c>
      <c r="AW15" s="376">
        <f t="shared" si="26"/>
        <v>0</v>
      </c>
      <c r="AX15" s="376">
        <f t="shared" si="26"/>
        <v>0</v>
      </c>
      <c r="AY15" s="376">
        <f t="shared" si="26"/>
        <v>0</v>
      </c>
      <c r="AZ15" s="376">
        <f t="shared" si="26"/>
        <v>0</v>
      </c>
      <c r="BA15" s="376">
        <f t="shared" si="26"/>
        <v>0</v>
      </c>
      <c r="BB15" s="377">
        <f t="shared" si="26"/>
        <v>0</v>
      </c>
      <c r="BC15" s="291">
        <f t="shared" si="27"/>
        <v>0</v>
      </c>
      <c r="BD15" s="375">
        <f t="shared" si="8"/>
        <v>0</v>
      </c>
      <c r="BE15" s="376">
        <f t="shared" si="28"/>
        <v>0</v>
      </c>
      <c r="BF15" s="376">
        <f t="shared" si="28"/>
        <v>0</v>
      </c>
      <c r="BG15" s="376">
        <f t="shared" si="28"/>
        <v>0</v>
      </c>
      <c r="BH15" s="376">
        <f t="shared" si="28"/>
        <v>0</v>
      </c>
      <c r="BI15" s="376">
        <f t="shared" si="28"/>
        <v>0</v>
      </c>
      <c r="BJ15" s="376">
        <f t="shared" si="28"/>
        <v>0</v>
      </c>
      <c r="BK15" s="376">
        <f t="shared" si="28"/>
        <v>0</v>
      </c>
      <c r="BL15" s="376">
        <f t="shared" si="28"/>
        <v>0</v>
      </c>
      <c r="BM15" s="376">
        <f t="shared" si="28"/>
        <v>0</v>
      </c>
      <c r="BN15" s="376">
        <f t="shared" si="28"/>
        <v>0</v>
      </c>
      <c r="BO15" s="377">
        <f t="shared" si="28"/>
        <v>0</v>
      </c>
      <c r="BP15" s="291">
        <f t="shared" si="29"/>
        <v>0</v>
      </c>
      <c r="BQ15" s="375">
        <f t="shared" si="10"/>
        <v>0</v>
      </c>
      <c r="BR15" s="376">
        <f t="shared" si="30"/>
        <v>0</v>
      </c>
      <c r="BS15" s="376">
        <f t="shared" si="30"/>
        <v>0</v>
      </c>
      <c r="BT15" s="376">
        <f t="shared" si="30"/>
        <v>0</v>
      </c>
      <c r="BU15" s="376">
        <f t="shared" si="30"/>
        <v>0</v>
      </c>
      <c r="BV15" s="376">
        <f t="shared" si="30"/>
        <v>0</v>
      </c>
      <c r="BW15" s="376">
        <f t="shared" si="30"/>
        <v>0</v>
      </c>
      <c r="BX15" s="376">
        <f t="shared" si="30"/>
        <v>0</v>
      </c>
      <c r="BY15" s="376">
        <f t="shared" si="30"/>
        <v>0</v>
      </c>
      <c r="BZ15" s="376">
        <f t="shared" si="30"/>
        <v>0</v>
      </c>
      <c r="CA15" s="376">
        <f t="shared" si="30"/>
        <v>0</v>
      </c>
      <c r="CB15" s="377">
        <f t="shared" si="30"/>
        <v>0</v>
      </c>
      <c r="CC15" s="291">
        <f t="shared" si="31"/>
        <v>0</v>
      </c>
      <c r="CD15" s="375">
        <f t="shared" si="12"/>
        <v>0</v>
      </c>
      <c r="CE15" s="376">
        <f t="shared" si="32"/>
        <v>0</v>
      </c>
      <c r="CF15" s="376">
        <f t="shared" si="32"/>
        <v>0</v>
      </c>
      <c r="CG15" s="376">
        <f t="shared" si="32"/>
        <v>0</v>
      </c>
      <c r="CH15" s="376">
        <f t="shared" si="32"/>
        <v>0</v>
      </c>
      <c r="CI15" s="376">
        <f t="shared" si="32"/>
        <v>0</v>
      </c>
      <c r="CJ15" s="376">
        <f t="shared" si="32"/>
        <v>0</v>
      </c>
      <c r="CK15" s="376">
        <f t="shared" si="32"/>
        <v>0</v>
      </c>
      <c r="CL15" s="376">
        <f t="shared" si="32"/>
        <v>0</v>
      </c>
      <c r="CM15" s="376">
        <f t="shared" si="32"/>
        <v>0</v>
      </c>
      <c r="CN15" s="376">
        <f t="shared" si="32"/>
        <v>0</v>
      </c>
      <c r="CO15" s="377">
        <f t="shared" si="32"/>
        <v>0</v>
      </c>
      <c r="CP15" s="307">
        <f t="shared" si="33"/>
        <v>0</v>
      </c>
      <c r="CQ15" s="375">
        <f t="shared" si="14"/>
        <v>0</v>
      </c>
      <c r="CR15" s="376">
        <f t="shared" si="34"/>
        <v>0</v>
      </c>
      <c r="CS15" s="376">
        <f t="shared" si="34"/>
        <v>0</v>
      </c>
      <c r="CT15" s="376">
        <f t="shared" si="34"/>
        <v>0</v>
      </c>
      <c r="CU15" s="376">
        <f t="shared" si="34"/>
        <v>0</v>
      </c>
      <c r="CV15" s="376">
        <f t="shared" si="34"/>
        <v>0</v>
      </c>
      <c r="CW15" s="376">
        <f t="shared" si="34"/>
        <v>0</v>
      </c>
      <c r="CX15" s="376">
        <f t="shared" si="34"/>
        <v>0</v>
      </c>
      <c r="CY15" s="376">
        <f t="shared" si="34"/>
        <v>0</v>
      </c>
      <c r="CZ15" s="376">
        <f t="shared" si="34"/>
        <v>0</v>
      </c>
      <c r="DA15" s="376">
        <f t="shared" si="34"/>
        <v>0</v>
      </c>
      <c r="DB15" s="377">
        <f t="shared" si="34"/>
        <v>0</v>
      </c>
      <c r="DC15" s="291">
        <f t="shared" si="35"/>
        <v>0</v>
      </c>
      <c r="DE15" s="372">
        <f t="shared" si="16"/>
        <v>0</v>
      </c>
      <c r="DF15" s="373">
        <f t="shared" si="17"/>
        <v>0</v>
      </c>
      <c r="DG15" s="373">
        <f t="shared" si="18"/>
        <v>0</v>
      </c>
      <c r="DH15" s="373">
        <f t="shared" si="19"/>
        <v>0</v>
      </c>
      <c r="DI15" s="373">
        <f t="shared" si="20"/>
        <v>0</v>
      </c>
      <c r="DJ15" s="373">
        <f t="shared" si="36"/>
        <v>0</v>
      </c>
      <c r="DK15" s="374">
        <f t="shared" si="37"/>
        <v>0</v>
      </c>
      <c r="DL15" s="2"/>
    </row>
    <row r="16" spans="2:116">
      <c r="B16" s="422"/>
      <c r="C16" s="303" t="s">
        <v>180</v>
      </c>
      <c r="D16" s="304" t="s">
        <v>180</v>
      </c>
      <c r="E16" s="383" t="s">
        <v>180</v>
      </c>
      <c r="F16" s="384"/>
      <c r="G16" s="303"/>
      <c r="H16" s="304"/>
      <c r="I16" s="305"/>
      <c r="J16" s="290">
        <f t="shared" si="21"/>
        <v>0</v>
      </c>
      <c r="K16" s="306"/>
      <c r="L16" s="306">
        <v>0</v>
      </c>
      <c r="M16" s="32" t="str">
        <f t="shared" si="0"/>
        <v xml:space="preserve"> </v>
      </c>
      <c r="N16" s="33" t="str">
        <f t="shared" si="38"/>
        <v xml:space="preserve"> </v>
      </c>
      <c r="O16" s="8" t="str">
        <f t="shared" si="39"/>
        <v xml:space="preserve"> </v>
      </c>
      <c r="P16" s="270"/>
      <c r="Q16" s="378">
        <f t="shared" si="22"/>
        <v>0</v>
      </c>
      <c r="R16" s="376">
        <f t="shared" si="3"/>
        <v>0</v>
      </c>
      <c r="S16" s="376">
        <f t="shared" si="3"/>
        <v>0</v>
      </c>
      <c r="T16" s="376">
        <f t="shared" si="3"/>
        <v>0</v>
      </c>
      <c r="U16" s="376">
        <f t="shared" si="3"/>
        <v>0</v>
      </c>
      <c r="V16" s="376">
        <f t="shared" si="3"/>
        <v>0</v>
      </c>
      <c r="W16" s="376">
        <f t="shared" si="3"/>
        <v>0</v>
      </c>
      <c r="X16" s="376">
        <f t="shared" si="3"/>
        <v>0</v>
      </c>
      <c r="Y16" s="376">
        <f t="shared" si="3"/>
        <v>0</v>
      </c>
      <c r="Z16" s="376">
        <f t="shared" si="3"/>
        <v>0</v>
      </c>
      <c r="AA16" s="376">
        <f t="shared" si="3"/>
        <v>0</v>
      </c>
      <c r="AB16" s="376">
        <f t="shared" si="3"/>
        <v>0</v>
      </c>
      <c r="AC16" s="291">
        <f t="shared" si="23"/>
        <v>0</v>
      </c>
      <c r="AD16" s="375">
        <f t="shared" si="4"/>
        <v>0</v>
      </c>
      <c r="AE16" s="376">
        <f t="shared" si="24"/>
        <v>0</v>
      </c>
      <c r="AF16" s="376">
        <f t="shared" si="24"/>
        <v>0</v>
      </c>
      <c r="AG16" s="376">
        <f t="shared" si="24"/>
        <v>0</v>
      </c>
      <c r="AH16" s="376">
        <f t="shared" si="24"/>
        <v>0</v>
      </c>
      <c r="AI16" s="376">
        <f t="shared" si="24"/>
        <v>0</v>
      </c>
      <c r="AJ16" s="376">
        <f t="shared" si="24"/>
        <v>0</v>
      </c>
      <c r="AK16" s="376">
        <f t="shared" si="24"/>
        <v>0</v>
      </c>
      <c r="AL16" s="376">
        <f t="shared" si="24"/>
        <v>0</v>
      </c>
      <c r="AM16" s="376">
        <f t="shared" si="24"/>
        <v>0</v>
      </c>
      <c r="AN16" s="376">
        <f t="shared" si="24"/>
        <v>0</v>
      </c>
      <c r="AO16" s="377">
        <f t="shared" si="24"/>
        <v>0</v>
      </c>
      <c r="AP16" s="291">
        <f t="shared" si="25"/>
        <v>0</v>
      </c>
      <c r="AQ16" s="375">
        <f t="shared" si="6"/>
        <v>0</v>
      </c>
      <c r="AR16" s="376">
        <f t="shared" si="26"/>
        <v>0</v>
      </c>
      <c r="AS16" s="376">
        <f t="shared" si="26"/>
        <v>0</v>
      </c>
      <c r="AT16" s="376">
        <f t="shared" si="26"/>
        <v>0</v>
      </c>
      <c r="AU16" s="376">
        <f t="shared" si="26"/>
        <v>0</v>
      </c>
      <c r="AV16" s="376">
        <f t="shared" si="26"/>
        <v>0</v>
      </c>
      <c r="AW16" s="376">
        <f t="shared" si="26"/>
        <v>0</v>
      </c>
      <c r="AX16" s="376">
        <f t="shared" si="26"/>
        <v>0</v>
      </c>
      <c r="AY16" s="376">
        <f t="shared" si="26"/>
        <v>0</v>
      </c>
      <c r="AZ16" s="376">
        <f t="shared" si="26"/>
        <v>0</v>
      </c>
      <c r="BA16" s="376">
        <f t="shared" si="26"/>
        <v>0</v>
      </c>
      <c r="BB16" s="377">
        <f t="shared" si="26"/>
        <v>0</v>
      </c>
      <c r="BC16" s="291">
        <f t="shared" si="27"/>
        <v>0</v>
      </c>
      <c r="BD16" s="375">
        <f t="shared" si="8"/>
        <v>0</v>
      </c>
      <c r="BE16" s="376">
        <f t="shared" si="28"/>
        <v>0</v>
      </c>
      <c r="BF16" s="376">
        <f t="shared" si="28"/>
        <v>0</v>
      </c>
      <c r="BG16" s="376">
        <f t="shared" si="28"/>
        <v>0</v>
      </c>
      <c r="BH16" s="376">
        <f t="shared" si="28"/>
        <v>0</v>
      </c>
      <c r="BI16" s="376">
        <f t="shared" si="28"/>
        <v>0</v>
      </c>
      <c r="BJ16" s="376">
        <f t="shared" si="28"/>
        <v>0</v>
      </c>
      <c r="BK16" s="376">
        <f t="shared" si="28"/>
        <v>0</v>
      </c>
      <c r="BL16" s="376">
        <f t="shared" si="28"/>
        <v>0</v>
      </c>
      <c r="BM16" s="376">
        <f t="shared" si="28"/>
        <v>0</v>
      </c>
      <c r="BN16" s="376">
        <f t="shared" si="28"/>
        <v>0</v>
      </c>
      <c r="BO16" s="377">
        <f t="shared" si="28"/>
        <v>0</v>
      </c>
      <c r="BP16" s="291">
        <f t="shared" si="29"/>
        <v>0</v>
      </c>
      <c r="BQ16" s="375">
        <f t="shared" si="10"/>
        <v>0</v>
      </c>
      <c r="BR16" s="376">
        <f t="shared" si="30"/>
        <v>0</v>
      </c>
      <c r="BS16" s="376">
        <f t="shared" si="30"/>
        <v>0</v>
      </c>
      <c r="BT16" s="376">
        <f t="shared" si="30"/>
        <v>0</v>
      </c>
      <c r="BU16" s="376">
        <f t="shared" si="30"/>
        <v>0</v>
      </c>
      <c r="BV16" s="376">
        <f t="shared" si="30"/>
        <v>0</v>
      </c>
      <c r="BW16" s="376">
        <f t="shared" si="30"/>
        <v>0</v>
      </c>
      <c r="BX16" s="376">
        <f t="shared" si="30"/>
        <v>0</v>
      </c>
      <c r="BY16" s="376">
        <f t="shared" si="30"/>
        <v>0</v>
      </c>
      <c r="BZ16" s="376">
        <f t="shared" si="30"/>
        <v>0</v>
      </c>
      <c r="CA16" s="376">
        <f t="shared" si="30"/>
        <v>0</v>
      </c>
      <c r="CB16" s="377">
        <f t="shared" si="30"/>
        <v>0</v>
      </c>
      <c r="CC16" s="291">
        <f t="shared" si="31"/>
        <v>0</v>
      </c>
      <c r="CD16" s="375">
        <f t="shared" si="12"/>
        <v>0</v>
      </c>
      <c r="CE16" s="376">
        <f t="shared" si="32"/>
        <v>0</v>
      </c>
      <c r="CF16" s="376">
        <f t="shared" si="32"/>
        <v>0</v>
      </c>
      <c r="CG16" s="376">
        <f t="shared" si="32"/>
        <v>0</v>
      </c>
      <c r="CH16" s="376">
        <f t="shared" si="32"/>
        <v>0</v>
      </c>
      <c r="CI16" s="376">
        <f t="shared" si="32"/>
        <v>0</v>
      </c>
      <c r="CJ16" s="376">
        <f t="shared" si="32"/>
        <v>0</v>
      </c>
      <c r="CK16" s="376">
        <f t="shared" si="32"/>
        <v>0</v>
      </c>
      <c r="CL16" s="376">
        <f t="shared" si="32"/>
        <v>0</v>
      </c>
      <c r="CM16" s="376">
        <f t="shared" si="32"/>
        <v>0</v>
      </c>
      <c r="CN16" s="376">
        <f t="shared" si="32"/>
        <v>0</v>
      </c>
      <c r="CO16" s="377">
        <f t="shared" si="32"/>
        <v>0</v>
      </c>
      <c r="CP16" s="307">
        <f t="shared" si="33"/>
        <v>0</v>
      </c>
      <c r="CQ16" s="375">
        <f t="shared" si="14"/>
        <v>0</v>
      </c>
      <c r="CR16" s="376">
        <f t="shared" si="34"/>
        <v>0</v>
      </c>
      <c r="CS16" s="376">
        <f t="shared" si="34"/>
        <v>0</v>
      </c>
      <c r="CT16" s="376">
        <f t="shared" si="34"/>
        <v>0</v>
      </c>
      <c r="CU16" s="376">
        <f t="shared" si="34"/>
        <v>0</v>
      </c>
      <c r="CV16" s="376">
        <f t="shared" si="34"/>
        <v>0</v>
      </c>
      <c r="CW16" s="376">
        <f t="shared" si="34"/>
        <v>0</v>
      </c>
      <c r="CX16" s="376">
        <f t="shared" si="34"/>
        <v>0</v>
      </c>
      <c r="CY16" s="376">
        <f t="shared" si="34"/>
        <v>0</v>
      </c>
      <c r="CZ16" s="376">
        <f t="shared" si="34"/>
        <v>0</v>
      </c>
      <c r="DA16" s="376">
        <f t="shared" si="34"/>
        <v>0</v>
      </c>
      <c r="DB16" s="377">
        <f t="shared" si="34"/>
        <v>0</v>
      </c>
      <c r="DC16" s="291">
        <f t="shared" si="35"/>
        <v>0</v>
      </c>
      <c r="DE16" s="372">
        <f t="shared" si="16"/>
        <v>0</v>
      </c>
      <c r="DF16" s="373">
        <f t="shared" si="17"/>
        <v>0</v>
      </c>
      <c r="DG16" s="373">
        <f t="shared" si="18"/>
        <v>0</v>
      </c>
      <c r="DH16" s="373">
        <f t="shared" si="19"/>
        <v>0</v>
      </c>
      <c r="DI16" s="373">
        <f t="shared" si="20"/>
        <v>0</v>
      </c>
      <c r="DJ16" s="373">
        <f t="shared" si="36"/>
        <v>0</v>
      </c>
      <c r="DK16" s="374">
        <f t="shared" si="37"/>
        <v>0</v>
      </c>
    </row>
    <row r="17" spans="2:115">
      <c r="B17" s="422"/>
      <c r="C17" s="303" t="s">
        <v>181</v>
      </c>
      <c r="D17" s="304" t="s">
        <v>181</v>
      </c>
      <c r="E17" s="383" t="s">
        <v>180</v>
      </c>
      <c r="F17" s="384"/>
      <c r="G17" s="303"/>
      <c r="H17" s="304"/>
      <c r="I17" s="305"/>
      <c r="J17" s="290">
        <f t="shared" si="21"/>
        <v>0</v>
      </c>
      <c r="K17" s="306"/>
      <c r="L17" s="306">
        <v>0</v>
      </c>
      <c r="M17" s="32" t="str">
        <f t="shared" si="0"/>
        <v xml:space="preserve"> </v>
      </c>
      <c r="N17" s="33" t="str">
        <f t="shared" si="38"/>
        <v xml:space="preserve"> </v>
      </c>
      <c r="O17" s="8" t="str">
        <f t="shared" si="39"/>
        <v xml:space="preserve"> </v>
      </c>
      <c r="P17" s="270"/>
      <c r="Q17" s="378">
        <f t="shared" si="22"/>
        <v>0</v>
      </c>
      <c r="R17" s="376">
        <f t="shared" si="3"/>
        <v>0</v>
      </c>
      <c r="S17" s="376">
        <f t="shared" si="3"/>
        <v>0</v>
      </c>
      <c r="T17" s="376">
        <f t="shared" si="3"/>
        <v>0</v>
      </c>
      <c r="U17" s="376">
        <f t="shared" si="3"/>
        <v>0</v>
      </c>
      <c r="V17" s="376">
        <f t="shared" si="3"/>
        <v>0</v>
      </c>
      <c r="W17" s="376">
        <f t="shared" si="3"/>
        <v>0</v>
      </c>
      <c r="X17" s="376">
        <f t="shared" si="3"/>
        <v>0</v>
      </c>
      <c r="Y17" s="376">
        <f t="shared" si="3"/>
        <v>0</v>
      </c>
      <c r="Z17" s="376">
        <f t="shared" si="3"/>
        <v>0</v>
      </c>
      <c r="AA17" s="376">
        <f t="shared" si="3"/>
        <v>0</v>
      </c>
      <c r="AB17" s="376">
        <f t="shared" si="3"/>
        <v>0</v>
      </c>
      <c r="AC17" s="291">
        <f t="shared" si="23"/>
        <v>0</v>
      </c>
      <c r="AD17" s="375">
        <f t="shared" si="4"/>
        <v>0</v>
      </c>
      <c r="AE17" s="376">
        <f t="shared" si="24"/>
        <v>0</v>
      </c>
      <c r="AF17" s="376">
        <f t="shared" si="24"/>
        <v>0</v>
      </c>
      <c r="AG17" s="376">
        <f t="shared" si="24"/>
        <v>0</v>
      </c>
      <c r="AH17" s="376">
        <f t="shared" si="24"/>
        <v>0</v>
      </c>
      <c r="AI17" s="376">
        <f t="shared" si="24"/>
        <v>0</v>
      </c>
      <c r="AJ17" s="376">
        <f t="shared" si="24"/>
        <v>0</v>
      </c>
      <c r="AK17" s="376">
        <f t="shared" si="24"/>
        <v>0</v>
      </c>
      <c r="AL17" s="376">
        <f t="shared" si="24"/>
        <v>0</v>
      </c>
      <c r="AM17" s="376">
        <f t="shared" si="24"/>
        <v>0</v>
      </c>
      <c r="AN17" s="376">
        <f t="shared" si="24"/>
        <v>0</v>
      </c>
      <c r="AO17" s="377">
        <f t="shared" si="24"/>
        <v>0</v>
      </c>
      <c r="AP17" s="291">
        <f t="shared" si="25"/>
        <v>0</v>
      </c>
      <c r="AQ17" s="375">
        <f t="shared" si="6"/>
        <v>0</v>
      </c>
      <c r="AR17" s="376">
        <f t="shared" si="26"/>
        <v>0</v>
      </c>
      <c r="AS17" s="376">
        <f t="shared" si="26"/>
        <v>0</v>
      </c>
      <c r="AT17" s="376">
        <f t="shared" si="26"/>
        <v>0</v>
      </c>
      <c r="AU17" s="376">
        <f t="shared" si="26"/>
        <v>0</v>
      </c>
      <c r="AV17" s="376">
        <f t="shared" si="26"/>
        <v>0</v>
      </c>
      <c r="AW17" s="376">
        <f t="shared" si="26"/>
        <v>0</v>
      </c>
      <c r="AX17" s="376">
        <f t="shared" si="26"/>
        <v>0</v>
      </c>
      <c r="AY17" s="376">
        <f t="shared" si="26"/>
        <v>0</v>
      </c>
      <c r="AZ17" s="376">
        <f t="shared" si="26"/>
        <v>0</v>
      </c>
      <c r="BA17" s="376">
        <f t="shared" si="26"/>
        <v>0</v>
      </c>
      <c r="BB17" s="377">
        <f t="shared" si="26"/>
        <v>0</v>
      </c>
      <c r="BC17" s="291">
        <f t="shared" si="27"/>
        <v>0</v>
      </c>
      <c r="BD17" s="375">
        <f t="shared" si="8"/>
        <v>0</v>
      </c>
      <c r="BE17" s="376">
        <f t="shared" si="28"/>
        <v>0</v>
      </c>
      <c r="BF17" s="376">
        <f t="shared" si="28"/>
        <v>0</v>
      </c>
      <c r="BG17" s="376">
        <f t="shared" si="28"/>
        <v>0</v>
      </c>
      <c r="BH17" s="376">
        <f t="shared" si="28"/>
        <v>0</v>
      </c>
      <c r="BI17" s="376">
        <f t="shared" si="28"/>
        <v>0</v>
      </c>
      <c r="BJ17" s="376">
        <f t="shared" si="28"/>
        <v>0</v>
      </c>
      <c r="BK17" s="376">
        <f t="shared" si="28"/>
        <v>0</v>
      </c>
      <c r="BL17" s="376">
        <f t="shared" si="28"/>
        <v>0</v>
      </c>
      <c r="BM17" s="376">
        <f t="shared" si="28"/>
        <v>0</v>
      </c>
      <c r="BN17" s="376">
        <f t="shared" si="28"/>
        <v>0</v>
      </c>
      <c r="BO17" s="377">
        <f t="shared" si="28"/>
        <v>0</v>
      </c>
      <c r="BP17" s="291">
        <f t="shared" si="29"/>
        <v>0</v>
      </c>
      <c r="BQ17" s="375">
        <f t="shared" si="10"/>
        <v>0</v>
      </c>
      <c r="BR17" s="376">
        <f t="shared" si="30"/>
        <v>0</v>
      </c>
      <c r="BS17" s="376">
        <f t="shared" si="30"/>
        <v>0</v>
      </c>
      <c r="BT17" s="376">
        <f t="shared" si="30"/>
        <v>0</v>
      </c>
      <c r="BU17" s="376">
        <f t="shared" si="30"/>
        <v>0</v>
      </c>
      <c r="BV17" s="376">
        <f t="shared" si="30"/>
        <v>0</v>
      </c>
      <c r="BW17" s="376">
        <f t="shared" si="30"/>
        <v>0</v>
      </c>
      <c r="BX17" s="376">
        <f t="shared" si="30"/>
        <v>0</v>
      </c>
      <c r="BY17" s="376">
        <f t="shared" si="30"/>
        <v>0</v>
      </c>
      <c r="BZ17" s="376">
        <f t="shared" si="30"/>
        <v>0</v>
      </c>
      <c r="CA17" s="376">
        <f t="shared" si="30"/>
        <v>0</v>
      </c>
      <c r="CB17" s="377">
        <f t="shared" si="30"/>
        <v>0</v>
      </c>
      <c r="CC17" s="291">
        <f t="shared" si="31"/>
        <v>0</v>
      </c>
      <c r="CD17" s="375">
        <f t="shared" si="12"/>
        <v>0</v>
      </c>
      <c r="CE17" s="376">
        <f t="shared" si="32"/>
        <v>0</v>
      </c>
      <c r="CF17" s="376">
        <f t="shared" si="32"/>
        <v>0</v>
      </c>
      <c r="CG17" s="376">
        <f t="shared" si="32"/>
        <v>0</v>
      </c>
      <c r="CH17" s="376">
        <f t="shared" si="32"/>
        <v>0</v>
      </c>
      <c r="CI17" s="376">
        <f t="shared" si="32"/>
        <v>0</v>
      </c>
      <c r="CJ17" s="376">
        <f t="shared" si="32"/>
        <v>0</v>
      </c>
      <c r="CK17" s="376">
        <f t="shared" si="32"/>
        <v>0</v>
      </c>
      <c r="CL17" s="376">
        <f t="shared" si="32"/>
        <v>0</v>
      </c>
      <c r="CM17" s="376">
        <f t="shared" si="32"/>
        <v>0</v>
      </c>
      <c r="CN17" s="376">
        <f t="shared" si="32"/>
        <v>0</v>
      </c>
      <c r="CO17" s="377">
        <f t="shared" si="32"/>
        <v>0</v>
      </c>
      <c r="CP17" s="307">
        <f t="shared" si="33"/>
        <v>0</v>
      </c>
      <c r="CQ17" s="375">
        <f t="shared" si="14"/>
        <v>0</v>
      </c>
      <c r="CR17" s="376">
        <f t="shared" si="34"/>
        <v>0</v>
      </c>
      <c r="CS17" s="376">
        <f t="shared" si="34"/>
        <v>0</v>
      </c>
      <c r="CT17" s="376">
        <f t="shared" si="34"/>
        <v>0</v>
      </c>
      <c r="CU17" s="376">
        <f t="shared" si="34"/>
        <v>0</v>
      </c>
      <c r="CV17" s="376">
        <f t="shared" si="34"/>
        <v>0</v>
      </c>
      <c r="CW17" s="376">
        <f t="shared" si="34"/>
        <v>0</v>
      </c>
      <c r="CX17" s="376">
        <f t="shared" si="34"/>
        <v>0</v>
      </c>
      <c r="CY17" s="376">
        <f t="shared" si="34"/>
        <v>0</v>
      </c>
      <c r="CZ17" s="376">
        <f t="shared" si="34"/>
        <v>0</v>
      </c>
      <c r="DA17" s="376">
        <f t="shared" si="34"/>
        <v>0</v>
      </c>
      <c r="DB17" s="377">
        <f t="shared" si="34"/>
        <v>0</v>
      </c>
      <c r="DC17" s="291">
        <f t="shared" si="35"/>
        <v>0</v>
      </c>
      <c r="DE17" s="372">
        <f t="shared" si="16"/>
        <v>0</v>
      </c>
      <c r="DF17" s="373">
        <f t="shared" si="17"/>
        <v>0</v>
      </c>
      <c r="DG17" s="373">
        <f t="shared" si="18"/>
        <v>0</v>
      </c>
      <c r="DH17" s="373">
        <f t="shared" si="19"/>
        <v>0</v>
      </c>
      <c r="DI17" s="373">
        <f t="shared" si="20"/>
        <v>0</v>
      </c>
      <c r="DJ17" s="373">
        <f t="shared" ref="DJ17:DJ27" si="40">+(BQ17*$I17)/12+(BR17*$I17)/12+(BS17*$I17)/12+(BT17*$I17)/12+(BU17*$I17)/12+(BV17*$I17)/12+(BW17*$I17)/12+(BX17*$I17)/12+(BY17*$I17)/12+(BZ17*$I17)/12+(CA17*$I17)/12+(CB17*$I17)/12</f>
        <v>0</v>
      </c>
      <c r="DK17" s="374">
        <f t="shared" ref="DK17:DK27" si="41">+(CD17*$I17)/12+(CE17*$I17)/12+(CF17*$I17)/12+(CG17*$I17)/12+(CH17*$I17)/12+(CI17*$I17)/12+(CJ17*$I17)/12+(CK17*$I17)/12+(CL17*$I17)/12+(CM17*$I17)/12+(CN17*$I17)/12+(CO17*$I17)/12</f>
        <v>0</v>
      </c>
    </row>
    <row r="18" spans="2:115">
      <c r="B18" s="422"/>
      <c r="C18" s="303" t="s">
        <v>181</v>
      </c>
      <c r="D18" s="304" t="s">
        <v>181</v>
      </c>
      <c r="E18" s="383" t="s">
        <v>180</v>
      </c>
      <c r="F18" s="384"/>
      <c r="G18" s="303"/>
      <c r="H18" s="304"/>
      <c r="I18" s="305"/>
      <c r="J18" s="290">
        <f t="shared" si="21"/>
        <v>0</v>
      </c>
      <c r="K18" s="306"/>
      <c r="L18" s="306">
        <v>0</v>
      </c>
      <c r="M18" s="32" t="str">
        <f t="shared" si="0"/>
        <v xml:space="preserve"> </v>
      </c>
      <c r="N18" s="308" t="str">
        <f t="shared" si="38"/>
        <v xml:space="preserve"> </v>
      </c>
      <c r="O18" s="18" t="str">
        <f t="shared" si="39"/>
        <v xml:space="preserve"> </v>
      </c>
      <c r="P18" s="270"/>
      <c r="Q18" s="378">
        <f t="shared" si="22"/>
        <v>0</v>
      </c>
      <c r="R18" s="376">
        <f t="shared" si="3"/>
        <v>0</v>
      </c>
      <c r="S18" s="376">
        <f t="shared" si="3"/>
        <v>0</v>
      </c>
      <c r="T18" s="376">
        <f t="shared" si="3"/>
        <v>0</v>
      </c>
      <c r="U18" s="376">
        <f t="shared" si="3"/>
        <v>0</v>
      </c>
      <c r="V18" s="376">
        <f t="shared" si="3"/>
        <v>0</v>
      </c>
      <c r="W18" s="376">
        <f t="shared" si="3"/>
        <v>0</v>
      </c>
      <c r="X18" s="376">
        <f t="shared" si="3"/>
        <v>0</v>
      </c>
      <c r="Y18" s="376">
        <f t="shared" si="3"/>
        <v>0</v>
      </c>
      <c r="Z18" s="376">
        <f t="shared" si="3"/>
        <v>0</v>
      </c>
      <c r="AA18" s="376">
        <f t="shared" si="3"/>
        <v>0</v>
      </c>
      <c r="AB18" s="376">
        <f t="shared" si="3"/>
        <v>0</v>
      </c>
      <c r="AC18" s="307">
        <f t="shared" si="23"/>
        <v>0</v>
      </c>
      <c r="AD18" s="375">
        <f t="shared" si="4"/>
        <v>0</v>
      </c>
      <c r="AE18" s="376">
        <f t="shared" si="24"/>
        <v>0</v>
      </c>
      <c r="AF18" s="376">
        <f t="shared" si="24"/>
        <v>0</v>
      </c>
      <c r="AG18" s="376">
        <f t="shared" si="24"/>
        <v>0</v>
      </c>
      <c r="AH18" s="376">
        <f t="shared" si="24"/>
        <v>0</v>
      </c>
      <c r="AI18" s="376">
        <f t="shared" si="24"/>
        <v>0</v>
      </c>
      <c r="AJ18" s="376">
        <f t="shared" si="24"/>
        <v>0</v>
      </c>
      <c r="AK18" s="376">
        <f t="shared" si="24"/>
        <v>0</v>
      </c>
      <c r="AL18" s="376">
        <f t="shared" si="24"/>
        <v>0</v>
      </c>
      <c r="AM18" s="376">
        <f t="shared" si="24"/>
        <v>0</v>
      </c>
      <c r="AN18" s="376">
        <f t="shared" si="24"/>
        <v>0</v>
      </c>
      <c r="AO18" s="376">
        <f t="shared" si="24"/>
        <v>0</v>
      </c>
      <c r="AP18" s="291">
        <f t="shared" si="25"/>
        <v>0</v>
      </c>
      <c r="AQ18" s="375">
        <f t="shared" si="6"/>
        <v>0</v>
      </c>
      <c r="AR18" s="376">
        <f t="shared" si="26"/>
        <v>0</v>
      </c>
      <c r="AS18" s="376">
        <f t="shared" si="26"/>
        <v>0</v>
      </c>
      <c r="AT18" s="376">
        <f t="shared" si="26"/>
        <v>0</v>
      </c>
      <c r="AU18" s="376">
        <f t="shared" si="26"/>
        <v>0</v>
      </c>
      <c r="AV18" s="376">
        <f t="shared" si="26"/>
        <v>0</v>
      </c>
      <c r="AW18" s="376">
        <f t="shared" si="26"/>
        <v>0</v>
      </c>
      <c r="AX18" s="376">
        <f t="shared" si="26"/>
        <v>0</v>
      </c>
      <c r="AY18" s="376">
        <f t="shared" si="26"/>
        <v>0</v>
      </c>
      <c r="AZ18" s="376">
        <f t="shared" si="26"/>
        <v>0</v>
      </c>
      <c r="BA18" s="376">
        <f t="shared" si="26"/>
        <v>0</v>
      </c>
      <c r="BB18" s="376">
        <f t="shared" si="26"/>
        <v>0</v>
      </c>
      <c r="BC18" s="307">
        <f t="shared" si="27"/>
        <v>0</v>
      </c>
      <c r="BD18" s="375">
        <f t="shared" si="8"/>
        <v>0</v>
      </c>
      <c r="BE18" s="376">
        <f t="shared" si="28"/>
        <v>0</v>
      </c>
      <c r="BF18" s="376">
        <f t="shared" si="28"/>
        <v>0</v>
      </c>
      <c r="BG18" s="376">
        <f t="shared" si="28"/>
        <v>0</v>
      </c>
      <c r="BH18" s="376">
        <f t="shared" si="28"/>
        <v>0</v>
      </c>
      <c r="BI18" s="376">
        <f t="shared" si="28"/>
        <v>0</v>
      </c>
      <c r="BJ18" s="376">
        <f t="shared" si="28"/>
        <v>0</v>
      </c>
      <c r="BK18" s="376">
        <f t="shared" si="28"/>
        <v>0</v>
      </c>
      <c r="BL18" s="376">
        <f t="shared" si="28"/>
        <v>0</v>
      </c>
      <c r="BM18" s="376">
        <f t="shared" si="28"/>
        <v>0</v>
      </c>
      <c r="BN18" s="376">
        <f t="shared" si="28"/>
        <v>0</v>
      </c>
      <c r="BO18" s="376">
        <f t="shared" si="28"/>
        <v>0</v>
      </c>
      <c r="BP18" s="307">
        <f t="shared" si="29"/>
        <v>0</v>
      </c>
      <c r="BQ18" s="375">
        <f t="shared" si="10"/>
        <v>0</v>
      </c>
      <c r="BR18" s="376">
        <f t="shared" si="30"/>
        <v>0</v>
      </c>
      <c r="BS18" s="376">
        <f t="shared" si="30"/>
        <v>0</v>
      </c>
      <c r="BT18" s="376">
        <f t="shared" si="30"/>
        <v>0</v>
      </c>
      <c r="BU18" s="376">
        <f t="shared" si="30"/>
        <v>0</v>
      </c>
      <c r="BV18" s="376">
        <f t="shared" si="30"/>
        <v>0</v>
      </c>
      <c r="BW18" s="376">
        <f t="shared" si="30"/>
        <v>0</v>
      </c>
      <c r="BX18" s="376">
        <f t="shared" si="30"/>
        <v>0</v>
      </c>
      <c r="BY18" s="376">
        <f t="shared" si="30"/>
        <v>0</v>
      </c>
      <c r="BZ18" s="376">
        <f t="shared" si="30"/>
        <v>0</v>
      </c>
      <c r="CA18" s="376">
        <f t="shared" si="30"/>
        <v>0</v>
      </c>
      <c r="CB18" s="376">
        <f t="shared" si="30"/>
        <v>0</v>
      </c>
      <c r="CC18" s="291">
        <f t="shared" si="31"/>
        <v>0</v>
      </c>
      <c r="CD18" s="375">
        <f t="shared" si="12"/>
        <v>0</v>
      </c>
      <c r="CE18" s="376">
        <f t="shared" si="32"/>
        <v>0</v>
      </c>
      <c r="CF18" s="376">
        <f t="shared" si="32"/>
        <v>0</v>
      </c>
      <c r="CG18" s="376">
        <f t="shared" si="32"/>
        <v>0</v>
      </c>
      <c r="CH18" s="376">
        <f t="shared" si="32"/>
        <v>0</v>
      </c>
      <c r="CI18" s="376">
        <f t="shared" si="32"/>
        <v>0</v>
      </c>
      <c r="CJ18" s="376">
        <f t="shared" si="32"/>
        <v>0</v>
      </c>
      <c r="CK18" s="376">
        <f t="shared" si="32"/>
        <v>0</v>
      </c>
      <c r="CL18" s="376">
        <f t="shared" si="32"/>
        <v>0</v>
      </c>
      <c r="CM18" s="376">
        <f t="shared" si="32"/>
        <v>0</v>
      </c>
      <c r="CN18" s="376">
        <f t="shared" si="32"/>
        <v>0</v>
      </c>
      <c r="CO18" s="376">
        <f t="shared" si="32"/>
        <v>0</v>
      </c>
      <c r="CP18" s="307">
        <f t="shared" si="33"/>
        <v>0</v>
      </c>
      <c r="CQ18" s="375">
        <f t="shared" si="14"/>
        <v>0</v>
      </c>
      <c r="CR18" s="376">
        <f t="shared" si="34"/>
        <v>0</v>
      </c>
      <c r="CS18" s="376">
        <f t="shared" si="34"/>
        <v>0</v>
      </c>
      <c r="CT18" s="376">
        <f t="shared" si="34"/>
        <v>0</v>
      </c>
      <c r="CU18" s="376">
        <f t="shared" si="34"/>
        <v>0</v>
      </c>
      <c r="CV18" s="376">
        <f t="shared" si="34"/>
        <v>0</v>
      </c>
      <c r="CW18" s="376">
        <f t="shared" si="34"/>
        <v>0</v>
      </c>
      <c r="CX18" s="376">
        <f t="shared" si="34"/>
        <v>0</v>
      </c>
      <c r="CY18" s="376">
        <f t="shared" si="34"/>
        <v>0</v>
      </c>
      <c r="CZ18" s="376">
        <f t="shared" si="34"/>
        <v>0</v>
      </c>
      <c r="DA18" s="376">
        <f t="shared" si="34"/>
        <v>0</v>
      </c>
      <c r="DB18" s="376">
        <f t="shared" si="34"/>
        <v>0</v>
      </c>
      <c r="DC18" s="291">
        <f t="shared" si="35"/>
        <v>0</v>
      </c>
      <c r="DE18" s="372">
        <f t="shared" si="16"/>
        <v>0</v>
      </c>
      <c r="DF18" s="373">
        <f t="shared" si="17"/>
        <v>0</v>
      </c>
      <c r="DG18" s="373">
        <f t="shared" si="18"/>
        <v>0</v>
      </c>
      <c r="DH18" s="373">
        <f t="shared" si="19"/>
        <v>0</v>
      </c>
      <c r="DI18" s="373">
        <f t="shared" si="20"/>
        <v>0</v>
      </c>
      <c r="DJ18" s="373">
        <f t="shared" si="40"/>
        <v>0</v>
      </c>
      <c r="DK18" s="374">
        <f t="shared" si="41"/>
        <v>0</v>
      </c>
    </row>
    <row r="19" spans="2:115">
      <c r="B19" s="422"/>
      <c r="C19" s="303" t="s">
        <v>181</v>
      </c>
      <c r="D19" s="304" t="s">
        <v>180</v>
      </c>
      <c r="E19" s="383" t="s">
        <v>181</v>
      </c>
      <c r="F19" s="384"/>
      <c r="G19" s="303"/>
      <c r="H19" s="304"/>
      <c r="I19" s="305"/>
      <c r="J19" s="290">
        <f t="shared" si="21"/>
        <v>0</v>
      </c>
      <c r="K19" s="306"/>
      <c r="L19" s="306">
        <v>0</v>
      </c>
      <c r="M19" s="32" t="str">
        <f t="shared" si="0"/>
        <v xml:space="preserve"> </v>
      </c>
      <c r="N19" s="308" t="str">
        <f t="shared" si="38"/>
        <v xml:space="preserve"> </v>
      </c>
      <c r="O19" s="2" t="str">
        <f t="shared" si="39"/>
        <v xml:space="preserve"> </v>
      </c>
      <c r="P19" s="270"/>
      <c r="Q19" s="378">
        <f t="shared" si="22"/>
        <v>0</v>
      </c>
      <c r="R19" s="376">
        <f t="shared" si="3"/>
        <v>0</v>
      </c>
      <c r="S19" s="376">
        <f t="shared" si="3"/>
        <v>0</v>
      </c>
      <c r="T19" s="376">
        <f t="shared" si="3"/>
        <v>0</v>
      </c>
      <c r="U19" s="376">
        <f t="shared" si="3"/>
        <v>0</v>
      </c>
      <c r="V19" s="376">
        <f t="shared" si="3"/>
        <v>0</v>
      </c>
      <c r="W19" s="376">
        <f t="shared" si="3"/>
        <v>0</v>
      </c>
      <c r="X19" s="376">
        <f t="shared" si="3"/>
        <v>0</v>
      </c>
      <c r="Y19" s="376">
        <f t="shared" si="3"/>
        <v>0</v>
      </c>
      <c r="Z19" s="376">
        <f t="shared" si="3"/>
        <v>0</v>
      </c>
      <c r="AA19" s="376">
        <f t="shared" si="3"/>
        <v>0</v>
      </c>
      <c r="AB19" s="376">
        <f t="shared" si="3"/>
        <v>0</v>
      </c>
      <c r="AC19" s="307">
        <f t="shared" si="23"/>
        <v>0</v>
      </c>
      <c r="AD19" s="375">
        <f t="shared" si="4"/>
        <v>0</v>
      </c>
      <c r="AE19" s="376">
        <f t="shared" si="24"/>
        <v>0</v>
      </c>
      <c r="AF19" s="376">
        <f t="shared" si="24"/>
        <v>0</v>
      </c>
      <c r="AG19" s="376">
        <f t="shared" si="24"/>
        <v>0</v>
      </c>
      <c r="AH19" s="376">
        <f t="shared" si="24"/>
        <v>0</v>
      </c>
      <c r="AI19" s="376">
        <f t="shared" si="24"/>
        <v>0</v>
      </c>
      <c r="AJ19" s="376">
        <f t="shared" si="24"/>
        <v>0</v>
      </c>
      <c r="AK19" s="376">
        <f t="shared" si="24"/>
        <v>0</v>
      </c>
      <c r="AL19" s="376">
        <f t="shared" si="24"/>
        <v>0</v>
      </c>
      <c r="AM19" s="376">
        <f t="shared" si="24"/>
        <v>0</v>
      </c>
      <c r="AN19" s="376">
        <f t="shared" si="24"/>
        <v>0</v>
      </c>
      <c r="AO19" s="376">
        <f t="shared" si="24"/>
        <v>0</v>
      </c>
      <c r="AP19" s="307">
        <f t="shared" si="25"/>
        <v>0</v>
      </c>
      <c r="AQ19" s="375">
        <f t="shared" si="6"/>
        <v>0</v>
      </c>
      <c r="AR19" s="376">
        <f t="shared" si="26"/>
        <v>0</v>
      </c>
      <c r="AS19" s="376">
        <f t="shared" si="26"/>
        <v>0</v>
      </c>
      <c r="AT19" s="376">
        <f t="shared" si="26"/>
        <v>0</v>
      </c>
      <c r="AU19" s="376">
        <f t="shared" si="26"/>
        <v>0</v>
      </c>
      <c r="AV19" s="376">
        <f t="shared" si="26"/>
        <v>0</v>
      </c>
      <c r="AW19" s="376">
        <f t="shared" si="26"/>
        <v>0</v>
      </c>
      <c r="AX19" s="376">
        <f t="shared" si="26"/>
        <v>0</v>
      </c>
      <c r="AY19" s="376">
        <f t="shared" si="26"/>
        <v>0</v>
      </c>
      <c r="AZ19" s="376">
        <f t="shared" si="26"/>
        <v>0</v>
      </c>
      <c r="BA19" s="376">
        <f t="shared" si="26"/>
        <v>0</v>
      </c>
      <c r="BB19" s="376">
        <f t="shared" si="26"/>
        <v>0</v>
      </c>
      <c r="BC19" s="307">
        <f t="shared" si="27"/>
        <v>0</v>
      </c>
      <c r="BD19" s="375">
        <f t="shared" si="8"/>
        <v>0</v>
      </c>
      <c r="BE19" s="376">
        <f t="shared" si="28"/>
        <v>0</v>
      </c>
      <c r="BF19" s="376">
        <f t="shared" si="28"/>
        <v>0</v>
      </c>
      <c r="BG19" s="376">
        <f t="shared" si="28"/>
        <v>0</v>
      </c>
      <c r="BH19" s="376">
        <f t="shared" si="28"/>
        <v>0</v>
      </c>
      <c r="BI19" s="376">
        <f t="shared" si="28"/>
        <v>0</v>
      </c>
      <c r="BJ19" s="376">
        <f t="shared" si="28"/>
        <v>0</v>
      </c>
      <c r="BK19" s="376">
        <f t="shared" si="28"/>
        <v>0</v>
      </c>
      <c r="BL19" s="376">
        <f t="shared" si="28"/>
        <v>0</v>
      </c>
      <c r="BM19" s="376">
        <f t="shared" si="28"/>
        <v>0</v>
      </c>
      <c r="BN19" s="376">
        <f t="shared" si="28"/>
        <v>0</v>
      </c>
      <c r="BO19" s="376">
        <f t="shared" si="28"/>
        <v>0</v>
      </c>
      <c r="BP19" s="307">
        <f t="shared" si="29"/>
        <v>0</v>
      </c>
      <c r="BQ19" s="375">
        <f t="shared" si="10"/>
        <v>0</v>
      </c>
      <c r="BR19" s="376">
        <f t="shared" si="30"/>
        <v>0</v>
      </c>
      <c r="BS19" s="376">
        <f t="shared" si="30"/>
        <v>0</v>
      </c>
      <c r="BT19" s="376">
        <f t="shared" si="30"/>
        <v>0</v>
      </c>
      <c r="BU19" s="376">
        <f t="shared" si="30"/>
        <v>0</v>
      </c>
      <c r="BV19" s="376">
        <f t="shared" si="30"/>
        <v>0</v>
      </c>
      <c r="BW19" s="376">
        <f t="shared" si="30"/>
        <v>0</v>
      </c>
      <c r="BX19" s="376">
        <f t="shared" si="30"/>
        <v>0</v>
      </c>
      <c r="BY19" s="376">
        <f t="shared" si="30"/>
        <v>0</v>
      </c>
      <c r="BZ19" s="376">
        <f t="shared" si="30"/>
        <v>0</v>
      </c>
      <c r="CA19" s="376">
        <f t="shared" si="30"/>
        <v>0</v>
      </c>
      <c r="CB19" s="376">
        <f t="shared" si="30"/>
        <v>0</v>
      </c>
      <c r="CC19" s="307">
        <f t="shared" si="31"/>
        <v>0</v>
      </c>
      <c r="CD19" s="375">
        <f t="shared" si="12"/>
        <v>0</v>
      </c>
      <c r="CE19" s="376">
        <f t="shared" si="32"/>
        <v>0</v>
      </c>
      <c r="CF19" s="376">
        <f t="shared" si="32"/>
        <v>0</v>
      </c>
      <c r="CG19" s="376">
        <f t="shared" si="32"/>
        <v>0</v>
      </c>
      <c r="CH19" s="376">
        <f t="shared" si="32"/>
        <v>0</v>
      </c>
      <c r="CI19" s="376">
        <f t="shared" si="32"/>
        <v>0</v>
      </c>
      <c r="CJ19" s="376">
        <f t="shared" si="32"/>
        <v>0</v>
      </c>
      <c r="CK19" s="376">
        <f t="shared" si="32"/>
        <v>0</v>
      </c>
      <c r="CL19" s="376">
        <f t="shared" si="32"/>
        <v>0</v>
      </c>
      <c r="CM19" s="376">
        <f t="shared" si="32"/>
        <v>0</v>
      </c>
      <c r="CN19" s="376">
        <f t="shared" si="32"/>
        <v>0</v>
      </c>
      <c r="CO19" s="376">
        <f t="shared" si="32"/>
        <v>0</v>
      </c>
      <c r="CP19" s="307">
        <f t="shared" si="33"/>
        <v>0</v>
      </c>
      <c r="CQ19" s="375">
        <f t="shared" si="14"/>
        <v>0</v>
      </c>
      <c r="CR19" s="376">
        <f t="shared" si="34"/>
        <v>0</v>
      </c>
      <c r="CS19" s="376">
        <f t="shared" si="34"/>
        <v>0</v>
      </c>
      <c r="CT19" s="376">
        <f t="shared" si="34"/>
        <v>0</v>
      </c>
      <c r="CU19" s="376">
        <f t="shared" si="34"/>
        <v>0</v>
      </c>
      <c r="CV19" s="376">
        <f t="shared" si="34"/>
        <v>0</v>
      </c>
      <c r="CW19" s="376">
        <f t="shared" si="34"/>
        <v>0</v>
      </c>
      <c r="CX19" s="376">
        <f t="shared" si="34"/>
        <v>0</v>
      </c>
      <c r="CY19" s="376">
        <f t="shared" si="34"/>
        <v>0</v>
      </c>
      <c r="CZ19" s="376">
        <f t="shared" si="34"/>
        <v>0</v>
      </c>
      <c r="DA19" s="376">
        <f t="shared" si="34"/>
        <v>0</v>
      </c>
      <c r="DB19" s="376">
        <f t="shared" si="34"/>
        <v>0</v>
      </c>
      <c r="DC19" s="291">
        <f t="shared" si="35"/>
        <v>0</v>
      </c>
      <c r="DE19" s="372">
        <f t="shared" si="16"/>
        <v>0</v>
      </c>
      <c r="DF19" s="373">
        <f t="shared" si="17"/>
        <v>0</v>
      </c>
      <c r="DG19" s="373">
        <f t="shared" si="18"/>
        <v>0</v>
      </c>
      <c r="DH19" s="373">
        <f t="shared" si="19"/>
        <v>0</v>
      </c>
      <c r="DI19" s="373">
        <f t="shared" si="20"/>
        <v>0</v>
      </c>
      <c r="DJ19" s="373">
        <f t="shared" si="40"/>
        <v>0</v>
      </c>
      <c r="DK19" s="374">
        <f t="shared" si="41"/>
        <v>0</v>
      </c>
    </row>
    <row r="20" spans="2:115">
      <c r="B20" s="422"/>
      <c r="C20" s="303" t="s">
        <v>181</v>
      </c>
      <c r="D20" s="304" t="s">
        <v>180</v>
      </c>
      <c r="E20" s="383" t="s">
        <v>181</v>
      </c>
      <c r="F20" s="384"/>
      <c r="G20" s="303"/>
      <c r="H20" s="304"/>
      <c r="I20" s="305"/>
      <c r="J20" s="290">
        <f t="shared" si="21"/>
        <v>0</v>
      </c>
      <c r="K20" s="306"/>
      <c r="L20" s="306">
        <v>0</v>
      </c>
      <c r="M20" s="32" t="str">
        <f t="shared" si="0"/>
        <v xml:space="preserve"> </v>
      </c>
      <c r="N20" s="308" t="str">
        <f t="shared" si="38"/>
        <v xml:space="preserve"> </v>
      </c>
      <c r="O20" s="2" t="str">
        <f t="shared" si="39"/>
        <v xml:space="preserve"> </v>
      </c>
      <c r="P20" s="270"/>
      <c r="Q20" s="378">
        <f t="shared" si="22"/>
        <v>0</v>
      </c>
      <c r="R20" s="376">
        <f t="shared" si="3"/>
        <v>0</v>
      </c>
      <c r="S20" s="376">
        <f t="shared" si="3"/>
        <v>0</v>
      </c>
      <c r="T20" s="376">
        <f t="shared" si="3"/>
        <v>0</v>
      </c>
      <c r="U20" s="376">
        <f t="shared" si="3"/>
        <v>0</v>
      </c>
      <c r="V20" s="376">
        <f t="shared" si="3"/>
        <v>0</v>
      </c>
      <c r="W20" s="376">
        <f t="shared" si="3"/>
        <v>0</v>
      </c>
      <c r="X20" s="376">
        <f t="shared" si="3"/>
        <v>0</v>
      </c>
      <c r="Y20" s="376">
        <f t="shared" si="3"/>
        <v>0</v>
      </c>
      <c r="Z20" s="376">
        <f t="shared" si="3"/>
        <v>0</v>
      </c>
      <c r="AA20" s="376">
        <f t="shared" si="3"/>
        <v>0</v>
      </c>
      <c r="AB20" s="376">
        <f t="shared" si="3"/>
        <v>0</v>
      </c>
      <c r="AC20" s="307">
        <f t="shared" si="23"/>
        <v>0</v>
      </c>
      <c r="AD20" s="375">
        <f t="shared" si="4"/>
        <v>0</v>
      </c>
      <c r="AE20" s="376">
        <f t="shared" si="24"/>
        <v>0</v>
      </c>
      <c r="AF20" s="376">
        <f t="shared" si="24"/>
        <v>0</v>
      </c>
      <c r="AG20" s="376">
        <f t="shared" si="24"/>
        <v>0</v>
      </c>
      <c r="AH20" s="376">
        <f t="shared" si="24"/>
        <v>0</v>
      </c>
      <c r="AI20" s="376">
        <f t="shared" si="24"/>
        <v>0</v>
      </c>
      <c r="AJ20" s="376">
        <f t="shared" si="24"/>
        <v>0</v>
      </c>
      <c r="AK20" s="376">
        <f t="shared" si="24"/>
        <v>0</v>
      </c>
      <c r="AL20" s="376">
        <f t="shared" si="24"/>
        <v>0</v>
      </c>
      <c r="AM20" s="376">
        <f t="shared" si="24"/>
        <v>0</v>
      </c>
      <c r="AN20" s="376">
        <f t="shared" si="24"/>
        <v>0</v>
      </c>
      <c r="AO20" s="376">
        <f t="shared" si="24"/>
        <v>0</v>
      </c>
      <c r="AP20" s="307">
        <f t="shared" si="25"/>
        <v>0</v>
      </c>
      <c r="AQ20" s="375">
        <f t="shared" si="6"/>
        <v>0</v>
      </c>
      <c r="AR20" s="376">
        <f t="shared" si="26"/>
        <v>0</v>
      </c>
      <c r="AS20" s="376">
        <f t="shared" si="26"/>
        <v>0</v>
      </c>
      <c r="AT20" s="376">
        <f t="shared" si="26"/>
        <v>0</v>
      </c>
      <c r="AU20" s="376">
        <f t="shared" si="26"/>
        <v>0</v>
      </c>
      <c r="AV20" s="376">
        <f t="shared" si="26"/>
        <v>0</v>
      </c>
      <c r="AW20" s="376">
        <f t="shared" si="26"/>
        <v>0</v>
      </c>
      <c r="AX20" s="376">
        <f t="shared" si="26"/>
        <v>0</v>
      </c>
      <c r="AY20" s="376">
        <f t="shared" si="26"/>
        <v>0</v>
      </c>
      <c r="AZ20" s="376">
        <f t="shared" si="26"/>
        <v>0</v>
      </c>
      <c r="BA20" s="376">
        <f t="shared" si="26"/>
        <v>0</v>
      </c>
      <c r="BB20" s="376">
        <f t="shared" si="26"/>
        <v>0</v>
      </c>
      <c r="BC20" s="307">
        <f t="shared" si="27"/>
        <v>0</v>
      </c>
      <c r="BD20" s="375">
        <f t="shared" si="8"/>
        <v>0</v>
      </c>
      <c r="BE20" s="376">
        <f t="shared" si="28"/>
        <v>0</v>
      </c>
      <c r="BF20" s="376">
        <f t="shared" si="28"/>
        <v>0</v>
      </c>
      <c r="BG20" s="376">
        <f t="shared" si="28"/>
        <v>0</v>
      </c>
      <c r="BH20" s="376">
        <f t="shared" si="28"/>
        <v>0</v>
      </c>
      <c r="BI20" s="376">
        <f t="shared" si="28"/>
        <v>0</v>
      </c>
      <c r="BJ20" s="376">
        <f t="shared" si="28"/>
        <v>0</v>
      </c>
      <c r="BK20" s="376">
        <f t="shared" si="28"/>
        <v>0</v>
      </c>
      <c r="BL20" s="376">
        <f t="shared" si="28"/>
        <v>0</v>
      </c>
      <c r="BM20" s="376">
        <f t="shared" si="28"/>
        <v>0</v>
      </c>
      <c r="BN20" s="376">
        <f t="shared" si="28"/>
        <v>0</v>
      </c>
      <c r="BO20" s="376">
        <f t="shared" si="28"/>
        <v>0</v>
      </c>
      <c r="BP20" s="307">
        <f t="shared" si="29"/>
        <v>0</v>
      </c>
      <c r="BQ20" s="375">
        <f t="shared" si="10"/>
        <v>0</v>
      </c>
      <c r="BR20" s="376">
        <f t="shared" si="30"/>
        <v>0</v>
      </c>
      <c r="BS20" s="376">
        <f t="shared" si="30"/>
        <v>0</v>
      </c>
      <c r="BT20" s="376">
        <f t="shared" si="30"/>
        <v>0</v>
      </c>
      <c r="BU20" s="376">
        <f t="shared" si="30"/>
        <v>0</v>
      </c>
      <c r="BV20" s="376">
        <f t="shared" si="30"/>
        <v>0</v>
      </c>
      <c r="BW20" s="376">
        <f t="shared" si="30"/>
        <v>0</v>
      </c>
      <c r="BX20" s="376">
        <f t="shared" si="30"/>
        <v>0</v>
      </c>
      <c r="BY20" s="376">
        <f t="shared" si="30"/>
        <v>0</v>
      </c>
      <c r="BZ20" s="376">
        <f t="shared" si="30"/>
        <v>0</v>
      </c>
      <c r="CA20" s="376">
        <f t="shared" si="30"/>
        <v>0</v>
      </c>
      <c r="CB20" s="376">
        <f t="shared" si="30"/>
        <v>0</v>
      </c>
      <c r="CC20" s="307">
        <f t="shared" si="31"/>
        <v>0</v>
      </c>
      <c r="CD20" s="375">
        <f t="shared" si="12"/>
        <v>0</v>
      </c>
      <c r="CE20" s="376">
        <f t="shared" si="32"/>
        <v>0</v>
      </c>
      <c r="CF20" s="376">
        <f t="shared" si="32"/>
        <v>0</v>
      </c>
      <c r="CG20" s="376">
        <f t="shared" si="32"/>
        <v>0</v>
      </c>
      <c r="CH20" s="376">
        <f t="shared" si="32"/>
        <v>0</v>
      </c>
      <c r="CI20" s="376">
        <f t="shared" si="32"/>
        <v>0</v>
      </c>
      <c r="CJ20" s="376">
        <f t="shared" si="32"/>
        <v>0</v>
      </c>
      <c r="CK20" s="376">
        <f t="shared" si="32"/>
        <v>0</v>
      </c>
      <c r="CL20" s="376">
        <f t="shared" si="32"/>
        <v>0</v>
      </c>
      <c r="CM20" s="376">
        <f t="shared" si="32"/>
        <v>0</v>
      </c>
      <c r="CN20" s="376">
        <f t="shared" si="32"/>
        <v>0</v>
      </c>
      <c r="CO20" s="376">
        <f t="shared" si="32"/>
        <v>0</v>
      </c>
      <c r="CP20" s="307">
        <f t="shared" si="33"/>
        <v>0</v>
      </c>
      <c r="CQ20" s="375">
        <f t="shared" si="14"/>
        <v>0</v>
      </c>
      <c r="CR20" s="376">
        <f t="shared" si="34"/>
        <v>0</v>
      </c>
      <c r="CS20" s="376">
        <f t="shared" si="34"/>
        <v>0</v>
      </c>
      <c r="CT20" s="376">
        <f t="shared" si="34"/>
        <v>0</v>
      </c>
      <c r="CU20" s="376">
        <f t="shared" si="34"/>
        <v>0</v>
      </c>
      <c r="CV20" s="376">
        <f t="shared" si="34"/>
        <v>0</v>
      </c>
      <c r="CW20" s="376">
        <f t="shared" si="34"/>
        <v>0</v>
      </c>
      <c r="CX20" s="376">
        <f t="shared" si="34"/>
        <v>0</v>
      </c>
      <c r="CY20" s="376">
        <f t="shared" si="34"/>
        <v>0</v>
      </c>
      <c r="CZ20" s="376">
        <f t="shared" si="34"/>
        <v>0</v>
      </c>
      <c r="DA20" s="376">
        <f t="shared" si="34"/>
        <v>0</v>
      </c>
      <c r="DB20" s="376">
        <f t="shared" si="34"/>
        <v>0</v>
      </c>
      <c r="DC20" s="291">
        <f t="shared" si="35"/>
        <v>0</v>
      </c>
      <c r="DE20" s="372">
        <f t="shared" si="16"/>
        <v>0</v>
      </c>
      <c r="DF20" s="373">
        <f t="shared" si="17"/>
        <v>0</v>
      </c>
      <c r="DG20" s="373">
        <f t="shared" si="18"/>
        <v>0</v>
      </c>
      <c r="DH20" s="373">
        <f t="shared" si="19"/>
        <v>0</v>
      </c>
      <c r="DI20" s="373">
        <f t="shared" si="20"/>
        <v>0</v>
      </c>
      <c r="DJ20" s="373">
        <f t="shared" si="40"/>
        <v>0</v>
      </c>
      <c r="DK20" s="374">
        <f t="shared" si="41"/>
        <v>0</v>
      </c>
    </row>
    <row r="21" spans="2:115">
      <c r="B21" s="422"/>
      <c r="C21" s="303"/>
      <c r="D21" s="304"/>
      <c r="E21" s="383"/>
      <c r="F21" s="384"/>
      <c r="G21" s="303"/>
      <c r="H21" s="304"/>
      <c r="I21" s="305"/>
      <c r="J21" s="290">
        <f t="shared" si="21"/>
        <v>0</v>
      </c>
      <c r="K21" s="306"/>
      <c r="L21" s="306"/>
      <c r="M21" s="32" t="str">
        <f t="shared" si="0"/>
        <v xml:space="preserve"> </v>
      </c>
      <c r="N21" s="308" t="str">
        <f t="shared" si="38"/>
        <v xml:space="preserve"> </v>
      </c>
      <c r="O21" s="2" t="str">
        <f t="shared" si="39"/>
        <v xml:space="preserve"> </v>
      </c>
      <c r="P21" s="270"/>
      <c r="Q21" s="378">
        <f t="shared" si="22"/>
        <v>0</v>
      </c>
      <c r="R21" s="376">
        <f t="shared" si="3"/>
        <v>0</v>
      </c>
      <c r="S21" s="376">
        <f t="shared" si="3"/>
        <v>0</v>
      </c>
      <c r="T21" s="376">
        <f t="shared" si="3"/>
        <v>0</v>
      </c>
      <c r="U21" s="376">
        <f t="shared" si="3"/>
        <v>0</v>
      </c>
      <c r="V21" s="376">
        <f t="shared" si="3"/>
        <v>0</v>
      </c>
      <c r="W21" s="376">
        <f t="shared" si="3"/>
        <v>0</v>
      </c>
      <c r="X21" s="376">
        <f t="shared" si="3"/>
        <v>0</v>
      </c>
      <c r="Y21" s="376">
        <f t="shared" si="3"/>
        <v>0</v>
      </c>
      <c r="Z21" s="376">
        <f t="shared" si="3"/>
        <v>0</v>
      </c>
      <c r="AA21" s="376">
        <f t="shared" si="3"/>
        <v>0</v>
      </c>
      <c r="AB21" s="376">
        <f t="shared" si="3"/>
        <v>0</v>
      </c>
      <c r="AC21" s="307">
        <f t="shared" si="23"/>
        <v>0</v>
      </c>
      <c r="AD21" s="375">
        <f t="shared" si="4"/>
        <v>0</v>
      </c>
      <c r="AE21" s="376">
        <f t="shared" si="24"/>
        <v>0</v>
      </c>
      <c r="AF21" s="376">
        <f t="shared" si="24"/>
        <v>0</v>
      </c>
      <c r="AG21" s="376">
        <f t="shared" si="24"/>
        <v>0</v>
      </c>
      <c r="AH21" s="376">
        <f t="shared" si="24"/>
        <v>0</v>
      </c>
      <c r="AI21" s="376">
        <f t="shared" si="24"/>
        <v>0</v>
      </c>
      <c r="AJ21" s="376">
        <f t="shared" si="24"/>
        <v>0</v>
      </c>
      <c r="AK21" s="376">
        <f t="shared" si="24"/>
        <v>0</v>
      </c>
      <c r="AL21" s="376">
        <f t="shared" si="24"/>
        <v>0</v>
      </c>
      <c r="AM21" s="376">
        <f t="shared" si="24"/>
        <v>0</v>
      </c>
      <c r="AN21" s="376">
        <f t="shared" si="24"/>
        <v>0</v>
      </c>
      <c r="AO21" s="376">
        <f t="shared" si="24"/>
        <v>0</v>
      </c>
      <c r="AP21" s="307">
        <f t="shared" si="25"/>
        <v>0</v>
      </c>
      <c r="AQ21" s="375">
        <f t="shared" si="6"/>
        <v>0</v>
      </c>
      <c r="AR21" s="376">
        <f t="shared" si="26"/>
        <v>0</v>
      </c>
      <c r="AS21" s="376">
        <f t="shared" si="26"/>
        <v>0</v>
      </c>
      <c r="AT21" s="376">
        <f t="shared" si="26"/>
        <v>0</v>
      </c>
      <c r="AU21" s="376">
        <f t="shared" si="26"/>
        <v>0</v>
      </c>
      <c r="AV21" s="376">
        <f t="shared" si="26"/>
        <v>0</v>
      </c>
      <c r="AW21" s="376">
        <f t="shared" si="26"/>
        <v>0</v>
      </c>
      <c r="AX21" s="376">
        <f t="shared" si="26"/>
        <v>0</v>
      </c>
      <c r="AY21" s="376">
        <f t="shared" si="26"/>
        <v>0</v>
      </c>
      <c r="AZ21" s="376">
        <f t="shared" si="26"/>
        <v>0</v>
      </c>
      <c r="BA21" s="376">
        <f t="shared" si="26"/>
        <v>0</v>
      </c>
      <c r="BB21" s="376">
        <f t="shared" si="26"/>
        <v>0</v>
      </c>
      <c r="BC21" s="307">
        <f t="shared" si="27"/>
        <v>0</v>
      </c>
      <c r="BD21" s="375">
        <f t="shared" si="8"/>
        <v>0</v>
      </c>
      <c r="BE21" s="376">
        <f t="shared" si="28"/>
        <v>0</v>
      </c>
      <c r="BF21" s="376">
        <f t="shared" si="28"/>
        <v>0</v>
      </c>
      <c r="BG21" s="376">
        <f t="shared" si="28"/>
        <v>0</v>
      </c>
      <c r="BH21" s="376">
        <f t="shared" si="28"/>
        <v>0</v>
      </c>
      <c r="BI21" s="376">
        <f t="shared" si="28"/>
        <v>0</v>
      </c>
      <c r="BJ21" s="376">
        <f t="shared" si="28"/>
        <v>0</v>
      </c>
      <c r="BK21" s="376">
        <f t="shared" si="28"/>
        <v>0</v>
      </c>
      <c r="BL21" s="376">
        <f t="shared" si="28"/>
        <v>0</v>
      </c>
      <c r="BM21" s="376">
        <f t="shared" si="28"/>
        <v>0</v>
      </c>
      <c r="BN21" s="376">
        <f t="shared" si="28"/>
        <v>0</v>
      </c>
      <c r="BO21" s="376">
        <f t="shared" si="28"/>
        <v>0</v>
      </c>
      <c r="BP21" s="307">
        <f t="shared" si="29"/>
        <v>0</v>
      </c>
      <c r="BQ21" s="375">
        <f t="shared" si="10"/>
        <v>0</v>
      </c>
      <c r="BR21" s="376">
        <f t="shared" si="30"/>
        <v>0</v>
      </c>
      <c r="BS21" s="376">
        <f t="shared" si="30"/>
        <v>0</v>
      </c>
      <c r="BT21" s="376">
        <f t="shared" si="30"/>
        <v>0</v>
      </c>
      <c r="BU21" s="376">
        <f t="shared" si="30"/>
        <v>0</v>
      </c>
      <c r="BV21" s="376">
        <f t="shared" si="30"/>
        <v>0</v>
      </c>
      <c r="BW21" s="376">
        <f t="shared" si="30"/>
        <v>0</v>
      </c>
      <c r="BX21" s="376">
        <f t="shared" si="30"/>
        <v>0</v>
      </c>
      <c r="BY21" s="376">
        <f t="shared" si="30"/>
        <v>0</v>
      </c>
      <c r="BZ21" s="376">
        <f t="shared" si="30"/>
        <v>0</v>
      </c>
      <c r="CA21" s="376">
        <f t="shared" si="30"/>
        <v>0</v>
      </c>
      <c r="CB21" s="376">
        <f t="shared" si="30"/>
        <v>0</v>
      </c>
      <c r="CC21" s="307">
        <f t="shared" si="31"/>
        <v>0</v>
      </c>
      <c r="CD21" s="375">
        <f t="shared" si="12"/>
        <v>0</v>
      </c>
      <c r="CE21" s="376">
        <f t="shared" si="32"/>
        <v>0</v>
      </c>
      <c r="CF21" s="376">
        <f t="shared" si="32"/>
        <v>0</v>
      </c>
      <c r="CG21" s="376">
        <f t="shared" si="32"/>
        <v>0</v>
      </c>
      <c r="CH21" s="376">
        <f t="shared" si="32"/>
        <v>0</v>
      </c>
      <c r="CI21" s="376">
        <f t="shared" si="32"/>
        <v>0</v>
      </c>
      <c r="CJ21" s="376">
        <f t="shared" si="32"/>
        <v>0</v>
      </c>
      <c r="CK21" s="376">
        <f t="shared" si="32"/>
        <v>0</v>
      </c>
      <c r="CL21" s="376">
        <f t="shared" si="32"/>
        <v>0</v>
      </c>
      <c r="CM21" s="376">
        <f t="shared" si="32"/>
        <v>0</v>
      </c>
      <c r="CN21" s="376">
        <f t="shared" si="32"/>
        <v>0</v>
      </c>
      <c r="CO21" s="376">
        <f t="shared" si="32"/>
        <v>0</v>
      </c>
      <c r="CP21" s="307">
        <f t="shared" si="33"/>
        <v>0</v>
      </c>
      <c r="CQ21" s="375">
        <f t="shared" si="14"/>
        <v>0</v>
      </c>
      <c r="CR21" s="376">
        <f t="shared" si="34"/>
        <v>0</v>
      </c>
      <c r="CS21" s="376">
        <f t="shared" si="34"/>
        <v>0</v>
      </c>
      <c r="CT21" s="376">
        <f t="shared" si="34"/>
        <v>0</v>
      </c>
      <c r="CU21" s="376">
        <f t="shared" si="34"/>
        <v>0</v>
      </c>
      <c r="CV21" s="376">
        <f t="shared" si="34"/>
        <v>0</v>
      </c>
      <c r="CW21" s="376">
        <f t="shared" si="34"/>
        <v>0</v>
      </c>
      <c r="CX21" s="376">
        <f t="shared" si="34"/>
        <v>0</v>
      </c>
      <c r="CY21" s="376">
        <f t="shared" si="34"/>
        <v>0</v>
      </c>
      <c r="CZ21" s="376">
        <f t="shared" si="34"/>
        <v>0</v>
      </c>
      <c r="DA21" s="376">
        <f t="shared" si="34"/>
        <v>0</v>
      </c>
      <c r="DB21" s="376">
        <f t="shared" si="34"/>
        <v>0</v>
      </c>
      <c r="DC21" s="291">
        <f t="shared" si="35"/>
        <v>0</v>
      </c>
      <c r="DE21" s="372">
        <f t="shared" si="16"/>
        <v>0</v>
      </c>
      <c r="DF21" s="373">
        <f t="shared" si="17"/>
        <v>0</v>
      </c>
      <c r="DG21" s="373">
        <f t="shared" si="18"/>
        <v>0</v>
      </c>
      <c r="DH21" s="373">
        <f t="shared" si="19"/>
        <v>0</v>
      </c>
      <c r="DI21" s="373">
        <f t="shared" si="20"/>
        <v>0</v>
      </c>
      <c r="DJ21" s="373">
        <f t="shared" si="40"/>
        <v>0</v>
      </c>
      <c r="DK21" s="374">
        <f t="shared" si="41"/>
        <v>0</v>
      </c>
    </row>
    <row r="22" spans="2:115">
      <c r="B22" s="422"/>
      <c r="C22" s="303"/>
      <c r="D22" s="304"/>
      <c r="E22" s="383"/>
      <c r="F22" s="384"/>
      <c r="G22" s="303"/>
      <c r="H22" s="304"/>
      <c r="I22" s="305"/>
      <c r="J22" s="290">
        <f t="shared" si="21"/>
        <v>0</v>
      </c>
      <c r="K22" s="306"/>
      <c r="L22" s="306"/>
      <c r="M22" s="32" t="str">
        <f t="shared" si="0"/>
        <v xml:space="preserve"> </v>
      </c>
      <c r="N22" s="308" t="str">
        <f t="shared" si="38"/>
        <v xml:space="preserve"> </v>
      </c>
      <c r="O22" s="2" t="str">
        <f t="shared" si="39"/>
        <v xml:space="preserve"> </v>
      </c>
      <c r="P22" s="270"/>
      <c r="Q22" s="378">
        <f t="shared" si="22"/>
        <v>0</v>
      </c>
      <c r="R22" s="376">
        <f t="shared" si="3"/>
        <v>0</v>
      </c>
      <c r="S22" s="376">
        <f t="shared" si="3"/>
        <v>0</v>
      </c>
      <c r="T22" s="376">
        <f t="shared" si="3"/>
        <v>0</v>
      </c>
      <c r="U22" s="376">
        <f t="shared" si="3"/>
        <v>0</v>
      </c>
      <c r="V22" s="376">
        <f t="shared" si="3"/>
        <v>0</v>
      </c>
      <c r="W22" s="376">
        <f t="shared" si="3"/>
        <v>0</v>
      </c>
      <c r="X22" s="376">
        <f t="shared" si="3"/>
        <v>0</v>
      </c>
      <c r="Y22" s="376">
        <f t="shared" si="3"/>
        <v>0</v>
      </c>
      <c r="Z22" s="376">
        <f t="shared" si="3"/>
        <v>0</v>
      </c>
      <c r="AA22" s="376">
        <f t="shared" si="3"/>
        <v>0</v>
      </c>
      <c r="AB22" s="376">
        <f t="shared" si="3"/>
        <v>0</v>
      </c>
      <c r="AC22" s="307">
        <f t="shared" si="23"/>
        <v>0</v>
      </c>
      <c r="AD22" s="375">
        <f t="shared" si="4"/>
        <v>0</v>
      </c>
      <c r="AE22" s="376">
        <f t="shared" si="24"/>
        <v>0</v>
      </c>
      <c r="AF22" s="376">
        <f t="shared" si="24"/>
        <v>0</v>
      </c>
      <c r="AG22" s="376">
        <f t="shared" si="24"/>
        <v>0</v>
      </c>
      <c r="AH22" s="376">
        <f t="shared" si="24"/>
        <v>0</v>
      </c>
      <c r="AI22" s="376">
        <f t="shared" si="24"/>
        <v>0</v>
      </c>
      <c r="AJ22" s="376">
        <f t="shared" si="24"/>
        <v>0</v>
      </c>
      <c r="AK22" s="376">
        <f t="shared" si="24"/>
        <v>0</v>
      </c>
      <c r="AL22" s="376">
        <f t="shared" si="24"/>
        <v>0</v>
      </c>
      <c r="AM22" s="376">
        <f t="shared" si="24"/>
        <v>0</v>
      </c>
      <c r="AN22" s="376">
        <f t="shared" si="24"/>
        <v>0</v>
      </c>
      <c r="AO22" s="376">
        <f t="shared" si="24"/>
        <v>0</v>
      </c>
      <c r="AP22" s="307">
        <f t="shared" si="25"/>
        <v>0</v>
      </c>
      <c r="AQ22" s="375">
        <f t="shared" si="6"/>
        <v>0</v>
      </c>
      <c r="AR22" s="376">
        <f t="shared" si="26"/>
        <v>0</v>
      </c>
      <c r="AS22" s="376">
        <f t="shared" si="26"/>
        <v>0</v>
      </c>
      <c r="AT22" s="376">
        <f t="shared" si="26"/>
        <v>0</v>
      </c>
      <c r="AU22" s="376">
        <f t="shared" si="26"/>
        <v>0</v>
      </c>
      <c r="AV22" s="376">
        <f t="shared" si="26"/>
        <v>0</v>
      </c>
      <c r="AW22" s="376">
        <f t="shared" si="26"/>
        <v>0</v>
      </c>
      <c r="AX22" s="376">
        <f t="shared" si="26"/>
        <v>0</v>
      </c>
      <c r="AY22" s="376">
        <f t="shared" si="26"/>
        <v>0</v>
      </c>
      <c r="AZ22" s="376">
        <f t="shared" si="26"/>
        <v>0</v>
      </c>
      <c r="BA22" s="376">
        <f t="shared" si="26"/>
        <v>0</v>
      </c>
      <c r="BB22" s="376">
        <f t="shared" si="26"/>
        <v>0</v>
      </c>
      <c r="BC22" s="307">
        <f t="shared" si="27"/>
        <v>0</v>
      </c>
      <c r="BD22" s="375">
        <f t="shared" si="8"/>
        <v>0</v>
      </c>
      <c r="BE22" s="376">
        <f t="shared" si="28"/>
        <v>0</v>
      </c>
      <c r="BF22" s="376">
        <f t="shared" si="28"/>
        <v>0</v>
      </c>
      <c r="BG22" s="376">
        <f t="shared" si="28"/>
        <v>0</v>
      </c>
      <c r="BH22" s="376">
        <f t="shared" si="28"/>
        <v>0</v>
      </c>
      <c r="BI22" s="376">
        <f t="shared" si="28"/>
        <v>0</v>
      </c>
      <c r="BJ22" s="376">
        <f t="shared" si="28"/>
        <v>0</v>
      </c>
      <c r="BK22" s="376">
        <f t="shared" si="28"/>
        <v>0</v>
      </c>
      <c r="BL22" s="376">
        <f t="shared" si="28"/>
        <v>0</v>
      </c>
      <c r="BM22" s="376">
        <f t="shared" si="28"/>
        <v>0</v>
      </c>
      <c r="BN22" s="376">
        <f t="shared" si="28"/>
        <v>0</v>
      </c>
      <c r="BO22" s="376">
        <f t="shared" si="28"/>
        <v>0</v>
      </c>
      <c r="BP22" s="307">
        <f t="shared" si="29"/>
        <v>0</v>
      </c>
      <c r="BQ22" s="375">
        <f t="shared" si="10"/>
        <v>0</v>
      </c>
      <c r="BR22" s="376">
        <f t="shared" si="30"/>
        <v>0</v>
      </c>
      <c r="BS22" s="376">
        <f t="shared" si="30"/>
        <v>0</v>
      </c>
      <c r="BT22" s="376">
        <f t="shared" si="30"/>
        <v>0</v>
      </c>
      <c r="BU22" s="376">
        <f t="shared" si="30"/>
        <v>0</v>
      </c>
      <c r="BV22" s="376">
        <f t="shared" si="30"/>
        <v>0</v>
      </c>
      <c r="BW22" s="376">
        <f t="shared" si="30"/>
        <v>0</v>
      </c>
      <c r="BX22" s="376">
        <f t="shared" si="30"/>
        <v>0</v>
      </c>
      <c r="BY22" s="376">
        <f t="shared" si="30"/>
        <v>0</v>
      </c>
      <c r="BZ22" s="376">
        <f t="shared" si="30"/>
        <v>0</v>
      </c>
      <c r="CA22" s="376">
        <f t="shared" si="30"/>
        <v>0</v>
      </c>
      <c r="CB22" s="376">
        <f t="shared" si="30"/>
        <v>0</v>
      </c>
      <c r="CC22" s="307">
        <f t="shared" si="31"/>
        <v>0</v>
      </c>
      <c r="CD22" s="375">
        <f t="shared" si="12"/>
        <v>0</v>
      </c>
      <c r="CE22" s="376">
        <f t="shared" si="32"/>
        <v>0</v>
      </c>
      <c r="CF22" s="376">
        <f t="shared" si="32"/>
        <v>0</v>
      </c>
      <c r="CG22" s="376">
        <f t="shared" si="32"/>
        <v>0</v>
      </c>
      <c r="CH22" s="376">
        <f t="shared" si="32"/>
        <v>0</v>
      </c>
      <c r="CI22" s="376">
        <f t="shared" si="32"/>
        <v>0</v>
      </c>
      <c r="CJ22" s="376">
        <f t="shared" si="32"/>
        <v>0</v>
      </c>
      <c r="CK22" s="376">
        <f t="shared" si="32"/>
        <v>0</v>
      </c>
      <c r="CL22" s="376">
        <f t="shared" si="32"/>
        <v>0</v>
      </c>
      <c r="CM22" s="376">
        <f t="shared" si="32"/>
        <v>0</v>
      </c>
      <c r="CN22" s="376">
        <f t="shared" si="32"/>
        <v>0</v>
      </c>
      <c r="CO22" s="376">
        <f t="shared" si="32"/>
        <v>0</v>
      </c>
      <c r="CP22" s="307">
        <f t="shared" si="33"/>
        <v>0</v>
      </c>
      <c r="CQ22" s="375">
        <f t="shared" si="14"/>
        <v>0</v>
      </c>
      <c r="CR22" s="376">
        <f t="shared" si="34"/>
        <v>0</v>
      </c>
      <c r="CS22" s="376">
        <f t="shared" si="34"/>
        <v>0</v>
      </c>
      <c r="CT22" s="376">
        <f t="shared" si="34"/>
        <v>0</v>
      </c>
      <c r="CU22" s="376">
        <f t="shared" si="34"/>
        <v>0</v>
      </c>
      <c r="CV22" s="376">
        <f t="shared" si="34"/>
        <v>0</v>
      </c>
      <c r="CW22" s="376">
        <f t="shared" si="34"/>
        <v>0</v>
      </c>
      <c r="CX22" s="376">
        <f t="shared" si="34"/>
        <v>0</v>
      </c>
      <c r="CY22" s="376">
        <f t="shared" si="34"/>
        <v>0</v>
      </c>
      <c r="CZ22" s="376">
        <f t="shared" si="34"/>
        <v>0</v>
      </c>
      <c r="DA22" s="376">
        <f t="shared" si="34"/>
        <v>0</v>
      </c>
      <c r="DB22" s="376">
        <f t="shared" si="34"/>
        <v>0</v>
      </c>
      <c r="DC22" s="291">
        <f t="shared" si="35"/>
        <v>0</v>
      </c>
      <c r="DE22" s="372">
        <f t="shared" si="16"/>
        <v>0</v>
      </c>
      <c r="DF22" s="373">
        <f t="shared" si="17"/>
        <v>0</v>
      </c>
      <c r="DG22" s="373">
        <f t="shared" si="18"/>
        <v>0</v>
      </c>
      <c r="DH22" s="373">
        <f t="shared" si="19"/>
        <v>0</v>
      </c>
      <c r="DI22" s="373">
        <f t="shared" si="20"/>
        <v>0</v>
      </c>
      <c r="DJ22" s="373">
        <f t="shared" si="40"/>
        <v>0</v>
      </c>
      <c r="DK22" s="374">
        <f t="shared" si="41"/>
        <v>0</v>
      </c>
    </row>
    <row r="23" spans="2:115">
      <c r="B23" s="422"/>
      <c r="C23" s="303"/>
      <c r="D23" s="304"/>
      <c r="E23" s="383"/>
      <c r="F23" s="384"/>
      <c r="G23" s="303"/>
      <c r="H23" s="304"/>
      <c r="I23" s="305"/>
      <c r="J23" s="290">
        <f t="shared" si="21"/>
        <v>0</v>
      </c>
      <c r="K23" s="306"/>
      <c r="L23" s="306"/>
      <c r="M23" s="32" t="str">
        <f t="shared" si="0"/>
        <v xml:space="preserve"> </v>
      </c>
      <c r="N23" s="308" t="str">
        <f t="shared" si="38"/>
        <v xml:space="preserve"> </v>
      </c>
      <c r="O23" s="2" t="str">
        <f t="shared" si="39"/>
        <v xml:space="preserve"> </v>
      </c>
      <c r="P23" s="270"/>
      <c r="Q23" s="378">
        <f t="shared" si="22"/>
        <v>0</v>
      </c>
      <c r="R23" s="376">
        <f t="shared" si="3"/>
        <v>0</v>
      </c>
      <c r="S23" s="376">
        <f t="shared" si="3"/>
        <v>0</v>
      </c>
      <c r="T23" s="376">
        <f t="shared" si="3"/>
        <v>0</v>
      </c>
      <c r="U23" s="376">
        <f t="shared" si="3"/>
        <v>0</v>
      </c>
      <c r="V23" s="376">
        <f t="shared" si="3"/>
        <v>0</v>
      </c>
      <c r="W23" s="376">
        <f t="shared" si="3"/>
        <v>0</v>
      </c>
      <c r="X23" s="376">
        <f t="shared" si="3"/>
        <v>0</v>
      </c>
      <c r="Y23" s="376">
        <f t="shared" si="3"/>
        <v>0</v>
      </c>
      <c r="Z23" s="376">
        <f t="shared" si="3"/>
        <v>0</v>
      </c>
      <c r="AA23" s="376">
        <f t="shared" si="3"/>
        <v>0</v>
      </c>
      <c r="AB23" s="376">
        <f t="shared" si="3"/>
        <v>0</v>
      </c>
      <c r="AC23" s="307">
        <f t="shared" si="23"/>
        <v>0</v>
      </c>
      <c r="AD23" s="375">
        <f t="shared" si="4"/>
        <v>0</v>
      </c>
      <c r="AE23" s="376">
        <f t="shared" si="24"/>
        <v>0</v>
      </c>
      <c r="AF23" s="376">
        <f t="shared" si="24"/>
        <v>0</v>
      </c>
      <c r="AG23" s="376">
        <f t="shared" si="24"/>
        <v>0</v>
      </c>
      <c r="AH23" s="376">
        <f t="shared" si="24"/>
        <v>0</v>
      </c>
      <c r="AI23" s="376">
        <f t="shared" si="24"/>
        <v>0</v>
      </c>
      <c r="AJ23" s="376">
        <f t="shared" si="24"/>
        <v>0</v>
      </c>
      <c r="AK23" s="376">
        <f t="shared" si="24"/>
        <v>0</v>
      </c>
      <c r="AL23" s="376">
        <f t="shared" si="24"/>
        <v>0</v>
      </c>
      <c r="AM23" s="376">
        <f t="shared" si="24"/>
        <v>0</v>
      </c>
      <c r="AN23" s="376">
        <f t="shared" si="24"/>
        <v>0</v>
      </c>
      <c r="AO23" s="376">
        <f t="shared" si="24"/>
        <v>0</v>
      </c>
      <c r="AP23" s="307">
        <f t="shared" si="25"/>
        <v>0</v>
      </c>
      <c r="AQ23" s="375">
        <f t="shared" si="6"/>
        <v>0</v>
      </c>
      <c r="AR23" s="376">
        <f t="shared" si="26"/>
        <v>0</v>
      </c>
      <c r="AS23" s="376">
        <f t="shared" si="26"/>
        <v>0</v>
      </c>
      <c r="AT23" s="376">
        <f t="shared" si="26"/>
        <v>0</v>
      </c>
      <c r="AU23" s="376">
        <f t="shared" si="26"/>
        <v>0</v>
      </c>
      <c r="AV23" s="376">
        <f t="shared" si="26"/>
        <v>0</v>
      </c>
      <c r="AW23" s="376">
        <f t="shared" si="26"/>
        <v>0</v>
      </c>
      <c r="AX23" s="376">
        <f t="shared" si="26"/>
        <v>0</v>
      </c>
      <c r="AY23" s="376">
        <f t="shared" si="26"/>
        <v>0</v>
      </c>
      <c r="AZ23" s="376">
        <f t="shared" si="26"/>
        <v>0</v>
      </c>
      <c r="BA23" s="376">
        <f t="shared" si="26"/>
        <v>0</v>
      </c>
      <c r="BB23" s="376">
        <f t="shared" si="26"/>
        <v>0</v>
      </c>
      <c r="BC23" s="307">
        <f t="shared" si="27"/>
        <v>0</v>
      </c>
      <c r="BD23" s="375">
        <f t="shared" si="8"/>
        <v>0</v>
      </c>
      <c r="BE23" s="376">
        <f t="shared" si="28"/>
        <v>0</v>
      </c>
      <c r="BF23" s="376">
        <f t="shared" si="28"/>
        <v>0</v>
      </c>
      <c r="BG23" s="376">
        <f t="shared" si="28"/>
        <v>0</v>
      </c>
      <c r="BH23" s="376">
        <f t="shared" si="28"/>
        <v>0</v>
      </c>
      <c r="BI23" s="376">
        <f t="shared" si="28"/>
        <v>0</v>
      </c>
      <c r="BJ23" s="376">
        <f t="shared" si="28"/>
        <v>0</v>
      </c>
      <c r="BK23" s="376">
        <f t="shared" si="28"/>
        <v>0</v>
      </c>
      <c r="BL23" s="376">
        <f t="shared" si="28"/>
        <v>0</v>
      </c>
      <c r="BM23" s="376">
        <f t="shared" si="28"/>
        <v>0</v>
      </c>
      <c r="BN23" s="376">
        <f t="shared" si="28"/>
        <v>0</v>
      </c>
      <c r="BO23" s="376">
        <f t="shared" si="28"/>
        <v>0</v>
      </c>
      <c r="BP23" s="307">
        <f t="shared" si="29"/>
        <v>0</v>
      </c>
      <c r="BQ23" s="375">
        <f t="shared" si="10"/>
        <v>0</v>
      </c>
      <c r="BR23" s="376">
        <f t="shared" si="30"/>
        <v>0</v>
      </c>
      <c r="BS23" s="376">
        <f t="shared" si="30"/>
        <v>0</v>
      </c>
      <c r="BT23" s="376">
        <f t="shared" si="30"/>
        <v>0</v>
      </c>
      <c r="BU23" s="376">
        <f t="shared" si="30"/>
        <v>0</v>
      </c>
      <c r="BV23" s="376">
        <f t="shared" si="30"/>
        <v>0</v>
      </c>
      <c r="BW23" s="376">
        <f t="shared" si="30"/>
        <v>0</v>
      </c>
      <c r="BX23" s="376">
        <f t="shared" si="30"/>
        <v>0</v>
      </c>
      <c r="BY23" s="376">
        <f t="shared" si="30"/>
        <v>0</v>
      </c>
      <c r="BZ23" s="376">
        <f t="shared" si="30"/>
        <v>0</v>
      </c>
      <c r="CA23" s="376">
        <f t="shared" si="30"/>
        <v>0</v>
      </c>
      <c r="CB23" s="376">
        <f t="shared" si="30"/>
        <v>0</v>
      </c>
      <c r="CC23" s="307">
        <f t="shared" si="31"/>
        <v>0</v>
      </c>
      <c r="CD23" s="375">
        <f t="shared" si="12"/>
        <v>0</v>
      </c>
      <c r="CE23" s="376">
        <f t="shared" si="32"/>
        <v>0</v>
      </c>
      <c r="CF23" s="376">
        <f t="shared" si="32"/>
        <v>0</v>
      </c>
      <c r="CG23" s="376">
        <f t="shared" si="32"/>
        <v>0</v>
      </c>
      <c r="CH23" s="376">
        <f t="shared" si="32"/>
        <v>0</v>
      </c>
      <c r="CI23" s="376">
        <f t="shared" si="32"/>
        <v>0</v>
      </c>
      <c r="CJ23" s="376">
        <f t="shared" si="32"/>
        <v>0</v>
      </c>
      <c r="CK23" s="376">
        <f t="shared" si="32"/>
        <v>0</v>
      </c>
      <c r="CL23" s="376">
        <f t="shared" si="32"/>
        <v>0</v>
      </c>
      <c r="CM23" s="376">
        <f t="shared" si="32"/>
        <v>0</v>
      </c>
      <c r="CN23" s="376">
        <f t="shared" si="32"/>
        <v>0</v>
      </c>
      <c r="CO23" s="376">
        <f t="shared" si="32"/>
        <v>0</v>
      </c>
      <c r="CP23" s="307">
        <f t="shared" si="33"/>
        <v>0</v>
      </c>
      <c r="CQ23" s="375">
        <f t="shared" si="14"/>
        <v>0</v>
      </c>
      <c r="CR23" s="376">
        <f t="shared" si="34"/>
        <v>0</v>
      </c>
      <c r="CS23" s="376">
        <f t="shared" si="34"/>
        <v>0</v>
      </c>
      <c r="CT23" s="376">
        <f t="shared" si="34"/>
        <v>0</v>
      </c>
      <c r="CU23" s="376">
        <f t="shared" si="34"/>
        <v>0</v>
      </c>
      <c r="CV23" s="376">
        <f t="shared" si="34"/>
        <v>0</v>
      </c>
      <c r="CW23" s="376">
        <f t="shared" si="34"/>
        <v>0</v>
      </c>
      <c r="CX23" s="376">
        <f t="shared" si="34"/>
        <v>0</v>
      </c>
      <c r="CY23" s="376">
        <f t="shared" si="34"/>
        <v>0</v>
      </c>
      <c r="CZ23" s="376">
        <f t="shared" si="34"/>
        <v>0</v>
      </c>
      <c r="DA23" s="376">
        <f t="shared" si="34"/>
        <v>0</v>
      </c>
      <c r="DB23" s="376">
        <f t="shared" si="34"/>
        <v>0</v>
      </c>
      <c r="DC23" s="291">
        <f t="shared" si="35"/>
        <v>0</v>
      </c>
      <c r="DE23" s="372">
        <f t="shared" si="16"/>
        <v>0</v>
      </c>
      <c r="DF23" s="373">
        <f t="shared" si="17"/>
        <v>0</v>
      </c>
      <c r="DG23" s="373">
        <f t="shared" si="18"/>
        <v>0</v>
      </c>
      <c r="DH23" s="373">
        <f t="shared" si="19"/>
        <v>0</v>
      </c>
      <c r="DI23" s="373">
        <f t="shared" si="20"/>
        <v>0</v>
      </c>
      <c r="DJ23" s="373">
        <f t="shared" si="40"/>
        <v>0</v>
      </c>
      <c r="DK23" s="374">
        <f t="shared" si="41"/>
        <v>0</v>
      </c>
    </row>
    <row r="24" spans="2:115">
      <c r="B24" s="422"/>
      <c r="C24" s="303"/>
      <c r="D24" s="304"/>
      <c r="E24" s="383"/>
      <c r="F24" s="384"/>
      <c r="G24" s="303"/>
      <c r="H24" s="304"/>
      <c r="I24" s="305"/>
      <c r="J24" s="290">
        <f t="shared" si="21"/>
        <v>0</v>
      </c>
      <c r="K24" s="306"/>
      <c r="L24" s="306"/>
      <c r="M24" s="32" t="str">
        <f t="shared" si="0"/>
        <v xml:space="preserve"> </v>
      </c>
      <c r="N24" s="308" t="str">
        <f t="shared" si="38"/>
        <v xml:space="preserve"> </v>
      </c>
      <c r="O24" s="2" t="str">
        <f t="shared" si="39"/>
        <v xml:space="preserve"> </v>
      </c>
      <c r="P24" s="270"/>
      <c r="Q24" s="378">
        <f t="shared" si="22"/>
        <v>0</v>
      </c>
      <c r="R24" s="376">
        <f t="shared" si="3"/>
        <v>0</v>
      </c>
      <c r="S24" s="376">
        <f t="shared" si="3"/>
        <v>0</v>
      </c>
      <c r="T24" s="376">
        <f t="shared" si="3"/>
        <v>0</v>
      </c>
      <c r="U24" s="376">
        <f t="shared" si="3"/>
        <v>0</v>
      </c>
      <c r="V24" s="376">
        <f t="shared" si="3"/>
        <v>0</v>
      </c>
      <c r="W24" s="376">
        <f t="shared" si="3"/>
        <v>0</v>
      </c>
      <c r="X24" s="376">
        <f t="shared" si="3"/>
        <v>0</v>
      </c>
      <c r="Y24" s="376">
        <f t="shared" si="3"/>
        <v>0</v>
      </c>
      <c r="Z24" s="376">
        <f t="shared" si="3"/>
        <v>0</v>
      </c>
      <c r="AA24" s="376">
        <f t="shared" si="3"/>
        <v>0</v>
      </c>
      <c r="AB24" s="376">
        <f t="shared" si="3"/>
        <v>0</v>
      </c>
      <c r="AC24" s="307">
        <f t="shared" si="23"/>
        <v>0</v>
      </c>
      <c r="AD24" s="375">
        <f t="shared" si="4"/>
        <v>0</v>
      </c>
      <c r="AE24" s="376">
        <f t="shared" si="24"/>
        <v>0</v>
      </c>
      <c r="AF24" s="376">
        <f t="shared" si="24"/>
        <v>0</v>
      </c>
      <c r="AG24" s="376">
        <f t="shared" si="24"/>
        <v>0</v>
      </c>
      <c r="AH24" s="376">
        <f t="shared" si="24"/>
        <v>0</v>
      </c>
      <c r="AI24" s="376">
        <f t="shared" si="24"/>
        <v>0</v>
      </c>
      <c r="AJ24" s="376">
        <f t="shared" si="24"/>
        <v>0</v>
      </c>
      <c r="AK24" s="376">
        <f t="shared" si="24"/>
        <v>0</v>
      </c>
      <c r="AL24" s="376">
        <f t="shared" si="24"/>
        <v>0</v>
      </c>
      <c r="AM24" s="376">
        <f t="shared" si="24"/>
        <v>0</v>
      </c>
      <c r="AN24" s="376">
        <f t="shared" si="24"/>
        <v>0</v>
      </c>
      <c r="AO24" s="376">
        <f t="shared" si="24"/>
        <v>0</v>
      </c>
      <c r="AP24" s="307">
        <f t="shared" si="25"/>
        <v>0</v>
      </c>
      <c r="AQ24" s="375">
        <f t="shared" si="6"/>
        <v>0</v>
      </c>
      <c r="AR24" s="376">
        <f t="shared" si="26"/>
        <v>0</v>
      </c>
      <c r="AS24" s="376">
        <f t="shared" si="26"/>
        <v>0</v>
      </c>
      <c r="AT24" s="376">
        <f t="shared" si="26"/>
        <v>0</v>
      </c>
      <c r="AU24" s="376">
        <f t="shared" si="26"/>
        <v>0</v>
      </c>
      <c r="AV24" s="376">
        <f t="shared" si="26"/>
        <v>0</v>
      </c>
      <c r="AW24" s="376">
        <f t="shared" si="26"/>
        <v>0</v>
      </c>
      <c r="AX24" s="376">
        <f t="shared" si="26"/>
        <v>0</v>
      </c>
      <c r="AY24" s="376">
        <f t="shared" si="26"/>
        <v>0</v>
      </c>
      <c r="AZ24" s="376">
        <f t="shared" si="26"/>
        <v>0</v>
      </c>
      <c r="BA24" s="376">
        <f t="shared" si="26"/>
        <v>0</v>
      </c>
      <c r="BB24" s="376">
        <f t="shared" si="26"/>
        <v>0</v>
      </c>
      <c r="BC24" s="307">
        <f t="shared" si="27"/>
        <v>0</v>
      </c>
      <c r="BD24" s="375">
        <f t="shared" si="8"/>
        <v>0</v>
      </c>
      <c r="BE24" s="376">
        <f t="shared" si="28"/>
        <v>0</v>
      </c>
      <c r="BF24" s="376">
        <f t="shared" si="28"/>
        <v>0</v>
      </c>
      <c r="BG24" s="376">
        <f t="shared" si="28"/>
        <v>0</v>
      </c>
      <c r="BH24" s="376">
        <f t="shared" si="28"/>
        <v>0</v>
      </c>
      <c r="BI24" s="376">
        <f t="shared" si="28"/>
        <v>0</v>
      </c>
      <c r="BJ24" s="376">
        <f t="shared" si="28"/>
        <v>0</v>
      </c>
      <c r="BK24" s="376">
        <f t="shared" si="28"/>
        <v>0</v>
      </c>
      <c r="BL24" s="376">
        <f t="shared" si="28"/>
        <v>0</v>
      </c>
      <c r="BM24" s="376">
        <f t="shared" si="28"/>
        <v>0</v>
      </c>
      <c r="BN24" s="376">
        <f t="shared" si="28"/>
        <v>0</v>
      </c>
      <c r="BO24" s="376">
        <f t="shared" si="28"/>
        <v>0</v>
      </c>
      <c r="BP24" s="307">
        <f t="shared" si="29"/>
        <v>0</v>
      </c>
      <c r="BQ24" s="375">
        <f t="shared" si="10"/>
        <v>0</v>
      </c>
      <c r="BR24" s="376">
        <f t="shared" si="30"/>
        <v>0</v>
      </c>
      <c r="BS24" s="376">
        <f t="shared" si="30"/>
        <v>0</v>
      </c>
      <c r="BT24" s="376">
        <f t="shared" si="30"/>
        <v>0</v>
      </c>
      <c r="BU24" s="376">
        <f t="shared" si="30"/>
        <v>0</v>
      </c>
      <c r="BV24" s="376">
        <f t="shared" si="30"/>
        <v>0</v>
      </c>
      <c r="BW24" s="376">
        <f t="shared" si="30"/>
        <v>0</v>
      </c>
      <c r="BX24" s="376">
        <f t="shared" si="30"/>
        <v>0</v>
      </c>
      <c r="BY24" s="376">
        <f t="shared" si="30"/>
        <v>0</v>
      </c>
      <c r="BZ24" s="376">
        <f t="shared" si="30"/>
        <v>0</v>
      </c>
      <c r="CA24" s="376">
        <f t="shared" si="30"/>
        <v>0</v>
      </c>
      <c r="CB24" s="376">
        <f t="shared" si="30"/>
        <v>0</v>
      </c>
      <c r="CC24" s="307">
        <f t="shared" si="31"/>
        <v>0</v>
      </c>
      <c r="CD24" s="375">
        <f t="shared" si="12"/>
        <v>0</v>
      </c>
      <c r="CE24" s="376">
        <f t="shared" si="32"/>
        <v>0</v>
      </c>
      <c r="CF24" s="376">
        <f t="shared" si="32"/>
        <v>0</v>
      </c>
      <c r="CG24" s="376">
        <f t="shared" si="32"/>
        <v>0</v>
      </c>
      <c r="CH24" s="376">
        <f t="shared" si="32"/>
        <v>0</v>
      </c>
      <c r="CI24" s="376">
        <f t="shared" si="32"/>
        <v>0</v>
      </c>
      <c r="CJ24" s="376">
        <f t="shared" si="32"/>
        <v>0</v>
      </c>
      <c r="CK24" s="376">
        <f t="shared" si="32"/>
        <v>0</v>
      </c>
      <c r="CL24" s="376">
        <f t="shared" si="32"/>
        <v>0</v>
      </c>
      <c r="CM24" s="376">
        <f t="shared" si="32"/>
        <v>0</v>
      </c>
      <c r="CN24" s="376">
        <f t="shared" si="32"/>
        <v>0</v>
      </c>
      <c r="CO24" s="376">
        <f t="shared" si="32"/>
        <v>0</v>
      </c>
      <c r="CP24" s="307">
        <f t="shared" si="33"/>
        <v>0</v>
      </c>
      <c r="CQ24" s="375">
        <f t="shared" si="14"/>
        <v>0</v>
      </c>
      <c r="CR24" s="376">
        <f t="shared" si="34"/>
        <v>0</v>
      </c>
      <c r="CS24" s="376">
        <f t="shared" si="34"/>
        <v>0</v>
      </c>
      <c r="CT24" s="376">
        <f t="shared" si="34"/>
        <v>0</v>
      </c>
      <c r="CU24" s="376">
        <f t="shared" si="34"/>
        <v>0</v>
      </c>
      <c r="CV24" s="376">
        <f t="shared" si="34"/>
        <v>0</v>
      </c>
      <c r="CW24" s="376">
        <f t="shared" si="34"/>
        <v>0</v>
      </c>
      <c r="CX24" s="376">
        <f t="shared" si="34"/>
        <v>0</v>
      </c>
      <c r="CY24" s="376">
        <f t="shared" si="34"/>
        <v>0</v>
      </c>
      <c r="CZ24" s="376">
        <f t="shared" si="34"/>
        <v>0</v>
      </c>
      <c r="DA24" s="376">
        <f t="shared" si="34"/>
        <v>0</v>
      </c>
      <c r="DB24" s="376">
        <f t="shared" si="34"/>
        <v>0</v>
      </c>
      <c r="DC24" s="291">
        <f t="shared" si="35"/>
        <v>0</v>
      </c>
      <c r="DE24" s="372">
        <f t="shared" si="16"/>
        <v>0</v>
      </c>
      <c r="DF24" s="373">
        <f t="shared" si="17"/>
        <v>0</v>
      </c>
      <c r="DG24" s="373">
        <f t="shared" si="18"/>
        <v>0</v>
      </c>
      <c r="DH24" s="373">
        <f t="shared" si="19"/>
        <v>0</v>
      </c>
      <c r="DI24" s="373">
        <f t="shared" si="20"/>
        <v>0</v>
      </c>
      <c r="DJ24" s="373">
        <f t="shared" si="40"/>
        <v>0</v>
      </c>
      <c r="DK24" s="374">
        <f t="shared" si="41"/>
        <v>0</v>
      </c>
    </row>
    <row r="25" spans="2:115">
      <c r="B25" s="422"/>
      <c r="C25" s="303"/>
      <c r="D25" s="304"/>
      <c r="E25" s="383"/>
      <c r="F25" s="384"/>
      <c r="G25" s="303"/>
      <c r="H25" s="304"/>
      <c r="I25" s="305"/>
      <c r="J25" s="290">
        <f t="shared" si="21"/>
        <v>0</v>
      </c>
      <c r="K25" s="306"/>
      <c r="L25" s="306"/>
      <c r="M25" s="32" t="str">
        <f t="shared" si="0"/>
        <v xml:space="preserve"> </v>
      </c>
      <c r="N25" s="308" t="str">
        <f t="shared" si="38"/>
        <v xml:space="preserve"> </v>
      </c>
      <c r="O25" s="2" t="str">
        <f t="shared" si="39"/>
        <v xml:space="preserve"> </v>
      </c>
      <c r="P25" s="270"/>
      <c r="Q25" s="378">
        <f t="shared" si="22"/>
        <v>0</v>
      </c>
      <c r="R25" s="376">
        <f t="shared" si="3"/>
        <v>0</v>
      </c>
      <c r="S25" s="376">
        <f t="shared" si="3"/>
        <v>0</v>
      </c>
      <c r="T25" s="376">
        <f t="shared" si="3"/>
        <v>0</v>
      </c>
      <c r="U25" s="376">
        <f t="shared" si="3"/>
        <v>0</v>
      </c>
      <c r="V25" s="376">
        <f t="shared" si="3"/>
        <v>0</v>
      </c>
      <c r="W25" s="376">
        <f t="shared" si="3"/>
        <v>0</v>
      </c>
      <c r="X25" s="376">
        <f t="shared" si="3"/>
        <v>0</v>
      </c>
      <c r="Y25" s="376">
        <f t="shared" si="3"/>
        <v>0</v>
      </c>
      <c r="Z25" s="376">
        <f t="shared" si="3"/>
        <v>0</v>
      </c>
      <c r="AA25" s="376">
        <f t="shared" si="3"/>
        <v>0</v>
      </c>
      <c r="AB25" s="376">
        <f t="shared" si="3"/>
        <v>0</v>
      </c>
      <c r="AC25" s="307">
        <f t="shared" si="23"/>
        <v>0</v>
      </c>
      <c r="AD25" s="375">
        <f t="shared" si="4"/>
        <v>0</v>
      </c>
      <c r="AE25" s="376">
        <f t="shared" si="24"/>
        <v>0</v>
      </c>
      <c r="AF25" s="376">
        <f t="shared" si="24"/>
        <v>0</v>
      </c>
      <c r="AG25" s="376">
        <f t="shared" si="24"/>
        <v>0</v>
      </c>
      <c r="AH25" s="376">
        <f t="shared" si="24"/>
        <v>0</v>
      </c>
      <c r="AI25" s="376">
        <f t="shared" si="24"/>
        <v>0</v>
      </c>
      <c r="AJ25" s="376">
        <f t="shared" si="24"/>
        <v>0</v>
      </c>
      <c r="AK25" s="376">
        <f t="shared" si="24"/>
        <v>0</v>
      </c>
      <c r="AL25" s="376">
        <f t="shared" si="24"/>
        <v>0</v>
      </c>
      <c r="AM25" s="376">
        <f t="shared" si="24"/>
        <v>0</v>
      </c>
      <c r="AN25" s="376">
        <f t="shared" si="24"/>
        <v>0</v>
      </c>
      <c r="AO25" s="376">
        <f t="shared" si="24"/>
        <v>0</v>
      </c>
      <c r="AP25" s="307">
        <f t="shared" si="25"/>
        <v>0</v>
      </c>
      <c r="AQ25" s="375">
        <f t="shared" si="6"/>
        <v>0</v>
      </c>
      <c r="AR25" s="376">
        <f t="shared" si="26"/>
        <v>0</v>
      </c>
      <c r="AS25" s="376">
        <f t="shared" si="26"/>
        <v>0</v>
      </c>
      <c r="AT25" s="376">
        <f t="shared" si="26"/>
        <v>0</v>
      </c>
      <c r="AU25" s="376">
        <f t="shared" si="26"/>
        <v>0</v>
      </c>
      <c r="AV25" s="376">
        <f t="shared" si="26"/>
        <v>0</v>
      </c>
      <c r="AW25" s="376">
        <f t="shared" si="26"/>
        <v>0</v>
      </c>
      <c r="AX25" s="376">
        <f t="shared" si="26"/>
        <v>0</v>
      </c>
      <c r="AY25" s="376">
        <f t="shared" si="26"/>
        <v>0</v>
      </c>
      <c r="AZ25" s="376">
        <f t="shared" si="26"/>
        <v>0</v>
      </c>
      <c r="BA25" s="376">
        <f t="shared" si="26"/>
        <v>0</v>
      </c>
      <c r="BB25" s="376">
        <f t="shared" si="26"/>
        <v>0</v>
      </c>
      <c r="BC25" s="307">
        <f t="shared" si="27"/>
        <v>0</v>
      </c>
      <c r="BD25" s="375">
        <f t="shared" si="8"/>
        <v>0</v>
      </c>
      <c r="BE25" s="376">
        <f t="shared" si="28"/>
        <v>0</v>
      </c>
      <c r="BF25" s="376">
        <f t="shared" si="28"/>
        <v>0</v>
      </c>
      <c r="BG25" s="376">
        <f t="shared" si="28"/>
        <v>0</v>
      </c>
      <c r="BH25" s="376">
        <f t="shared" si="28"/>
        <v>0</v>
      </c>
      <c r="BI25" s="376">
        <f t="shared" si="28"/>
        <v>0</v>
      </c>
      <c r="BJ25" s="376">
        <f t="shared" si="28"/>
        <v>0</v>
      </c>
      <c r="BK25" s="376">
        <f t="shared" si="28"/>
        <v>0</v>
      </c>
      <c r="BL25" s="376">
        <f t="shared" si="28"/>
        <v>0</v>
      </c>
      <c r="BM25" s="376">
        <f t="shared" si="28"/>
        <v>0</v>
      </c>
      <c r="BN25" s="376">
        <f t="shared" si="28"/>
        <v>0</v>
      </c>
      <c r="BO25" s="376">
        <f t="shared" si="28"/>
        <v>0</v>
      </c>
      <c r="BP25" s="307">
        <f t="shared" si="29"/>
        <v>0</v>
      </c>
      <c r="BQ25" s="375">
        <f t="shared" si="10"/>
        <v>0</v>
      </c>
      <c r="BR25" s="376">
        <f t="shared" si="30"/>
        <v>0</v>
      </c>
      <c r="BS25" s="376">
        <f t="shared" si="30"/>
        <v>0</v>
      </c>
      <c r="BT25" s="376">
        <f t="shared" si="30"/>
        <v>0</v>
      </c>
      <c r="BU25" s="376">
        <f t="shared" si="30"/>
        <v>0</v>
      </c>
      <c r="BV25" s="376">
        <f t="shared" si="30"/>
        <v>0</v>
      </c>
      <c r="BW25" s="376">
        <f t="shared" si="30"/>
        <v>0</v>
      </c>
      <c r="BX25" s="376">
        <f t="shared" si="30"/>
        <v>0</v>
      </c>
      <c r="BY25" s="376">
        <f t="shared" si="30"/>
        <v>0</v>
      </c>
      <c r="BZ25" s="376">
        <f t="shared" si="30"/>
        <v>0</v>
      </c>
      <c r="CA25" s="376">
        <f t="shared" si="30"/>
        <v>0</v>
      </c>
      <c r="CB25" s="376">
        <f t="shared" si="30"/>
        <v>0</v>
      </c>
      <c r="CC25" s="307">
        <f t="shared" si="31"/>
        <v>0</v>
      </c>
      <c r="CD25" s="375">
        <f t="shared" si="12"/>
        <v>0</v>
      </c>
      <c r="CE25" s="376">
        <f t="shared" si="32"/>
        <v>0</v>
      </c>
      <c r="CF25" s="376">
        <f t="shared" si="32"/>
        <v>0</v>
      </c>
      <c r="CG25" s="376">
        <f t="shared" si="32"/>
        <v>0</v>
      </c>
      <c r="CH25" s="376">
        <f t="shared" si="32"/>
        <v>0</v>
      </c>
      <c r="CI25" s="376">
        <f t="shared" si="32"/>
        <v>0</v>
      </c>
      <c r="CJ25" s="376">
        <f t="shared" si="32"/>
        <v>0</v>
      </c>
      <c r="CK25" s="376">
        <f t="shared" si="32"/>
        <v>0</v>
      </c>
      <c r="CL25" s="376">
        <f t="shared" si="32"/>
        <v>0</v>
      </c>
      <c r="CM25" s="376">
        <f t="shared" si="32"/>
        <v>0</v>
      </c>
      <c r="CN25" s="376">
        <f t="shared" si="32"/>
        <v>0</v>
      </c>
      <c r="CO25" s="376">
        <f t="shared" si="32"/>
        <v>0</v>
      </c>
      <c r="CP25" s="307">
        <f t="shared" si="33"/>
        <v>0</v>
      </c>
      <c r="CQ25" s="375">
        <f t="shared" si="14"/>
        <v>0</v>
      </c>
      <c r="CR25" s="376">
        <f t="shared" si="34"/>
        <v>0</v>
      </c>
      <c r="CS25" s="376">
        <f t="shared" si="34"/>
        <v>0</v>
      </c>
      <c r="CT25" s="376">
        <f t="shared" si="34"/>
        <v>0</v>
      </c>
      <c r="CU25" s="376">
        <f t="shared" si="34"/>
        <v>0</v>
      </c>
      <c r="CV25" s="376">
        <f t="shared" si="34"/>
        <v>0</v>
      </c>
      <c r="CW25" s="376">
        <f t="shared" si="34"/>
        <v>0</v>
      </c>
      <c r="CX25" s="376">
        <f t="shared" si="34"/>
        <v>0</v>
      </c>
      <c r="CY25" s="376">
        <f t="shared" si="34"/>
        <v>0</v>
      </c>
      <c r="CZ25" s="376">
        <f t="shared" si="34"/>
        <v>0</v>
      </c>
      <c r="DA25" s="376">
        <f t="shared" si="34"/>
        <v>0</v>
      </c>
      <c r="DB25" s="376">
        <f t="shared" si="34"/>
        <v>0</v>
      </c>
      <c r="DC25" s="291">
        <f t="shared" si="35"/>
        <v>0</v>
      </c>
      <c r="DE25" s="372">
        <f t="shared" si="16"/>
        <v>0</v>
      </c>
      <c r="DF25" s="373">
        <f t="shared" si="17"/>
        <v>0</v>
      </c>
      <c r="DG25" s="373">
        <f t="shared" si="18"/>
        <v>0</v>
      </c>
      <c r="DH25" s="373">
        <f t="shared" si="19"/>
        <v>0</v>
      </c>
      <c r="DI25" s="373">
        <f t="shared" si="20"/>
        <v>0</v>
      </c>
      <c r="DJ25" s="373">
        <f t="shared" si="40"/>
        <v>0</v>
      </c>
      <c r="DK25" s="374">
        <f t="shared" si="41"/>
        <v>0</v>
      </c>
    </row>
    <row r="26" spans="2:115">
      <c r="B26" s="422"/>
      <c r="C26" s="303"/>
      <c r="D26" s="304"/>
      <c r="E26" s="383"/>
      <c r="F26" s="384"/>
      <c r="G26" s="303"/>
      <c r="H26" s="304"/>
      <c r="I26" s="305"/>
      <c r="J26" s="290">
        <f t="shared" si="21"/>
        <v>0</v>
      </c>
      <c r="K26" s="306"/>
      <c r="L26" s="306"/>
      <c r="M26" s="32" t="str">
        <f t="shared" si="0"/>
        <v xml:space="preserve"> </v>
      </c>
      <c r="N26" s="308" t="str">
        <f t="shared" si="38"/>
        <v xml:space="preserve"> </v>
      </c>
      <c r="O26" s="2" t="str">
        <f t="shared" si="39"/>
        <v xml:space="preserve"> </v>
      </c>
      <c r="P26" s="270"/>
      <c r="Q26" s="378">
        <f t="shared" si="22"/>
        <v>0</v>
      </c>
      <c r="R26" s="376">
        <f t="shared" si="3"/>
        <v>0</v>
      </c>
      <c r="S26" s="376">
        <f t="shared" si="3"/>
        <v>0</v>
      </c>
      <c r="T26" s="376">
        <f t="shared" si="3"/>
        <v>0</v>
      </c>
      <c r="U26" s="376">
        <f t="shared" si="3"/>
        <v>0</v>
      </c>
      <c r="V26" s="376">
        <f t="shared" si="3"/>
        <v>0</v>
      </c>
      <c r="W26" s="376">
        <f t="shared" si="3"/>
        <v>0</v>
      </c>
      <c r="X26" s="376">
        <f t="shared" si="3"/>
        <v>0</v>
      </c>
      <c r="Y26" s="376">
        <f t="shared" si="3"/>
        <v>0</v>
      </c>
      <c r="Z26" s="376">
        <f t="shared" si="3"/>
        <v>0</v>
      </c>
      <c r="AA26" s="376">
        <f t="shared" si="3"/>
        <v>0</v>
      </c>
      <c r="AB26" s="376">
        <f t="shared" si="3"/>
        <v>0</v>
      </c>
      <c r="AC26" s="307">
        <f t="shared" si="23"/>
        <v>0</v>
      </c>
      <c r="AD26" s="375">
        <f t="shared" si="4"/>
        <v>0</v>
      </c>
      <c r="AE26" s="376">
        <f t="shared" si="24"/>
        <v>0</v>
      </c>
      <c r="AF26" s="376">
        <f t="shared" si="24"/>
        <v>0</v>
      </c>
      <c r="AG26" s="376">
        <f t="shared" si="24"/>
        <v>0</v>
      </c>
      <c r="AH26" s="376">
        <f t="shared" si="24"/>
        <v>0</v>
      </c>
      <c r="AI26" s="376">
        <f t="shared" si="24"/>
        <v>0</v>
      </c>
      <c r="AJ26" s="376">
        <f t="shared" si="24"/>
        <v>0</v>
      </c>
      <c r="AK26" s="376">
        <f t="shared" si="24"/>
        <v>0</v>
      </c>
      <c r="AL26" s="376">
        <f t="shared" si="24"/>
        <v>0</v>
      </c>
      <c r="AM26" s="376">
        <f t="shared" si="24"/>
        <v>0</v>
      </c>
      <c r="AN26" s="376">
        <f t="shared" si="24"/>
        <v>0</v>
      </c>
      <c r="AO26" s="376">
        <f t="shared" si="24"/>
        <v>0</v>
      </c>
      <c r="AP26" s="307">
        <f t="shared" si="25"/>
        <v>0</v>
      </c>
      <c r="AQ26" s="375">
        <f t="shared" si="6"/>
        <v>0</v>
      </c>
      <c r="AR26" s="376">
        <f t="shared" si="26"/>
        <v>0</v>
      </c>
      <c r="AS26" s="376">
        <f t="shared" si="26"/>
        <v>0</v>
      </c>
      <c r="AT26" s="376">
        <f t="shared" si="26"/>
        <v>0</v>
      </c>
      <c r="AU26" s="376">
        <f t="shared" si="26"/>
        <v>0</v>
      </c>
      <c r="AV26" s="376">
        <f t="shared" si="26"/>
        <v>0</v>
      </c>
      <c r="AW26" s="376">
        <f t="shared" si="26"/>
        <v>0</v>
      </c>
      <c r="AX26" s="376">
        <f t="shared" si="26"/>
        <v>0</v>
      </c>
      <c r="AY26" s="376">
        <f t="shared" si="26"/>
        <v>0</v>
      </c>
      <c r="AZ26" s="376">
        <f t="shared" si="26"/>
        <v>0</v>
      </c>
      <c r="BA26" s="376">
        <f t="shared" si="26"/>
        <v>0</v>
      </c>
      <c r="BB26" s="376">
        <f t="shared" si="26"/>
        <v>0</v>
      </c>
      <c r="BC26" s="307">
        <f t="shared" si="27"/>
        <v>0</v>
      </c>
      <c r="BD26" s="375">
        <f t="shared" si="8"/>
        <v>0</v>
      </c>
      <c r="BE26" s="376">
        <f t="shared" si="28"/>
        <v>0</v>
      </c>
      <c r="BF26" s="376">
        <f t="shared" si="28"/>
        <v>0</v>
      </c>
      <c r="BG26" s="376">
        <f t="shared" si="28"/>
        <v>0</v>
      </c>
      <c r="BH26" s="376">
        <f t="shared" si="28"/>
        <v>0</v>
      </c>
      <c r="BI26" s="376">
        <f t="shared" si="28"/>
        <v>0</v>
      </c>
      <c r="BJ26" s="376">
        <f t="shared" si="28"/>
        <v>0</v>
      </c>
      <c r="BK26" s="376">
        <f t="shared" si="28"/>
        <v>0</v>
      </c>
      <c r="BL26" s="376">
        <f t="shared" si="28"/>
        <v>0</v>
      </c>
      <c r="BM26" s="376">
        <f t="shared" si="28"/>
        <v>0</v>
      </c>
      <c r="BN26" s="376">
        <f t="shared" si="28"/>
        <v>0</v>
      </c>
      <c r="BO26" s="376">
        <f t="shared" si="28"/>
        <v>0</v>
      </c>
      <c r="BP26" s="307">
        <f t="shared" si="29"/>
        <v>0</v>
      </c>
      <c r="BQ26" s="375">
        <f t="shared" si="10"/>
        <v>0</v>
      </c>
      <c r="BR26" s="376">
        <f t="shared" si="30"/>
        <v>0</v>
      </c>
      <c r="BS26" s="376">
        <f t="shared" si="30"/>
        <v>0</v>
      </c>
      <c r="BT26" s="376">
        <f t="shared" si="30"/>
        <v>0</v>
      </c>
      <c r="BU26" s="376">
        <f t="shared" si="30"/>
        <v>0</v>
      </c>
      <c r="BV26" s="376">
        <f t="shared" si="30"/>
        <v>0</v>
      </c>
      <c r="BW26" s="376">
        <f t="shared" si="30"/>
        <v>0</v>
      </c>
      <c r="BX26" s="376">
        <f t="shared" si="30"/>
        <v>0</v>
      </c>
      <c r="BY26" s="376">
        <f t="shared" si="30"/>
        <v>0</v>
      </c>
      <c r="BZ26" s="376">
        <f t="shared" si="30"/>
        <v>0</v>
      </c>
      <c r="CA26" s="376">
        <f t="shared" si="30"/>
        <v>0</v>
      </c>
      <c r="CB26" s="376">
        <f t="shared" si="30"/>
        <v>0</v>
      </c>
      <c r="CC26" s="307">
        <f t="shared" si="31"/>
        <v>0</v>
      </c>
      <c r="CD26" s="375">
        <f t="shared" si="12"/>
        <v>0</v>
      </c>
      <c r="CE26" s="376">
        <f t="shared" si="32"/>
        <v>0</v>
      </c>
      <c r="CF26" s="376">
        <f t="shared" si="32"/>
        <v>0</v>
      </c>
      <c r="CG26" s="376">
        <f t="shared" si="32"/>
        <v>0</v>
      </c>
      <c r="CH26" s="376">
        <f t="shared" si="32"/>
        <v>0</v>
      </c>
      <c r="CI26" s="376">
        <f t="shared" si="32"/>
        <v>0</v>
      </c>
      <c r="CJ26" s="376">
        <f t="shared" si="32"/>
        <v>0</v>
      </c>
      <c r="CK26" s="376">
        <f t="shared" si="32"/>
        <v>0</v>
      </c>
      <c r="CL26" s="376">
        <f t="shared" si="32"/>
        <v>0</v>
      </c>
      <c r="CM26" s="376">
        <f t="shared" si="32"/>
        <v>0</v>
      </c>
      <c r="CN26" s="376">
        <f t="shared" si="32"/>
        <v>0</v>
      </c>
      <c r="CO26" s="376">
        <f t="shared" si="32"/>
        <v>0</v>
      </c>
      <c r="CP26" s="307">
        <f t="shared" si="33"/>
        <v>0</v>
      </c>
      <c r="CQ26" s="375">
        <f t="shared" si="14"/>
        <v>0</v>
      </c>
      <c r="CR26" s="376">
        <f t="shared" si="34"/>
        <v>0</v>
      </c>
      <c r="CS26" s="376">
        <f t="shared" si="34"/>
        <v>0</v>
      </c>
      <c r="CT26" s="376">
        <f t="shared" si="34"/>
        <v>0</v>
      </c>
      <c r="CU26" s="376">
        <f t="shared" si="34"/>
        <v>0</v>
      </c>
      <c r="CV26" s="376">
        <f t="shared" si="34"/>
        <v>0</v>
      </c>
      <c r="CW26" s="376">
        <f t="shared" si="34"/>
        <v>0</v>
      </c>
      <c r="CX26" s="376">
        <f t="shared" si="34"/>
        <v>0</v>
      </c>
      <c r="CY26" s="376">
        <f t="shared" si="34"/>
        <v>0</v>
      </c>
      <c r="CZ26" s="376">
        <f t="shared" si="34"/>
        <v>0</v>
      </c>
      <c r="DA26" s="376">
        <f t="shared" si="34"/>
        <v>0</v>
      </c>
      <c r="DB26" s="376">
        <f t="shared" si="34"/>
        <v>0</v>
      </c>
      <c r="DC26" s="291">
        <f t="shared" si="35"/>
        <v>0</v>
      </c>
      <c r="DE26" s="372">
        <f t="shared" si="16"/>
        <v>0</v>
      </c>
      <c r="DF26" s="373">
        <f t="shared" si="17"/>
        <v>0</v>
      </c>
      <c r="DG26" s="373">
        <f t="shared" si="18"/>
        <v>0</v>
      </c>
      <c r="DH26" s="373">
        <f t="shared" si="19"/>
        <v>0</v>
      </c>
      <c r="DI26" s="373">
        <f t="shared" si="20"/>
        <v>0</v>
      </c>
      <c r="DJ26" s="373">
        <f t="shared" si="40"/>
        <v>0</v>
      </c>
      <c r="DK26" s="374">
        <f t="shared" si="41"/>
        <v>0</v>
      </c>
    </row>
    <row r="27" spans="2:115" ht="16" thickBot="1">
      <c r="B27" s="423"/>
      <c r="C27" s="385"/>
      <c r="D27" s="386"/>
      <c r="E27" s="387"/>
      <c r="F27" s="388"/>
      <c r="G27" s="303"/>
      <c r="H27" s="304"/>
      <c r="I27" s="305"/>
      <c r="J27" s="290">
        <f t="shared" si="21"/>
        <v>0</v>
      </c>
      <c r="K27" s="306"/>
      <c r="L27" s="306"/>
      <c r="M27" s="32" t="str">
        <f t="shared" si="0"/>
        <v xml:space="preserve"> </v>
      </c>
      <c r="N27" s="308" t="str">
        <f t="shared" si="38"/>
        <v xml:space="preserve"> </v>
      </c>
      <c r="O27" s="2" t="str">
        <f t="shared" si="39"/>
        <v xml:space="preserve"> </v>
      </c>
      <c r="P27" s="270"/>
      <c r="Q27" s="379">
        <f t="shared" si="22"/>
        <v>0</v>
      </c>
      <c r="R27" s="380">
        <f t="shared" si="3"/>
        <v>0</v>
      </c>
      <c r="S27" s="380">
        <f t="shared" si="3"/>
        <v>0</v>
      </c>
      <c r="T27" s="380">
        <f t="shared" si="3"/>
        <v>0</v>
      </c>
      <c r="U27" s="380">
        <f t="shared" si="3"/>
        <v>0</v>
      </c>
      <c r="V27" s="380">
        <f t="shared" si="3"/>
        <v>0</v>
      </c>
      <c r="W27" s="380">
        <f t="shared" si="3"/>
        <v>0</v>
      </c>
      <c r="X27" s="380">
        <f t="shared" si="3"/>
        <v>0</v>
      </c>
      <c r="Y27" s="380">
        <f t="shared" si="3"/>
        <v>0</v>
      </c>
      <c r="Z27" s="380">
        <f t="shared" si="3"/>
        <v>0</v>
      </c>
      <c r="AA27" s="380">
        <f t="shared" si="3"/>
        <v>0</v>
      </c>
      <c r="AB27" s="380">
        <f t="shared" si="3"/>
        <v>0</v>
      </c>
      <c r="AC27" s="381">
        <f t="shared" si="23"/>
        <v>0</v>
      </c>
      <c r="AD27" s="382">
        <f t="shared" si="4"/>
        <v>0</v>
      </c>
      <c r="AE27" s="380">
        <f t="shared" si="24"/>
        <v>0</v>
      </c>
      <c r="AF27" s="380">
        <f t="shared" si="24"/>
        <v>0</v>
      </c>
      <c r="AG27" s="380">
        <f t="shared" si="24"/>
        <v>0</v>
      </c>
      <c r="AH27" s="380">
        <f t="shared" si="24"/>
        <v>0</v>
      </c>
      <c r="AI27" s="380">
        <f t="shared" si="24"/>
        <v>0</v>
      </c>
      <c r="AJ27" s="380">
        <f t="shared" si="24"/>
        <v>0</v>
      </c>
      <c r="AK27" s="380">
        <f t="shared" si="24"/>
        <v>0</v>
      </c>
      <c r="AL27" s="380">
        <f t="shared" si="24"/>
        <v>0</v>
      </c>
      <c r="AM27" s="380">
        <f t="shared" si="24"/>
        <v>0</v>
      </c>
      <c r="AN27" s="380">
        <f t="shared" si="24"/>
        <v>0</v>
      </c>
      <c r="AO27" s="380">
        <f t="shared" si="24"/>
        <v>0</v>
      </c>
      <c r="AP27" s="381">
        <f t="shared" si="25"/>
        <v>0</v>
      </c>
      <c r="AQ27" s="382">
        <f t="shared" si="6"/>
        <v>0</v>
      </c>
      <c r="AR27" s="380">
        <f t="shared" si="26"/>
        <v>0</v>
      </c>
      <c r="AS27" s="380">
        <f t="shared" si="26"/>
        <v>0</v>
      </c>
      <c r="AT27" s="380">
        <f t="shared" si="26"/>
        <v>0</v>
      </c>
      <c r="AU27" s="380">
        <f t="shared" si="26"/>
        <v>0</v>
      </c>
      <c r="AV27" s="380">
        <f t="shared" si="26"/>
        <v>0</v>
      </c>
      <c r="AW27" s="380">
        <f t="shared" si="26"/>
        <v>0</v>
      </c>
      <c r="AX27" s="380">
        <f t="shared" si="26"/>
        <v>0</v>
      </c>
      <c r="AY27" s="380">
        <f t="shared" si="26"/>
        <v>0</v>
      </c>
      <c r="AZ27" s="380">
        <f t="shared" si="26"/>
        <v>0</v>
      </c>
      <c r="BA27" s="380">
        <f t="shared" si="26"/>
        <v>0</v>
      </c>
      <c r="BB27" s="380">
        <f t="shared" si="26"/>
        <v>0</v>
      </c>
      <c r="BC27" s="381">
        <f t="shared" si="27"/>
        <v>0</v>
      </c>
      <c r="BD27" s="382">
        <f t="shared" si="8"/>
        <v>0</v>
      </c>
      <c r="BE27" s="380">
        <f t="shared" si="28"/>
        <v>0</v>
      </c>
      <c r="BF27" s="380">
        <f t="shared" si="28"/>
        <v>0</v>
      </c>
      <c r="BG27" s="380">
        <f t="shared" si="28"/>
        <v>0</v>
      </c>
      <c r="BH27" s="380">
        <f t="shared" si="28"/>
        <v>0</v>
      </c>
      <c r="BI27" s="380">
        <f t="shared" si="28"/>
        <v>0</v>
      </c>
      <c r="BJ27" s="380">
        <f t="shared" si="28"/>
        <v>0</v>
      </c>
      <c r="BK27" s="380">
        <f t="shared" si="28"/>
        <v>0</v>
      </c>
      <c r="BL27" s="380">
        <f t="shared" si="28"/>
        <v>0</v>
      </c>
      <c r="BM27" s="380">
        <f t="shared" si="28"/>
        <v>0</v>
      </c>
      <c r="BN27" s="380">
        <f t="shared" si="28"/>
        <v>0</v>
      </c>
      <c r="BO27" s="380">
        <f t="shared" si="28"/>
        <v>0</v>
      </c>
      <c r="BP27" s="381">
        <f t="shared" si="29"/>
        <v>0</v>
      </c>
      <c r="BQ27" s="382">
        <f t="shared" si="10"/>
        <v>0</v>
      </c>
      <c r="BR27" s="380">
        <f t="shared" si="30"/>
        <v>0</v>
      </c>
      <c r="BS27" s="380">
        <f t="shared" si="30"/>
        <v>0</v>
      </c>
      <c r="BT27" s="380">
        <f t="shared" si="30"/>
        <v>0</v>
      </c>
      <c r="BU27" s="380">
        <f t="shared" si="30"/>
        <v>0</v>
      </c>
      <c r="BV27" s="380">
        <f t="shared" si="30"/>
        <v>0</v>
      </c>
      <c r="BW27" s="380">
        <f t="shared" si="30"/>
        <v>0</v>
      </c>
      <c r="BX27" s="380">
        <f t="shared" si="30"/>
        <v>0</v>
      </c>
      <c r="BY27" s="380">
        <f t="shared" si="30"/>
        <v>0</v>
      </c>
      <c r="BZ27" s="380">
        <f t="shared" si="30"/>
        <v>0</v>
      </c>
      <c r="CA27" s="380">
        <f t="shared" si="30"/>
        <v>0</v>
      </c>
      <c r="CB27" s="380">
        <f t="shared" si="30"/>
        <v>0</v>
      </c>
      <c r="CC27" s="381">
        <f t="shared" si="31"/>
        <v>0</v>
      </c>
      <c r="CD27" s="382">
        <f t="shared" si="12"/>
        <v>0</v>
      </c>
      <c r="CE27" s="380">
        <f t="shared" si="32"/>
        <v>0</v>
      </c>
      <c r="CF27" s="380">
        <f t="shared" si="32"/>
        <v>0</v>
      </c>
      <c r="CG27" s="380">
        <f t="shared" si="32"/>
        <v>0</v>
      </c>
      <c r="CH27" s="380">
        <f t="shared" si="32"/>
        <v>0</v>
      </c>
      <c r="CI27" s="380">
        <f t="shared" si="32"/>
        <v>0</v>
      </c>
      <c r="CJ27" s="380">
        <f t="shared" si="32"/>
        <v>0</v>
      </c>
      <c r="CK27" s="380">
        <f t="shared" si="32"/>
        <v>0</v>
      </c>
      <c r="CL27" s="380">
        <f t="shared" si="32"/>
        <v>0</v>
      </c>
      <c r="CM27" s="380">
        <f t="shared" si="32"/>
        <v>0</v>
      </c>
      <c r="CN27" s="380">
        <f t="shared" si="32"/>
        <v>0</v>
      </c>
      <c r="CO27" s="380">
        <f t="shared" si="32"/>
        <v>0</v>
      </c>
      <c r="CP27" s="381">
        <f t="shared" si="33"/>
        <v>0</v>
      </c>
      <c r="CQ27" s="382">
        <f t="shared" si="14"/>
        <v>0</v>
      </c>
      <c r="CR27" s="380">
        <f t="shared" si="34"/>
        <v>0</v>
      </c>
      <c r="CS27" s="380">
        <f t="shared" si="34"/>
        <v>0</v>
      </c>
      <c r="CT27" s="380">
        <f t="shared" si="34"/>
        <v>0</v>
      </c>
      <c r="CU27" s="380">
        <f t="shared" si="34"/>
        <v>0</v>
      </c>
      <c r="CV27" s="380">
        <f t="shared" si="34"/>
        <v>0</v>
      </c>
      <c r="CW27" s="380">
        <f t="shared" si="34"/>
        <v>0</v>
      </c>
      <c r="CX27" s="380">
        <f t="shared" si="34"/>
        <v>0</v>
      </c>
      <c r="CY27" s="380">
        <f t="shared" si="34"/>
        <v>0</v>
      </c>
      <c r="CZ27" s="380">
        <f t="shared" si="34"/>
        <v>0</v>
      </c>
      <c r="DA27" s="380">
        <f t="shared" si="34"/>
        <v>0</v>
      </c>
      <c r="DB27" s="380">
        <f t="shared" si="34"/>
        <v>0</v>
      </c>
      <c r="DC27" s="292">
        <f t="shared" si="35"/>
        <v>0</v>
      </c>
      <c r="DE27" s="372">
        <f t="shared" si="16"/>
        <v>0</v>
      </c>
      <c r="DF27" s="373">
        <f t="shared" si="17"/>
        <v>0</v>
      </c>
      <c r="DG27" s="373">
        <f t="shared" si="18"/>
        <v>0</v>
      </c>
      <c r="DH27" s="373">
        <f t="shared" si="19"/>
        <v>0</v>
      </c>
      <c r="DI27" s="373">
        <f t="shared" si="20"/>
        <v>0</v>
      </c>
      <c r="DJ27" s="373">
        <f t="shared" si="40"/>
        <v>0</v>
      </c>
      <c r="DK27" s="374">
        <f t="shared" si="41"/>
        <v>0</v>
      </c>
    </row>
    <row r="28" spans="2:115" ht="16" thickBot="1">
      <c r="C28" s="46">
        <f>SUMIF(C11:C27,"y",J11:J27)</f>
        <v>1</v>
      </c>
      <c r="D28" s="46">
        <f>SUMIF(D11:D27,"y",J11:J27)</f>
        <v>0.72727272727272729</v>
      </c>
      <c r="E28" s="46">
        <f>SUMIF(E11:E27,"y",J11:J27)</f>
        <v>1</v>
      </c>
      <c r="G28" s="293" t="s">
        <v>156</v>
      </c>
      <c r="H28" s="90"/>
      <c r="I28" s="294">
        <f>SUM(I11:I27)</f>
        <v>5500</v>
      </c>
      <c r="J28" s="309">
        <f>SUM(J11:J17)</f>
        <v>1</v>
      </c>
      <c r="K28" s="240"/>
      <c r="L28" s="240"/>
      <c r="M28" s="241"/>
      <c r="N28" s="241">
        <f>SUM(N11:N20)</f>
        <v>324000</v>
      </c>
      <c r="O28" s="241">
        <f>SUM(O11:O20)</f>
        <v>27000</v>
      </c>
      <c r="P28" s="270"/>
      <c r="Q28" s="310">
        <f t="shared" ref="Q28:AB28" si="42">AVERAGEIF(Q11:Q18,"&gt;0")</f>
        <v>61.333333333333336</v>
      </c>
      <c r="R28" s="310">
        <f t="shared" si="42"/>
        <v>61.333333333333336</v>
      </c>
      <c r="S28" s="310">
        <f t="shared" si="42"/>
        <v>61.333333333333336</v>
      </c>
      <c r="T28" s="310">
        <f t="shared" si="42"/>
        <v>61.333333333333336</v>
      </c>
      <c r="U28" s="310">
        <f t="shared" si="42"/>
        <v>61.333333333333336</v>
      </c>
      <c r="V28" s="310">
        <f t="shared" si="42"/>
        <v>61.333333333333336</v>
      </c>
      <c r="W28" s="310">
        <f t="shared" si="42"/>
        <v>61.333333333333336</v>
      </c>
      <c r="X28" s="310">
        <f t="shared" si="42"/>
        <v>61.333333333333336</v>
      </c>
      <c r="Y28" s="310">
        <f t="shared" si="42"/>
        <v>61.333333333333336</v>
      </c>
      <c r="Z28" s="310">
        <f t="shared" si="42"/>
        <v>61.333333333333336</v>
      </c>
      <c r="AA28" s="310">
        <f t="shared" si="42"/>
        <v>61.333333333333336</v>
      </c>
      <c r="AB28" s="310">
        <f t="shared" si="42"/>
        <v>61.333333333333336</v>
      </c>
      <c r="AC28" s="310">
        <f t="shared" ref="AC28:BH28" si="43">AVERAGEIF(AC11:AC18,"&gt;0")</f>
        <v>61.333333333333336</v>
      </c>
      <c r="AD28" s="310">
        <f t="shared" si="43"/>
        <v>63.173333333333325</v>
      </c>
      <c r="AE28" s="310">
        <f t="shared" si="43"/>
        <v>63.173333333333325</v>
      </c>
      <c r="AF28" s="310">
        <f t="shared" si="43"/>
        <v>63.173333333333325</v>
      </c>
      <c r="AG28" s="310">
        <f t="shared" si="43"/>
        <v>63.173333333333325</v>
      </c>
      <c r="AH28" s="310">
        <f t="shared" si="43"/>
        <v>63.173333333333325</v>
      </c>
      <c r="AI28" s="310">
        <f t="shared" si="43"/>
        <v>63.173333333333325</v>
      </c>
      <c r="AJ28" s="310">
        <f t="shared" si="43"/>
        <v>63.173333333333325</v>
      </c>
      <c r="AK28" s="310">
        <f t="shared" si="43"/>
        <v>63.173333333333325</v>
      </c>
      <c r="AL28" s="310">
        <f t="shared" si="43"/>
        <v>63.173333333333325</v>
      </c>
      <c r="AM28" s="310">
        <f t="shared" si="43"/>
        <v>63.173333333333325</v>
      </c>
      <c r="AN28" s="310">
        <f t="shared" si="43"/>
        <v>63.173333333333325</v>
      </c>
      <c r="AO28" s="310">
        <f t="shared" si="43"/>
        <v>63.173333333333325</v>
      </c>
      <c r="AP28" s="310">
        <f t="shared" si="43"/>
        <v>63.173333333333339</v>
      </c>
      <c r="AQ28" s="310">
        <f t="shared" si="43"/>
        <v>65.073066666666662</v>
      </c>
      <c r="AR28" s="310">
        <f t="shared" si="43"/>
        <v>65.073066666666662</v>
      </c>
      <c r="AS28" s="310">
        <f t="shared" si="43"/>
        <v>65.073066666666662</v>
      </c>
      <c r="AT28" s="310">
        <f t="shared" si="43"/>
        <v>65.073066666666662</v>
      </c>
      <c r="AU28" s="310">
        <f t="shared" si="43"/>
        <v>65.073066666666662</v>
      </c>
      <c r="AV28" s="310">
        <f t="shared" si="43"/>
        <v>65.073066666666662</v>
      </c>
      <c r="AW28" s="310">
        <f t="shared" si="43"/>
        <v>65.073066666666662</v>
      </c>
      <c r="AX28" s="310">
        <f t="shared" si="43"/>
        <v>65.073066666666662</v>
      </c>
      <c r="AY28" s="310">
        <f t="shared" si="43"/>
        <v>65.073066666666662</v>
      </c>
      <c r="AZ28" s="310">
        <f t="shared" si="43"/>
        <v>65.073066666666662</v>
      </c>
      <c r="BA28" s="310">
        <f t="shared" si="43"/>
        <v>65.073066666666662</v>
      </c>
      <c r="BB28" s="310">
        <f t="shared" si="43"/>
        <v>65.073066666666662</v>
      </c>
      <c r="BC28" s="310">
        <f t="shared" si="43"/>
        <v>65.073066666666662</v>
      </c>
      <c r="BD28" s="310">
        <f t="shared" si="43"/>
        <v>67.034597333333338</v>
      </c>
      <c r="BE28" s="310">
        <f t="shared" si="43"/>
        <v>67.034597333333338</v>
      </c>
      <c r="BF28" s="310">
        <f t="shared" si="43"/>
        <v>67.034597333333338</v>
      </c>
      <c r="BG28" s="310">
        <f t="shared" si="43"/>
        <v>67.034597333333338</v>
      </c>
      <c r="BH28" s="310">
        <f t="shared" si="43"/>
        <v>67.034597333333338</v>
      </c>
      <c r="BI28" s="310">
        <f t="shared" ref="BI28:CN28" si="44">AVERAGEIF(BI11:BI18,"&gt;0")</f>
        <v>67.034597333333338</v>
      </c>
      <c r="BJ28" s="310">
        <f t="shared" si="44"/>
        <v>67.034597333333338</v>
      </c>
      <c r="BK28" s="310">
        <f t="shared" si="44"/>
        <v>67.034597333333338</v>
      </c>
      <c r="BL28" s="310">
        <f t="shared" si="44"/>
        <v>67.034597333333338</v>
      </c>
      <c r="BM28" s="310">
        <f t="shared" si="44"/>
        <v>67.034597333333338</v>
      </c>
      <c r="BN28" s="310">
        <f t="shared" si="44"/>
        <v>67.034597333333338</v>
      </c>
      <c r="BO28" s="310">
        <f t="shared" si="44"/>
        <v>67.034597333333338</v>
      </c>
      <c r="BP28" s="310">
        <f t="shared" si="44"/>
        <v>67.034597333333338</v>
      </c>
      <c r="BQ28" s="310">
        <f t="shared" si="44"/>
        <v>69.060063946666673</v>
      </c>
      <c r="BR28" s="310">
        <f t="shared" si="44"/>
        <v>69.060063946666673</v>
      </c>
      <c r="BS28" s="310">
        <f t="shared" si="44"/>
        <v>69.060063946666673</v>
      </c>
      <c r="BT28" s="310">
        <f t="shared" si="44"/>
        <v>69.060063946666673</v>
      </c>
      <c r="BU28" s="310">
        <f t="shared" si="44"/>
        <v>69.060063946666673</v>
      </c>
      <c r="BV28" s="310">
        <f t="shared" si="44"/>
        <v>69.060063946666673</v>
      </c>
      <c r="BW28" s="310">
        <f t="shared" si="44"/>
        <v>69.060063946666673</v>
      </c>
      <c r="BX28" s="310">
        <f t="shared" si="44"/>
        <v>69.060063946666673</v>
      </c>
      <c r="BY28" s="310">
        <f t="shared" si="44"/>
        <v>69.060063946666673</v>
      </c>
      <c r="BZ28" s="310">
        <f t="shared" si="44"/>
        <v>69.060063946666673</v>
      </c>
      <c r="CA28" s="310">
        <f t="shared" si="44"/>
        <v>69.060063946666673</v>
      </c>
      <c r="CB28" s="310">
        <f t="shared" si="44"/>
        <v>69.060063946666673</v>
      </c>
      <c r="CC28" s="310">
        <f t="shared" si="44"/>
        <v>69.060063946666659</v>
      </c>
      <c r="CD28" s="310">
        <f t="shared" si="44"/>
        <v>71.151682515733341</v>
      </c>
      <c r="CE28" s="310">
        <f t="shared" si="44"/>
        <v>71.151682515733341</v>
      </c>
      <c r="CF28" s="310">
        <f t="shared" si="44"/>
        <v>71.151682515733341</v>
      </c>
      <c r="CG28" s="310">
        <f t="shared" si="44"/>
        <v>71.151682515733341</v>
      </c>
      <c r="CH28" s="310">
        <f t="shared" si="44"/>
        <v>71.151682515733341</v>
      </c>
      <c r="CI28" s="310">
        <f t="shared" si="44"/>
        <v>71.151682515733341</v>
      </c>
      <c r="CJ28" s="310">
        <f t="shared" si="44"/>
        <v>71.151682515733341</v>
      </c>
      <c r="CK28" s="310">
        <f t="shared" si="44"/>
        <v>71.151682515733341</v>
      </c>
      <c r="CL28" s="310">
        <f t="shared" si="44"/>
        <v>71.151682515733341</v>
      </c>
      <c r="CM28" s="310">
        <f t="shared" si="44"/>
        <v>71.151682515733341</v>
      </c>
      <c r="CN28" s="310">
        <f t="shared" si="44"/>
        <v>71.151682515733341</v>
      </c>
      <c r="CO28" s="310">
        <f t="shared" ref="CO28:DC28" si="45">AVERAGEIF(CO11:CO18,"&gt;0")</f>
        <v>71.151682515733341</v>
      </c>
      <c r="CP28" s="310">
        <f t="shared" si="45"/>
        <v>71.151682515733341</v>
      </c>
      <c r="CQ28" s="310">
        <f t="shared" si="45"/>
        <v>73.311749333690685</v>
      </c>
      <c r="CR28" s="310">
        <f t="shared" si="45"/>
        <v>73.311749333690685</v>
      </c>
      <c r="CS28" s="310">
        <f t="shared" si="45"/>
        <v>73.311749333690685</v>
      </c>
      <c r="CT28" s="310">
        <f t="shared" si="45"/>
        <v>73.311749333690685</v>
      </c>
      <c r="CU28" s="310">
        <f t="shared" si="45"/>
        <v>73.311749333690685</v>
      </c>
      <c r="CV28" s="310">
        <f t="shared" si="45"/>
        <v>73.311749333690685</v>
      </c>
      <c r="CW28" s="310">
        <f t="shared" si="45"/>
        <v>73.311749333690685</v>
      </c>
      <c r="CX28" s="310">
        <f t="shared" si="45"/>
        <v>73.311749333690685</v>
      </c>
      <c r="CY28" s="310">
        <f t="shared" si="45"/>
        <v>73.311749333690685</v>
      </c>
      <c r="CZ28" s="310">
        <f t="shared" si="45"/>
        <v>73.311749333690685</v>
      </c>
      <c r="DA28" s="310">
        <f t="shared" si="45"/>
        <v>73.311749333690685</v>
      </c>
      <c r="DB28" s="310">
        <f t="shared" si="45"/>
        <v>73.311749333690685</v>
      </c>
      <c r="DC28" s="368">
        <f t="shared" si="45"/>
        <v>73.31174933369067</v>
      </c>
      <c r="DE28" s="295">
        <f>SUM(DE11:DE27)</f>
        <v>324000</v>
      </c>
      <c r="DF28" s="116">
        <f t="shared" ref="DF28:DK28" si="46">SUM(DF11:DF27)</f>
        <v>333720</v>
      </c>
      <c r="DG28" s="116">
        <f t="shared" si="46"/>
        <v>343752</v>
      </c>
      <c r="DH28" s="116">
        <f t="shared" si="46"/>
        <v>354106.58399999997</v>
      </c>
      <c r="DI28" s="116">
        <f t="shared" si="46"/>
        <v>364794.71064</v>
      </c>
      <c r="DJ28" s="116">
        <f t="shared" si="46"/>
        <v>375827.72688720003</v>
      </c>
      <c r="DK28" s="30">
        <f t="shared" si="46"/>
        <v>387217.38223500003</v>
      </c>
    </row>
    <row r="29" spans="2:115" ht="15" customHeight="1" thickBot="1">
      <c r="I29" s="311"/>
      <c r="J29" s="312"/>
      <c r="K29" s="313"/>
      <c r="L29" s="313"/>
      <c r="M29" s="314"/>
      <c r="N29" s="314"/>
      <c r="O29" s="314"/>
      <c r="DC29" s="308"/>
      <c r="DE29" s="96"/>
      <c r="DF29" s="96"/>
      <c r="DG29" s="96"/>
      <c r="DH29" s="96"/>
      <c r="DI29" s="96"/>
      <c r="DJ29" s="96"/>
      <c r="DK29" s="96"/>
    </row>
    <row r="30" spans="2:115" ht="16" thickBot="1">
      <c r="B30" s="459" t="s">
        <v>271</v>
      </c>
      <c r="C30" s="460"/>
      <c r="D30" s="461"/>
      <c r="G30" s="424" t="s">
        <v>229</v>
      </c>
      <c r="H30" s="425"/>
      <c r="I30" s="425"/>
      <c r="J30" s="425"/>
      <c r="K30" s="425"/>
      <c r="L30" s="425"/>
      <c r="M30" s="426"/>
      <c r="O30" s="20"/>
      <c r="DD30" s="96"/>
      <c r="DE30" s="96"/>
      <c r="DF30" s="96"/>
      <c r="DG30" s="96"/>
      <c r="DH30" s="96"/>
      <c r="DI30" s="96"/>
      <c r="DJ30" s="96"/>
    </row>
    <row r="31" spans="2:115" ht="16" thickBot="1">
      <c r="B31" s="465" cm="1">
        <f t="array" ref="B31">SUMPRODUCT(IF((N11:N20="")+(B11:B20="")+(F11:F20=""),0, N11:N20 * B11:B20^(1+F11:F20)))</f>
        <v>3472302.0453630956</v>
      </c>
      <c r="C31" s="466"/>
      <c r="D31" s="415"/>
      <c r="E31" s="413"/>
      <c r="F31" s="414"/>
      <c r="G31" s="354" t="s">
        <v>230</v>
      </c>
      <c r="H31" s="355">
        <v>2027</v>
      </c>
      <c r="I31" s="355">
        <v>2028</v>
      </c>
      <c r="J31" s="355">
        <v>2029</v>
      </c>
      <c r="K31" s="355">
        <v>2030</v>
      </c>
      <c r="L31" s="355">
        <v>2031</v>
      </c>
      <c r="M31" s="356">
        <v>2032</v>
      </c>
    </row>
    <row r="32" spans="2:115">
      <c r="G32" s="333" t="s">
        <v>228</v>
      </c>
      <c r="H32" s="358"/>
      <c r="I32" s="389"/>
      <c r="J32" s="389"/>
      <c r="K32" s="389"/>
      <c r="L32" s="389"/>
      <c r="M32" s="390"/>
    </row>
    <row r="33" spans="7:13" ht="16" thickBot="1">
      <c r="G33" s="357" t="s">
        <v>129</v>
      </c>
      <c r="H33" s="391"/>
      <c r="I33" s="391"/>
      <c r="J33" s="391"/>
      <c r="K33" s="391"/>
      <c r="L33" s="391"/>
      <c r="M33" s="392"/>
    </row>
    <row r="34" spans="7:13" ht="16" thickBot="1">
      <c r="G34" s="233" t="s">
        <v>40</v>
      </c>
      <c r="H34" s="359">
        <f>SUM(H32:H33)</f>
        <v>0</v>
      </c>
      <c r="I34" s="123">
        <f t="shared" ref="I34:M34" si="47">SUM(I32:I33)</f>
        <v>0</v>
      </c>
      <c r="J34" s="123">
        <f t="shared" si="47"/>
        <v>0</v>
      </c>
      <c r="K34" s="123">
        <f t="shared" si="47"/>
        <v>0</v>
      </c>
      <c r="L34" s="123">
        <f t="shared" si="47"/>
        <v>0</v>
      </c>
      <c r="M34" s="124">
        <f t="shared" si="47"/>
        <v>0</v>
      </c>
    </row>
  </sheetData>
  <sheetProtection sheet="1" objects="1" scenarios="1" formatCells="0" sort="0" autoFilter="0" pivotTables="0"/>
  <mergeCells count="5">
    <mergeCell ref="G8:O8"/>
    <mergeCell ref="C9:E9"/>
    <mergeCell ref="G30:M30"/>
    <mergeCell ref="B30:D30"/>
    <mergeCell ref="B31:C31"/>
  </mergeCells>
  <phoneticPr fontId="21" type="noConversion"/>
  <pageMargins left="0.7" right="0.7" top="0.75" bottom="0.75" header="0.3" footer="0.3"/>
  <ignoredErrors>
    <ignoredError sqref="M34" formulaRange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442C72-788F-4FF9-9760-F52C81F15E53}">
  <sheetPr codeName="Sheet5">
    <tabColor rgb="FFB4C4C1"/>
  </sheetPr>
  <dimension ref="C1:L55"/>
  <sheetViews>
    <sheetView showGridLines="0" topLeftCell="A33" zoomScaleNormal="100" workbookViewId="0">
      <selection activeCell="J26" sqref="J26"/>
    </sheetView>
  </sheetViews>
  <sheetFormatPr baseColWidth="10" defaultColWidth="8.83203125" defaultRowHeight="15"/>
  <cols>
    <col min="3" max="3" width="24.6640625" bestFit="1" customWidth="1"/>
    <col min="4" max="4" width="14.83203125" bestFit="1" customWidth="1"/>
    <col min="5" max="5" width="14.83203125" customWidth="1"/>
    <col min="6" max="8" width="13.6640625" bestFit="1" customWidth="1"/>
    <col min="9" max="9" width="14.6640625" bestFit="1" customWidth="1"/>
    <col min="10" max="10" width="14.33203125" bestFit="1" customWidth="1"/>
    <col min="11" max="11" width="15.33203125" bestFit="1" customWidth="1"/>
  </cols>
  <sheetData>
    <row r="1" spans="3:8">
      <c r="C1" s="54"/>
      <c r="D1" s="54"/>
      <c r="E1" s="54"/>
    </row>
    <row r="2" spans="3:8" ht="16" thickBot="1"/>
    <row r="3" spans="3:8">
      <c r="C3" s="428" t="s">
        <v>99</v>
      </c>
      <c r="D3" s="467"/>
      <c r="E3" s="467"/>
      <c r="F3" s="429"/>
    </row>
    <row r="4" spans="3:8" ht="16" thickBot="1">
      <c r="C4" s="164"/>
      <c r="D4" s="173" t="s">
        <v>102</v>
      </c>
      <c r="E4" s="173" t="s">
        <v>97</v>
      </c>
      <c r="F4" s="165" t="s">
        <v>98</v>
      </c>
    </row>
    <row r="5" spans="3:8">
      <c r="C5" s="174"/>
      <c r="D5" s="175">
        <f>+'Deal Summary'!$T$10</f>
        <v>46023</v>
      </c>
      <c r="E5" s="175">
        <v>46387</v>
      </c>
      <c r="F5" s="176">
        <f>+F14</f>
        <v>47118</v>
      </c>
      <c r="G5" s="192" t="s">
        <v>70</v>
      </c>
    </row>
    <row r="6" spans="3:8">
      <c r="C6" s="35" t="s">
        <v>71</v>
      </c>
      <c r="D6" s="14">
        <f>-'Deal Summary'!G30</f>
        <v>-611835.92580919713</v>
      </c>
      <c r="E6" s="14"/>
      <c r="F6" s="8"/>
      <c r="G6" s="10"/>
    </row>
    <row r="7" spans="3:8">
      <c r="C7" s="35" t="s">
        <v>72</v>
      </c>
      <c r="D7" s="14"/>
      <c r="E7" s="14"/>
      <c r="F7" s="8">
        <f>-D6</f>
        <v>611835.92580919713</v>
      </c>
      <c r="G7" s="10"/>
    </row>
    <row r="8" spans="3:8">
      <c r="C8" s="35" t="s">
        <v>73</v>
      </c>
      <c r="D8" s="14"/>
      <c r="E8" s="14">
        <f>+E17</f>
        <v>196929.36105337864</v>
      </c>
      <c r="F8" s="8">
        <f t="shared" ref="F8" si="0">+F17</f>
        <v>206260.56105337865</v>
      </c>
      <c r="G8" s="10"/>
    </row>
    <row r="9" spans="3:8">
      <c r="C9" s="44" t="s">
        <v>74</v>
      </c>
      <c r="D9" s="121"/>
      <c r="E9" s="121"/>
      <c r="F9" s="19">
        <f>Proforma!G50</f>
        <v>2700414.8082998809</v>
      </c>
      <c r="G9" s="160"/>
    </row>
    <row r="10" spans="3:8" ht="16" thickBot="1">
      <c r="C10" s="122" t="s">
        <v>75</v>
      </c>
      <c r="D10" s="123">
        <f t="shared" ref="D10:E10" si="1">SUM(D6:D9)</f>
        <v>-611835.92580919713</v>
      </c>
      <c r="E10" s="123">
        <f t="shared" si="1"/>
        <v>196929.36105337864</v>
      </c>
      <c r="F10" s="161">
        <f>SUM(F7:F9)</f>
        <v>3518511.2951624566</v>
      </c>
      <c r="G10" s="193">
        <f>XIRR(D10:F10,D5:F5,0)</f>
        <v>0.90578413085937504</v>
      </c>
    </row>
    <row r="11" spans="3:8" ht="16" thickBot="1"/>
    <row r="12" spans="3:8">
      <c r="C12" s="428" t="s">
        <v>100</v>
      </c>
      <c r="D12" s="467"/>
      <c r="E12" s="467"/>
      <c r="F12" s="467"/>
      <c r="G12" s="429"/>
    </row>
    <row r="13" spans="3:8" ht="16" thickBot="1">
      <c r="C13" s="164"/>
      <c r="D13" s="173" t="s">
        <v>102</v>
      </c>
      <c r="E13" s="173" t="s">
        <v>97</v>
      </c>
      <c r="F13" s="173" t="s">
        <v>98</v>
      </c>
      <c r="G13" s="165" t="s">
        <v>101</v>
      </c>
    </row>
    <row r="14" spans="3:8">
      <c r="C14" s="174"/>
      <c r="D14" s="175">
        <f>+'Deal Summary'!$T$10</f>
        <v>46023</v>
      </c>
      <c r="E14" s="175">
        <v>46387</v>
      </c>
      <c r="F14" s="175">
        <f t="shared" ref="F14:G14" si="2">+F23</f>
        <v>47118</v>
      </c>
      <c r="G14" s="176">
        <f t="shared" si="2"/>
        <v>47483</v>
      </c>
      <c r="H14" s="192" t="s">
        <v>70</v>
      </c>
    </row>
    <row r="15" spans="3:8">
      <c r="C15" s="34" t="s">
        <v>71</v>
      </c>
      <c r="D15" s="14">
        <f>D6</f>
        <v>-611835.92580919713</v>
      </c>
      <c r="E15" s="14"/>
      <c r="F15" s="14"/>
      <c r="G15" s="8"/>
      <c r="H15" s="10"/>
    </row>
    <row r="16" spans="3:8">
      <c r="C16" s="35" t="s">
        <v>72</v>
      </c>
      <c r="D16" s="14"/>
      <c r="E16" s="14"/>
      <c r="F16" s="14"/>
      <c r="G16" s="8">
        <f>-D15</f>
        <v>611835.92580919713</v>
      </c>
      <c r="H16" s="10"/>
    </row>
    <row r="17" spans="3:10">
      <c r="C17" s="35" t="s">
        <v>73</v>
      </c>
      <c r="D17" s="14"/>
      <c r="E17" s="14">
        <f>+E26</f>
        <v>196929.36105337864</v>
      </c>
      <c r="F17" s="14">
        <f t="shared" ref="F17:G17" si="3">+F26</f>
        <v>206260.56105337865</v>
      </c>
      <c r="G17" s="8">
        <f t="shared" si="3"/>
        <v>215891.28105337863</v>
      </c>
      <c r="H17" s="10"/>
    </row>
    <row r="18" spans="3:10">
      <c r="C18" s="44" t="s">
        <v>74</v>
      </c>
      <c r="D18" s="121"/>
      <c r="E18" s="121"/>
      <c r="F18" s="121"/>
      <c r="G18" s="19">
        <f>Proforma!H50</f>
        <v>2868705.4586169836</v>
      </c>
      <c r="H18" s="160"/>
    </row>
    <row r="19" spans="3:10" ht="16" thickBot="1">
      <c r="C19" s="122" t="s">
        <v>75</v>
      </c>
      <c r="D19" s="123">
        <f t="shared" ref="D19:F19" si="4">SUM(D15:D18)</f>
        <v>-611835.92580919713</v>
      </c>
      <c r="E19" s="123">
        <f t="shared" si="4"/>
        <v>196929.36105337864</v>
      </c>
      <c r="F19" s="123">
        <f t="shared" si="4"/>
        <v>206260.56105337865</v>
      </c>
      <c r="G19" s="124">
        <f>SUM(G15:G18)</f>
        <v>3696432.6654795595</v>
      </c>
      <c r="H19" s="193">
        <f>XIRR(D19:G19,D14:G14,0)</f>
        <v>0.69060350585937513</v>
      </c>
    </row>
    <row r="20" spans="3:10" ht="16" thickBot="1"/>
    <row r="21" spans="3:10">
      <c r="C21" s="428" t="s">
        <v>108</v>
      </c>
      <c r="D21" s="467"/>
      <c r="E21" s="467"/>
      <c r="F21" s="467"/>
      <c r="G21" s="467"/>
      <c r="H21" s="429"/>
    </row>
    <row r="22" spans="3:10" ht="16" thickBot="1">
      <c r="C22" s="164"/>
      <c r="D22" s="173" t="s">
        <v>102</v>
      </c>
      <c r="E22" s="173" t="s">
        <v>97</v>
      </c>
      <c r="F22" s="173" t="s">
        <v>98</v>
      </c>
      <c r="G22" s="173" t="s">
        <v>101</v>
      </c>
      <c r="H22" s="177" t="s">
        <v>109</v>
      </c>
    </row>
    <row r="23" spans="3:10">
      <c r="C23" s="174"/>
      <c r="D23" s="175">
        <f>+'Deal Summary'!$T$10</f>
        <v>46023</v>
      </c>
      <c r="E23" s="175">
        <v>46387</v>
      </c>
      <c r="F23" s="175">
        <v>47118</v>
      </c>
      <c r="G23" s="175">
        <v>47483</v>
      </c>
      <c r="H23" s="176">
        <v>47848</v>
      </c>
      <c r="I23" s="192" t="s">
        <v>70</v>
      </c>
    </row>
    <row r="24" spans="3:10">
      <c r="C24" s="34" t="s">
        <v>71</v>
      </c>
      <c r="D24" s="14">
        <f>D15</f>
        <v>-611835.92580919713</v>
      </c>
      <c r="E24" s="14"/>
      <c r="F24" s="14"/>
      <c r="G24" s="14"/>
      <c r="H24" s="8"/>
      <c r="I24" s="10"/>
    </row>
    <row r="25" spans="3:10">
      <c r="C25" s="35" t="s">
        <v>72</v>
      </c>
      <c r="D25" s="14"/>
      <c r="E25" s="14"/>
      <c r="F25" s="14"/>
      <c r="G25" s="14"/>
      <c r="H25" s="8">
        <f>-D24</f>
        <v>611835.92580919713</v>
      </c>
      <c r="I25" s="10"/>
    </row>
    <row r="26" spans="3:10">
      <c r="C26" s="35" t="s">
        <v>73</v>
      </c>
      <c r="D26" s="33"/>
      <c r="E26" s="33">
        <f>E35</f>
        <v>196929.36105337864</v>
      </c>
      <c r="F26" s="33">
        <f t="shared" ref="F26:H26" si="5">F35</f>
        <v>206260.56105337865</v>
      </c>
      <c r="G26" s="33">
        <f t="shared" si="5"/>
        <v>215891.28105337863</v>
      </c>
      <c r="H26" s="15">
        <f t="shared" si="5"/>
        <v>225831.68169337863</v>
      </c>
      <c r="I26" s="10"/>
    </row>
    <row r="27" spans="3:10">
      <c r="C27" s="44" t="s">
        <v>74</v>
      </c>
      <c r="D27" s="121"/>
      <c r="E27" s="121"/>
      <c r="F27" s="121"/>
      <c r="G27" s="121"/>
      <c r="H27" s="19">
        <f>Proforma!I50</f>
        <v>3043245.5865359036</v>
      </c>
      <c r="I27" s="160"/>
    </row>
    <row r="28" spans="3:10" ht="16" thickBot="1">
      <c r="C28" s="122" t="s">
        <v>75</v>
      </c>
      <c r="D28" s="123">
        <f t="shared" ref="D28:H28" si="6">SUM(D24:D27)</f>
        <v>-611835.92580919713</v>
      </c>
      <c r="E28" s="123">
        <f t="shared" si="6"/>
        <v>196929.36105337864</v>
      </c>
      <c r="F28" s="123">
        <f t="shared" si="6"/>
        <v>206260.56105337865</v>
      </c>
      <c r="G28" s="123">
        <f t="shared" si="6"/>
        <v>215891.28105337863</v>
      </c>
      <c r="H28" s="124">
        <f t="shared" si="6"/>
        <v>3880913.1940384796</v>
      </c>
      <c r="I28" s="193">
        <f>XIRR(D28:H28,D23:H23,0)</f>
        <v>0.57608350585937496</v>
      </c>
    </row>
    <row r="29" spans="3:10" ht="16" thickBot="1"/>
    <row r="30" spans="3:10">
      <c r="C30" s="428" t="s">
        <v>198</v>
      </c>
      <c r="D30" s="467"/>
      <c r="E30" s="467"/>
      <c r="F30" s="467"/>
      <c r="G30" s="467"/>
      <c r="H30" s="467"/>
      <c r="I30" s="429"/>
    </row>
    <row r="31" spans="3:10" ht="16" thickBot="1">
      <c r="C31" s="164"/>
      <c r="D31" s="173" t="s">
        <v>102</v>
      </c>
      <c r="E31" s="173" t="s">
        <v>97</v>
      </c>
      <c r="F31" s="173" t="s">
        <v>98</v>
      </c>
      <c r="G31" s="173" t="s">
        <v>101</v>
      </c>
      <c r="H31" s="173" t="s">
        <v>109</v>
      </c>
      <c r="I31" s="173" t="s">
        <v>196</v>
      </c>
    </row>
    <row r="32" spans="3:10">
      <c r="C32" s="174"/>
      <c r="D32" s="175">
        <f>+'Deal Summary'!$T$10</f>
        <v>46023</v>
      </c>
      <c r="E32" s="175">
        <v>46387</v>
      </c>
      <c r="F32" s="175">
        <v>47118</v>
      </c>
      <c r="G32" s="175">
        <v>47483</v>
      </c>
      <c r="H32" s="175">
        <v>47848</v>
      </c>
      <c r="I32" s="175">
        <v>48213</v>
      </c>
      <c r="J32" s="192" t="s">
        <v>70</v>
      </c>
    </row>
    <row r="33" spans="3:11">
      <c r="C33" s="34" t="s">
        <v>71</v>
      </c>
      <c r="D33" s="14">
        <f>D24</f>
        <v>-611835.92580919713</v>
      </c>
      <c r="E33" s="14"/>
      <c r="F33" s="14"/>
      <c r="G33" s="14"/>
      <c r="H33" s="14"/>
      <c r="I33" s="8"/>
      <c r="J33" s="10"/>
    </row>
    <row r="34" spans="3:11">
      <c r="C34" s="35" t="s">
        <v>72</v>
      </c>
      <c r="D34" s="14"/>
      <c r="E34" s="14"/>
      <c r="F34" s="14"/>
      <c r="G34" s="14"/>
      <c r="H34" s="14"/>
      <c r="I34" s="8">
        <f>-D33</f>
        <v>611835.92580919713</v>
      </c>
      <c r="J34" s="10"/>
    </row>
    <row r="35" spans="3:11">
      <c r="C35" s="35" t="s">
        <v>73</v>
      </c>
      <c r="D35" s="33"/>
      <c r="E35" s="33">
        <f>Proforma!F24</f>
        <v>196929.36105337864</v>
      </c>
      <c r="F35" s="33">
        <f>Proforma!G24</f>
        <v>206260.56105337865</v>
      </c>
      <c r="G35" s="33">
        <f>Proforma!H24</f>
        <v>215891.28105337863</v>
      </c>
      <c r="H35" s="33">
        <f>Proforma!I24</f>
        <v>225831.68169337863</v>
      </c>
      <c r="I35" s="15">
        <f>Proforma!J24</f>
        <v>236092.28326777866</v>
      </c>
      <c r="J35" s="10"/>
    </row>
    <row r="36" spans="3:11">
      <c r="C36" s="44" t="s">
        <v>74</v>
      </c>
      <c r="D36" s="121"/>
      <c r="E36" s="121"/>
      <c r="F36" s="121"/>
      <c r="G36" s="121"/>
      <c r="H36" s="121"/>
      <c r="I36" s="19">
        <f>Proforma!J50</f>
        <v>3224298.3548846273</v>
      </c>
      <c r="J36" s="160"/>
    </row>
    <row r="37" spans="3:11" ht="16" thickBot="1">
      <c r="C37" s="122" t="s">
        <v>75</v>
      </c>
      <c r="D37" s="123">
        <f t="shared" ref="D37:I37" si="7">SUM(D33:D36)</f>
        <v>-611835.92580919713</v>
      </c>
      <c r="E37" s="123">
        <f t="shared" si="7"/>
        <v>196929.36105337864</v>
      </c>
      <c r="F37" s="123">
        <f t="shared" si="7"/>
        <v>206260.56105337865</v>
      </c>
      <c r="G37" s="123">
        <f t="shared" si="7"/>
        <v>215891.28105337863</v>
      </c>
      <c r="H37" s="123">
        <f t="shared" si="7"/>
        <v>225831.68169337863</v>
      </c>
      <c r="I37" s="124">
        <f t="shared" si="7"/>
        <v>4072226.5639616032</v>
      </c>
      <c r="J37" s="193">
        <f>XIRR(D37:I37,D32:I32,0)</f>
        <v>0.50579374023437507</v>
      </c>
    </row>
    <row r="38" spans="3:11" ht="16" thickBot="1"/>
    <row r="39" spans="3:11">
      <c r="C39" s="428" t="s">
        <v>199</v>
      </c>
      <c r="D39" s="467"/>
      <c r="E39" s="467"/>
      <c r="F39" s="467"/>
      <c r="G39" s="467"/>
      <c r="H39" s="467"/>
      <c r="I39" s="467"/>
      <c r="J39" s="429"/>
    </row>
    <row r="40" spans="3:11" ht="16" thickBot="1">
      <c r="C40" s="164"/>
      <c r="D40" s="173" t="s">
        <v>102</v>
      </c>
      <c r="E40" s="173" t="s">
        <v>97</v>
      </c>
      <c r="F40" s="173" t="s">
        <v>98</v>
      </c>
      <c r="G40" s="173" t="s">
        <v>101</v>
      </c>
      <c r="H40" s="173" t="s">
        <v>109</v>
      </c>
      <c r="I40" s="173" t="s">
        <v>196</v>
      </c>
      <c r="J40" s="177" t="s">
        <v>197</v>
      </c>
    </row>
    <row r="41" spans="3:11">
      <c r="C41" s="174"/>
      <c r="D41" s="175">
        <f>+'Deal Summary'!$T$10</f>
        <v>46023</v>
      </c>
      <c r="E41" s="175">
        <v>46387</v>
      </c>
      <c r="F41" s="175">
        <v>47118</v>
      </c>
      <c r="G41" s="175">
        <v>47483</v>
      </c>
      <c r="H41" s="175">
        <v>47848</v>
      </c>
      <c r="I41" s="175">
        <v>48213</v>
      </c>
      <c r="J41" s="176">
        <v>48579</v>
      </c>
      <c r="K41" s="192" t="s">
        <v>70</v>
      </c>
    </row>
    <row r="42" spans="3:11">
      <c r="C42" s="34" t="s">
        <v>71</v>
      </c>
      <c r="D42" s="14">
        <f>D33</f>
        <v>-611835.92580919713</v>
      </c>
      <c r="E42" s="14"/>
      <c r="F42" s="14"/>
      <c r="G42" s="14"/>
      <c r="H42" s="14"/>
      <c r="I42" s="14"/>
      <c r="J42" s="8"/>
      <c r="K42" s="10"/>
    </row>
    <row r="43" spans="3:11">
      <c r="C43" s="35" t="s">
        <v>72</v>
      </c>
      <c r="D43" s="14"/>
      <c r="E43" s="14"/>
      <c r="F43" s="14"/>
      <c r="G43" s="14"/>
      <c r="H43" s="14"/>
      <c r="I43" s="14"/>
      <c r="J43" s="8">
        <f>-D42</f>
        <v>611835.92580919713</v>
      </c>
      <c r="K43" s="10"/>
    </row>
    <row r="44" spans="3:11">
      <c r="C44" s="35" t="s">
        <v>73</v>
      </c>
      <c r="D44" s="33"/>
      <c r="E44" s="33">
        <f>Proforma!F24</f>
        <v>196929.36105337864</v>
      </c>
      <c r="F44" s="33">
        <f>Proforma!G24</f>
        <v>206260.56105337865</v>
      </c>
      <c r="G44" s="33">
        <f>Proforma!H24</f>
        <v>215891.28105337863</v>
      </c>
      <c r="H44" s="33">
        <f>Proforma!I24</f>
        <v>225831.68169337863</v>
      </c>
      <c r="I44" s="33">
        <f>Proforma!J24</f>
        <v>236092.28326777866</v>
      </c>
      <c r="J44" s="15">
        <f>Proforma!K24</f>
        <v>246683.97886509067</v>
      </c>
      <c r="K44" s="10"/>
    </row>
    <row r="45" spans="3:11">
      <c r="C45" s="44" t="s">
        <v>74</v>
      </c>
      <c r="D45" s="121"/>
      <c r="E45" s="121"/>
      <c r="F45" s="121"/>
      <c r="G45" s="121"/>
      <c r="H45" s="121"/>
      <c r="I45" s="121"/>
      <c r="J45" s="19">
        <f>Proforma!K50</f>
        <v>3412139.3653755998</v>
      </c>
      <c r="K45" s="160"/>
    </row>
    <row r="46" spans="3:11" ht="16" thickBot="1">
      <c r="C46" s="122" t="s">
        <v>75</v>
      </c>
      <c r="D46" s="123">
        <f t="shared" ref="D46:I46" si="8">SUM(D42:D45)</f>
        <v>-611835.92580919713</v>
      </c>
      <c r="E46" s="123">
        <f t="shared" si="8"/>
        <v>196929.36105337864</v>
      </c>
      <c r="F46" s="123">
        <f t="shared" si="8"/>
        <v>206260.56105337865</v>
      </c>
      <c r="G46" s="123">
        <f t="shared" si="8"/>
        <v>215891.28105337863</v>
      </c>
      <c r="H46" s="123">
        <f t="shared" si="8"/>
        <v>225831.68169337863</v>
      </c>
      <c r="I46" s="123">
        <f t="shared" si="8"/>
        <v>236092.28326777866</v>
      </c>
      <c r="J46" s="124">
        <f t="shared" ref="J46" si="9">SUM(J42:J45)</f>
        <v>4270659.2700498877</v>
      </c>
      <c r="K46" s="193">
        <f>XIRR(D46:J46,D41:J41,0)</f>
        <v>0.45856892089843759</v>
      </c>
    </row>
    <row r="47" spans="3:11" ht="16" thickBot="1"/>
    <row r="48" spans="3:11">
      <c r="C48" s="428" t="s">
        <v>199</v>
      </c>
      <c r="D48" s="467"/>
      <c r="E48" s="467"/>
      <c r="F48" s="467"/>
      <c r="G48" s="467"/>
      <c r="H48" s="467"/>
      <c r="I48" s="467"/>
      <c r="J48" s="467"/>
      <c r="K48" s="429"/>
    </row>
    <row r="49" spans="3:12" ht="16" thickBot="1">
      <c r="C49" s="164"/>
      <c r="D49" s="173" t="s">
        <v>102</v>
      </c>
      <c r="E49" s="173" t="s">
        <v>97</v>
      </c>
      <c r="F49" s="173" t="s">
        <v>98</v>
      </c>
      <c r="G49" s="173" t="s">
        <v>101</v>
      </c>
      <c r="H49" s="173" t="s">
        <v>109</v>
      </c>
      <c r="I49" s="173" t="s">
        <v>196</v>
      </c>
      <c r="J49" s="173" t="s">
        <v>197</v>
      </c>
      <c r="K49" s="165" t="s">
        <v>232</v>
      </c>
    </row>
    <row r="50" spans="3:12">
      <c r="C50" s="174"/>
      <c r="D50" s="175">
        <f>+'Deal Summary'!$T$10</f>
        <v>46023</v>
      </c>
      <c r="E50" s="175">
        <v>46387</v>
      </c>
      <c r="F50" s="175">
        <v>47118</v>
      </c>
      <c r="G50" s="175">
        <v>47483</v>
      </c>
      <c r="H50" s="175">
        <v>47848</v>
      </c>
      <c r="I50" s="175">
        <v>48213</v>
      </c>
      <c r="J50" s="175">
        <v>48579</v>
      </c>
      <c r="K50" s="176">
        <v>48944</v>
      </c>
      <c r="L50" s="192" t="s">
        <v>70</v>
      </c>
    </row>
    <row r="51" spans="3:12">
      <c r="C51" s="34" t="s">
        <v>71</v>
      </c>
      <c r="D51" s="14">
        <f>D42</f>
        <v>-611835.92580919713</v>
      </c>
      <c r="E51" s="14"/>
      <c r="F51" s="14"/>
      <c r="G51" s="14"/>
      <c r="H51" s="14"/>
      <c r="I51" s="14"/>
      <c r="J51" s="14"/>
      <c r="K51" s="8"/>
      <c r="L51" s="10"/>
    </row>
    <row r="52" spans="3:12">
      <c r="C52" s="35" t="s">
        <v>72</v>
      </c>
      <c r="D52" s="14"/>
      <c r="E52" s="14"/>
      <c r="F52" s="14"/>
      <c r="G52" s="14"/>
      <c r="H52" s="14"/>
      <c r="I52" s="14"/>
      <c r="J52" s="14"/>
      <c r="K52" s="8">
        <f>-D51</f>
        <v>611835.92580919713</v>
      </c>
      <c r="L52" s="10"/>
    </row>
    <row r="53" spans="3:12">
      <c r="C53" s="35" t="s">
        <v>73</v>
      </c>
      <c r="D53" s="33"/>
      <c r="E53" s="33">
        <f>Proforma!F24</f>
        <v>196929.36105337864</v>
      </c>
      <c r="F53" s="33">
        <f>Proforma!G24</f>
        <v>206260.56105337865</v>
      </c>
      <c r="G53" s="33">
        <f>Proforma!H24</f>
        <v>215891.28105337863</v>
      </c>
      <c r="H53" s="33">
        <f>Proforma!I24</f>
        <v>225831.68169337863</v>
      </c>
      <c r="I53" s="33">
        <f>Proforma!J24</f>
        <v>236092.28326777866</v>
      </c>
      <c r="J53" s="33">
        <f>Proforma!K24</f>
        <v>246683.97886509067</v>
      </c>
      <c r="K53" s="15">
        <f>Proforma!L24</f>
        <v>257618.04799897867</v>
      </c>
      <c r="L53" s="10"/>
    </row>
    <row r="54" spans="3:12">
      <c r="C54" s="44" t="s">
        <v>74</v>
      </c>
      <c r="D54" s="121"/>
      <c r="E54" s="121"/>
      <c r="F54" s="121"/>
      <c r="G54" s="121"/>
      <c r="H54" s="121"/>
      <c r="I54" s="121"/>
      <c r="J54" s="121"/>
      <c r="K54" s="19">
        <f>Proforma!L50</f>
        <v>3607057.3058689767</v>
      </c>
      <c r="L54" s="160"/>
    </row>
    <row r="55" spans="3:12" ht="16" thickBot="1">
      <c r="C55" s="122" t="s">
        <v>75</v>
      </c>
      <c r="D55" s="123">
        <f t="shared" ref="D55:K55" si="10">SUM(D51:D54)</f>
        <v>-611835.92580919713</v>
      </c>
      <c r="E55" s="123">
        <f t="shared" si="10"/>
        <v>196929.36105337864</v>
      </c>
      <c r="F55" s="123">
        <f t="shared" si="10"/>
        <v>206260.56105337865</v>
      </c>
      <c r="G55" s="123">
        <f t="shared" si="10"/>
        <v>215891.28105337863</v>
      </c>
      <c r="H55" s="123">
        <f t="shared" si="10"/>
        <v>225831.68169337863</v>
      </c>
      <c r="I55" s="123">
        <f t="shared" si="10"/>
        <v>236092.28326777866</v>
      </c>
      <c r="J55" s="123">
        <f t="shared" si="10"/>
        <v>246683.97886509067</v>
      </c>
      <c r="K55" s="124">
        <f t="shared" si="10"/>
        <v>4476511.2796771526</v>
      </c>
      <c r="L55" s="193">
        <f>XIRR(D55:K55,D50:K50,0)</f>
        <v>0.42519904785156271</v>
      </c>
    </row>
  </sheetData>
  <sheetProtection sheet="1" objects="1" scenarios="1" formatCells="0" sort="0" autoFilter="0" pivotTables="0"/>
  <mergeCells count="6">
    <mergeCell ref="C48:K48"/>
    <mergeCell ref="C39:J39"/>
    <mergeCell ref="C3:F3"/>
    <mergeCell ref="C12:G12"/>
    <mergeCell ref="C21:H21"/>
    <mergeCell ref="C30:I30"/>
  </mergeCells>
  <phoneticPr fontId="2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5BD612-14B4-49DB-8A94-EEDF3F94C5FF}">
  <sheetPr codeName="Sheet6">
    <tabColor rgb="FFB4C4C1"/>
  </sheetPr>
  <dimension ref="B1:R376"/>
  <sheetViews>
    <sheetView showGridLines="0" zoomScale="115" zoomScaleNormal="80" workbookViewId="0">
      <selection activeCell="J16" sqref="J16"/>
    </sheetView>
  </sheetViews>
  <sheetFormatPr baseColWidth="10" defaultColWidth="8.83203125" defaultRowHeight="15"/>
  <cols>
    <col min="1" max="1" width="2.6640625" customWidth="1"/>
    <col min="2" max="2" width="30.1640625" bestFit="1" customWidth="1"/>
    <col min="3" max="4" width="19.1640625" bestFit="1" customWidth="1"/>
    <col min="5" max="6" width="17.5" bestFit="1" customWidth="1"/>
    <col min="7" max="7" width="17.1640625" bestFit="1" customWidth="1"/>
    <col min="8" max="8" width="21.6640625" customWidth="1"/>
    <col min="9" max="9" width="14.33203125" bestFit="1" customWidth="1"/>
    <col min="10" max="10" width="23.5" bestFit="1" customWidth="1"/>
    <col min="11" max="11" width="5" customWidth="1"/>
    <col min="12" max="12" width="12.33203125" bestFit="1" customWidth="1"/>
    <col min="13" max="13" width="10.1640625" bestFit="1" customWidth="1"/>
    <col min="14" max="14" width="14.33203125" bestFit="1" customWidth="1"/>
    <col min="16" max="16" width="10.1640625" bestFit="1" customWidth="1"/>
    <col min="18" max="18" width="11.5" bestFit="1" customWidth="1"/>
  </cols>
  <sheetData>
    <row r="1" spans="2:9">
      <c r="B1" s="51"/>
    </row>
    <row r="2" spans="2:9">
      <c r="B2" s="51"/>
    </row>
    <row r="3" spans="2:9" ht="16" thickBot="1"/>
    <row r="4" spans="2:9">
      <c r="B4" s="428" t="s">
        <v>76</v>
      </c>
      <c r="C4" s="429"/>
      <c r="E4" s="428" t="s">
        <v>2</v>
      </c>
      <c r="F4" s="429"/>
      <c r="H4" s="185" t="s">
        <v>26</v>
      </c>
    </row>
    <row r="5" spans="2:9" ht="16" thickBot="1">
      <c r="B5" s="183" t="s">
        <v>77</v>
      </c>
      <c r="C5" s="129">
        <f>+'Deal Summary'!G29</f>
        <v>1427617.16022146</v>
      </c>
      <c r="E5" s="183" t="s">
        <v>78</v>
      </c>
      <c r="F5" s="129">
        <f>+'Deal Summary'!D32</f>
        <v>2039453.0860306572</v>
      </c>
      <c r="H5" s="265">
        <f>(('Deal Summary'!D9+'Deal Summary'!D27)*Financing!C6*('Deal Summary'!T37/12))+(('Deal Summary'!D10+'Deal Summary'!D11+'Deal Summary'!D12+'Deal Summary'!D30)*Financing!C6*('Deal Summary'!T38/12)*0.5)</f>
        <v>110898.29428431272</v>
      </c>
    </row>
    <row r="6" spans="2:9" ht="16" thickBot="1">
      <c r="B6" s="183" t="s">
        <v>11</v>
      </c>
      <c r="C6" s="178">
        <f>'Deal Summary'!T33</f>
        <v>6.25E-2</v>
      </c>
      <c r="E6" s="183" t="s">
        <v>7</v>
      </c>
      <c r="F6" s="178">
        <f>'Deal Summary'!T35</f>
        <v>0.7</v>
      </c>
    </row>
    <row r="7" spans="2:9">
      <c r="B7" s="183" t="s">
        <v>79</v>
      </c>
      <c r="C7" s="179">
        <f>'Deal Summary'!T34</f>
        <v>25</v>
      </c>
      <c r="E7" s="183" t="s">
        <v>80</v>
      </c>
      <c r="F7" s="129">
        <f>F5*(100%-F6)</f>
        <v>611835.92580919724</v>
      </c>
      <c r="H7" s="185" t="s">
        <v>114</v>
      </c>
      <c r="I7" s="14"/>
    </row>
    <row r="8" spans="2:9" ht="16" thickBot="1">
      <c r="B8" s="183" t="s">
        <v>81</v>
      </c>
      <c r="C8" s="180">
        <f>'Deal Summary'!T37</f>
        <v>12</v>
      </c>
      <c r="E8" s="184" t="s">
        <v>82</v>
      </c>
      <c r="F8" s="134">
        <f>F5-F7</f>
        <v>1427617.1602214598</v>
      </c>
      <c r="H8" s="265">
        <f>C5*'Deal Summary'!T36</f>
        <v>14276.171602214601</v>
      </c>
    </row>
    <row r="9" spans="2:9">
      <c r="B9" s="183" t="s">
        <v>83</v>
      </c>
      <c r="C9" s="135">
        <f>(C7*12)</f>
        <v>300</v>
      </c>
    </row>
    <row r="10" spans="2:9">
      <c r="B10" s="183" t="s">
        <v>84</v>
      </c>
      <c r="C10" s="135">
        <f>C8+C9</f>
        <v>312</v>
      </c>
    </row>
    <row r="11" spans="2:9">
      <c r="B11" s="183" t="s">
        <v>85</v>
      </c>
      <c r="C11" s="129">
        <f>PMT(C6/12,$C$7*12,$C$5,0,0)*-1</f>
        <v>9417.5532455517805</v>
      </c>
    </row>
    <row r="12" spans="2:9" ht="16" thickBot="1">
      <c r="B12" s="184" t="s">
        <v>86</v>
      </c>
      <c r="C12" s="134">
        <f>C11*12</f>
        <v>113010.63894662136</v>
      </c>
    </row>
    <row r="13" spans="2:9" ht="16" thickBot="1">
      <c r="B13" s="184" t="s">
        <v>233</v>
      </c>
      <c r="C13" s="367">
        <f>(C6*C5)/12</f>
        <v>7435.5060428201041</v>
      </c>
    </row>
    <row r="14" spans="2:9" ht="16" thickBot="1">
      <c r="B14" s="104"/>
      <c r="D14" s="468" t="s">
        <v>87</v>
      </c>
      <c r="E14" s="468"/>
      <c r="F14" s="468"/>
    </row>
    <row r="15" spans="2:9">
      <c r="B15" s="5" t="s">
        <v>88</v>
      </c>
      <c r="C15" s="182" t="s">
        <v>89</v>
      </c>
      <c r="D15" s="182" t="s">
        <v>90</v>
      </c>
      <c r="E15" s="182" t="s">
        <v>91</v>
      </c>
      <c r="F15" s="182" t="s">
        <v>92</v>
      </c>
      <c r="G15" s="182" t="s">
        <v>8</v>
      </c>
      <c r="H15" s="181" t="s">
        <v>93</v>
      </c>
    </row>
    <row r="16" spans="2:9">
      <c r="B16" s="39">
        <v>0</v>
      </c>
      <c r="C16" s="57">
        <v>0</v>
      </c>
      <c r="D16" s="143"/>
      <c r="E16" s="143"/>
      <c r="F16" s="143"/>
      <c r="G16" s="143"/>
      <c r="H16" s="144">
        <f>C5</f>
        <v>1427617.16022146</v>
      </c>
      <c r="I16" s="2"/>
    </row>
    <row r="17" spans="2:18">
      <c r="B17" s="39"/>
      <c r="C17" s="57">
        <v>1</v>
      </c>
      <c r="D17" s="143">
        <f>H16</f>
        <v>1427617.16022146</v>
      </c>
      <c r="E17" s="143">
        <f>IF(C17&gt;$C$10,0,IF(C17&lt;=$C$8,F17,-PMT($C$6/12,$C$9,$D$17,0,0)))</f>
        <v>7435.5060428201041</v>
      </c>
      <c r="F17" s="143">
        <f>IF(C17&gt;$C$10,0,($C$6/12)*D17)</f>
        <v>7435.5060428201041</v>
      </c>
      <c r="G17" s="143">
        <f t="shared" ref="G17:G80" si="0">E17-F17</f>
        <v>0</v>
      </c>
      <c r="H17" s="144">
        <f t="shared" ref="H17:H80" si="1">D17-G17</f>
        <v>1427617.16022146</v>
      </c>
      <c r="I17" s="21"/>
      <c r="L17" s="21"/>
      <c r="M17" s="145"/>
      <c r="N17" s="2"/>
      <c r="P17" s="145"/>
    </row>
    <row r="18" spans="2:18">
      <c r="B18" s="39"/>
      <c r="C18" s="57">
        <v>2</v>
      </c>
      <c r="D18" s="143">
        <f>H17</f>
        <v>1427617.16022146</v>
      </c>
      <c r="E18" s="143">
        <f>IF(C18&gt;$C$10,0,IF(C18&lt;=$C$8,F18,-PMT($C$6/12,$C$9,$C$5,0,0)))</f>
        <v>7435.5060428201041</v>
      </c>
      <c r="F18" s="143">
        <f t="shared" ref="F18:F81" si="2">IF(C18&gt;$C$10,0,($C$6/12)*H17)</f>
        <v>7435.5060428201041</v>
      </c>
      <c r="G18" s="143">
        <f t="shared" si="0"/>
        <v>0</v>
      </c>
      <c r="H18" s="144">
        <f t="shared" si="1"/>
        <v>1427617.16022146</v>
      </c>
      <c r="I18" s="21"/>
      <c r="L18" s="21"/>
      <c r="M18" s="145"/>
      <c r="N18" s="2"/>
      <c r="P18" s="145"/>
    </row>
    <row r="19" spans="2:18">
      <c r="B19" s="39"/>
      <c r="C19" s="57">
        <v>3</v>
      </c>
      <c r="D19" s="143">
        <f>H18</f>
        <v>1427617.16022146</v>
      </c>
      <c r="E19" s="143">
        <f>IF(C19&gt;$C$10,0,IF(C19&lt;=$C$8,F19,-PMT($C$6/12,$C$9,$C$5,0,0)))</f>
        <v>7435.5060428201041</v>
      </c>
      <c r="F19" s="143">
        <f t="shared" si="2"/>
        <v>7435.5060428201041</v>
      </c>
      <c r="G19" s="143">
        <f t="shared" si="0"/>
        <v>0</v>
      </c>
      <c r="H19" s="144">
        <f t="shared" si="1"/>
        <v>1427617.16022146</v>
      </c>
      <c r="J19" s="2"/>
      <c r="K19" s="145"/>
      <c r="L19" s="21"/>
      <c r="M19" s="145"/>
      <c r="N19" s="2"/>
      <c r="P19" s="145"/>
    </row>
    <row r="20" spans="2:18">
      <c r="B20" s="39"/>
      <c r="C20" s="57">
        <v>4</v>
      </c>
      <c r="D20" s="143">
        <f>H19</f>
        <v>1427617.16022146</v>
      </c>
      <c r="E20" s="143">
        <f>IF(C20&gt;$C$10,0,IF(C20&lt;=$C$8,F20,-PMT($C$6/12,$C$9,$D$17,0,0)))</f>
        <v>7435.5060428201041</v>
      </c>
      <c r="F20" s="143">
        <f t="shared" si="2"/>
        <v>7435.5060428201041</v>
      </c>
      <c r="G20" s="143">
        <f t="shared" si="0"/>
        <v>0</v>
      </c>
      <c r="H20" s="144">
        <f t="shared" si="1"/>
        <v>1427617.16022146</v>
      </c>
      <c r="J20" s="2"/>
      <c r="K20" s="145"/>
      <c r="L20" s="21"/>
      <c r="M20" s="145"/>
      <c r="N20" s="2"/>
      <c r="P20" s="145"/>
      <c r="R20" s="21"/>
    </row>
    <row r="21" spans="2:18">
      <c r="B21" s="39"/>
      <c r="C21" s="57">
        <v>5</v>
      </c>
      <c r="D21" s="143">
        <f>H20</f>
        <v>1427617.16022146</v>
      </c>
      <c r="E21" s="143">
        <f t="shared" ref="E21:E84" si="3">IF(C21&gt;$C$10,0,IF(C21&lt;=$C$8,F21,-PMT($C$6/12,$C$9,$C$5,0,0)))</f>
        <v>7435.5060428201041</v>
      </c>
      <c r="F21" s="143">
        <f t="shared" si="2"/>
        <v>7435.5060428201041</v>
      </c>
      <c r="G21" s="143">
        <f t="shared" si="0"/>
        <v>0</v>
      </c>
      <c r="H21" s="144">
        <f t="shared" si="1"/>
        <v>1427617.16022146</v>
      </c>
      <c r="J21" s="2"/>
      <c r="K21" s="145"/>
      <c r="L21" s="21"/>
      <c r="M21" s="145"/>
      <c r="N21" s="2"/>
      <c r="P21" s="145"/>
    </row>
    <row r="22" spans="2:18">
      <c r="B22" s="39"/>
      <c r="C22" s="57">
        <v>6</v>
      </c>
      <c r="D22" s="143">
        <f t="shared" ref="D22:D85" si="4">IF(C22&gt;$C$10,0,H21)</f>
        <v>1427617.16022146</v>
      </c>
      <c r="E22" s="143">
        <f t="shared" si="3"/>
        <v>7435.5060428201041</v>
      </c>
      <c r="F22" s="143">
        <f t="shared" si="2"/>
        <v>7435.5060428201041</v>
      </c>
      <c r="G22" s="143">
        <f t="shared" si="0"/>
        <v>0</v>
      </c>
      <c r="H22" s="144">
        <f t="shared" si="1"/>
        <v>1427617.16022146</v>
      </c>
      <c r="J22" s="2"/>
      <c r="K22" s="145"/>
      <c r="L22" s="21"/>
      <c r="M22" s="145"/>
      <c r="N22" s="2"/>
      <c r="P22" s="145"/>
    </row>
    <row r="23" spans="2:18">
      <c r="B23" s="39"/>
      <c r="C23" s="57">
        <v>7</v>
      </c>
      <c r="D23" s="143">
        <f t="shared" si="4"/>
        <v>1427617.16022146</v>
      </c>
      <c r="E23" s="143">
        <f t="shared" si="3"/>
        <v>7435.5060428201041</v>
      </c>
      <c r="F23" s="143">
        <f t="shared" si="2"/>
        <v>7435.5060428201041</v>
      </c>
      <c r="G23" s="143">
        <f t="shared" si="0"/>
        <v>0</v>
      </c>
      <c r="H23" s="144">
        <f t="shared" si="1"/>
        <v>1427617.16022146</v>
      </c>
      <c r="J23" s="2"/>
      <c r="K23" s="145"/>
      <c r="L23" s="21"/>
      <c r="M23" s="145"/>
      <c r="N23" s="2"/>
      <c r="P23" s="145"/>
    </row>
    <row r="24" spans="2:18">
      <c r="B24" s="39"/>
      <c r="C24" s="57">
        <v>8</v>
      </c>
      <c r="D24" s="143">
        <f t="shared" si="4"/>
        <v>1427617.16022146</v>
      </c>
      <c r="E24" s="143">
        <f t="shared" si="3"/>
        <v>7435.5060428201041</v>
      </c>
      <c r="F24" s="143">
        <f t="shared" si="2"/>
        <v>7435.5060428201041</v>
      </c>
      <c r="G24" s="143">
        <f t="shared" si="0"/>
        <v>0</v>
      </c>
      <c r="H24" s="144">
        <f t="shared" si="1"/>
        <v>1427617.16022146</v>
      </c>
      <c r="J24" s="2"/>
      <c r="K24" s="145"/>
      <c r="L24" s="21"/>
      <c r="M24" s="145"/>
      <c r="N24" s="2"/>
      <c r="P24" s="145"/>
    </row>
    <row r="25" spans="2:18">
      <c r="B25" s="39"/>
      <c r="C25" s="57">
        <v>9</v>
      </c>
      <c r="D25" s="143">
        <f t="shared" si="4"/>
        <v>1427617.16022146</v>
      </c>
      <c r="E25" s="143">
        <f t="shared" si="3"/>
        <v>7435.5060428201041</v>
      </c>
      <c r="F25" s="143">
        <f t="shared" si="2"/>
        <v>7435.5060428201041</v>
      </c>
      <c r="G25" s="143">
        <f t="shared" si="0"/>
        <v>0</v>
      </c>
      <c r="H25" s="144">
        <f t="shared" si="1"/>
        <v>1427617.16022146</v>
      </c>
      <c r="J25" s="2"/>
      <c r="K25" s="145"/>
      <c r="L25" s="21"/>
      <c r="M25" s="145"/>
      <c r="N25" s="2"/>
      <c r="P25" s="145"/>
    </row>
    <row r="26" spans="2:18">
      <c r="B26" s="39"/>
      <c r="C26" s="57">
        <v>10</v>
      </c>
      <c r="D26" s="143">
        <f t="shared" si="4"/>
        <v>1427617.16022146</v>
      </c>
      <c r="E26" s="143">
        <f t="shared" si="3"/>
        <v>7435.5060428201041</v>
      </c>
      <c r="F26" s="143">
        <f t="shared" si="2"/>
        <v>7435.5060428201041</v>
      </c>
      <c r="G26" s="143">
        <f t="shared" si="0"/>
        <v>0</v>
      </c>
      <c r="H26" s="144">
        <f t="shared" si="1"/>
        <v>1427617.16022146</v>
      </c>
      <c r="J26" s="2"/>
      <c r="K26" s="145"/>
      <c r="L26" s="21"/>
      <c r="M26" s="145"/>
      <c r="N26" s="2"/>
      <c r="P26" s="145"/>
    </row>
    <row r="27" spans="2:18">
      <c r="B27" s="39"/>
      <c r="C27" s="57">
        <v>11</v>
      </c>
      <c r="D27" s="143">
        <f t="shared" si="4"/>
        <v>1427617.16022146</v>
      </c>
      <c r="E27" s="143">
        <f t="shared" si="3"/>
        <v>7435.5060428201041</v>
      </c>
      <c r="F27" s="143">
        <f t="shared" si="2"/>
        <v>7435.5060428201041</v>
      </c>
      <c r="G27" s="143">
        <f t="shared" si="0"/>
        <v>0</v>
      </c>
      <c r="H27" s="144">
        <f t="shared" si="1"/>
        <v>1427617.16022146</v>
      </c>
      <c r="J27" s="2"/>
      <c r="K27" s="145"/>
      <c r="L27" s="21"/>
      <c r="M27" s="145"/>
      <c r="N27" s="2"/>
      <c r="P27" s="145"/>
    </row>
    <row r="28" spans="2:18">
      <c r="B28" s="45">
        <v>1</v>
      </c>
      <c r="C28" s="146">
        <v>12</v>
      </c>
      <c r="D28" s="156">
        <f t="shared" si="4"/>
        <v>1427617.16022146</v>
      </c>
      <c r="E28" s="156">
        <f t="shared" si="3"/>
        <v>7435.5060428201041</v>
      </c>
      <c r="F28" s="156">
        <f t="shared" si="2"/>
        <v>7435.5060428201041</v>
      </c>
      <c r="G28" s="156">
        <f t="shared" si="0"/>
        <v>0</v>
      </c>
      <c r="H28" s="157">
        <f t="shared" si="1"/>
        <v>1427617.16022146</v>
      </c>
      <c r="I28" s="147">
        <f>+SUM(G17:G28)+SUM(F17:F28)</f>
        <v>89226.072513841267</v>
      </c>
      <c r="J28" s="2"/>
      <c r="K28" s="145"/>
      <c r="L28" s="21"/>
      <c r="M28" s="145"/>
      <c r="N28" s="2"/>
      <c r="P28" s="145"/>
    </row>
    <row r="29" spans="2:18">
      <c r="B29" s="39"/>
      <c r="C29" s="57">
        <v>13</v>
      </c>
      <c r="D29" s="143">
        <f t="shared" si="4"/>
        <v>1427617.16022146</v>
      </c>
      <c r="E29" s="143">
        <f t="shared" si="3"/>
        <v>9417.5532455517805</v>
      </c>
      <c r="F29" s="143">
        <f t="shared" si="2"/>
        <v>7435.5060428201041</v>
      </c>
      <c r="G29" s="143">
        <f t="shared" si="0"/>
        <v>1982.0472027316764</v>
      </c>
      <c r="H29" s="144">
        <f t="shared" si="1"/>
        <v>1425635.1130187283</v>
      </c>
      <c r="J29" s="2"/>
      <c r="K29" s="145"/>
      <c r="L29" s="21"/>
      <c r="M29" s="145"/>
      <c r="N29" s="2"/>
      <c r="P29" s="145"/>
    </row>
    <row r="30" spans="2:18">
      <c r="B30" s="39"/>
      <c r="C30" s="57">
        <v>14</v>
      </c>
      <c r="D30" s="143">
        <f t="shared" si="4"/>
        <v>1425635.1130187283</v>
      </c>
      <c r="E30" s="143">
        <f t="shared" si="3"/>
        <v>9417.5532455517805</v>
      </c>
      <c r="F30" s="143">
        <f t="shared" si="2"/>
        <v>7425.1828803058761</v>
      </c>
      <c r="G30" s="143">
        <f t="shared" si="0"/>
        <v>1992.3703652459044</v>
      </c>
      <c r="H30" s="144">
        <f t="shared" si="1"/>
        <v>1423642.7426534824</v>
      </c>
      <c r="J30" s="2"/>
      <c r="K30" s="145"/>
      <c r="L30" s="21"/>
      <c r="M30" s="145"/>
      <c r="N30" s="2"/>
      <c r="P30" s="145"/>
    </row>
    <row r="31" spans="2:18">
      <c r="B31" s="39"/>
      <c r="C31" s="57">
        <v>15</v>
      </c>
      <c r="D31" s="143">
        <f t="shared" si="4"/>
        <v>1423642.7426534824</v>
      </c>
      <c r="E31" s="143">
        <f t="shared" si="3"/>
        <v>9417.5532455517805</v>
      </c>
      <c r="F31" s="143">
        <f t="shared" si="2"/>
        <v>7414.8059513202206</v>
      </c>
      <c r="G31" s="143">
        <f t="shared" si="0"/>
        <v>2002.7472942315599</v>
      </c>
      <c r="H31" s="144">
        <f t="shared" si="1"/>
        <v>1421639.9953592508</v>
      </c>
      <c r="J31" s="2"/>
      <c r="K31" s="145"/>
      <c r="L31" s="21"/>
      <c r="M31" s="145"/>
      <c r="N31" s="2"/>
      <c r="P31" s="145"/>
    </row>
    <row r="32" spans="2:18">
      <c r="B32" s="39"/>
      <c r="C32" s="57">
        <v>16</v>
      </c>
      <c r="D32" s="143">
        <f t="shared" si="4"/>
        <v>1421639.9953592508</v>
      </c>
      <c r="E32" s="143">
        <f t="shared" si="3"/>
        <v>9417.5532455517805</v>
      </c>
      <c r="F32" s="143">
        <f t="shared" si="2"/>
        <v>7404.3749758294307</v>
      </c>
      <c r="G32" s="143">
        <f t="shared" si="0"/>
        <v>2013.1782697223498</v>
      </c>
      <c r="H32" s="144">
        <f t="shared" si="1"/>
        <v>1419626.8170895285</v>
      </c>
      <c r="J32" s="2"/>
      <c r="K32" s="145"/>
      <c r="L32" s="21"/>
      <c r="M32" s="145"/>
      <c r="N32" s="2"/>
      <c r="P32" s="145"/>
    </row>
    <row r="33" spans="2:16">
      <c r="B33" s="39"/>
      <c r="C33" s="57">
        <v>17</v>
      </c>
      <c r="D33" s="143">
        <f t="shared" si="4"/>
        <v>1419626.8170895285</v>
      </c>
      <c r="E33" s="143">
        <f t="shared" si="3"/>
        <v>9417.5532455517805</v>
      </c>
      <c r="F33" s="143">
        <f t="shared" si="2"/>
        <v>7393.8896723412945</v>
      </c>
      <c r="G33" s="143">
        <f t="shared" si="0"/>
        <v>2023.663573210486</v>
      </c>
      <c r="H33" s="144">
        <f t="shared" si="1"/>
        <v>1417603.153516318</v>
      </c>
      <c r="J33" s="2"/>
      <c r="K33" s="145"/>
      <c r="L33" s="21"/>
      <c r="M33" s="145"/>
      <c r="N33" s="2"/>
      <c r="P33" s="145"/>
    </row>
    <row r="34" spans="2:16">
      <c r="B34" s="39"/>
      <c r="C34" s="57">
        <v>18</v>
      </c>
      <c r="D34" s="143">
        <f t="shared" si="4"/>
        <v>1417603.153516318</v>
      </c>
      <c r="E34" s="143">
        <f t="shared" si="3"/>
        <v>9417.5532455517805</v>
      </c>
      <c r="F34" s="143">
        <f t="shared" si="2"/>
        <v>7383.3497578974893</v>
      </c>
      <c r="G34" s="143">
        <f t="shared" si="0"/>
        <v>2034.2034876542912</v>
      </c>
      <c r="H34" s="144">
        <f t="shared" si="1"/>
        <v>1415568.9500286637</v>
      </c>
      <c r="J34" s="2"/>
      <c r="K34" s="145"/>
      <c r="L34" s="21"/>
      <c r="M34" s="145"/>
      <c r="N34" s="2"/>
      <c r="P34" s="145"/>
    </row>
    <row r="35" spans="2:16">
      <c r="B35" s="39"/>
      <c r="C35" s="57">
        <v>19</v>
      </c>
      <c r="D35" s="143">
        <f t="shared" si="4"/>
        <v>1415568.9500286637</v>
      </c>
      <c r="E35" s="143">
        <f t="shared" si="3"/>
        <v>9417.5532455517805</v>
      </c>
      <c r="F35" s="143">
        <f t="shared" si="2"/>
        <v>7372.7549480659563</v>
      </c>
      <c r="G35" s="143">
        <f t="shared" si="0"/>
        <v>2044.7982974858242</v>
      </c>
      <c r="H35" s="144">
        <f t="shared" si="1"/>
        <v>1413524.1517311779</v>
      </c>
      <c r="J35" s="2"/>
      <c r="K35" s="145"/>
      <c r="L35" s="21"/>
      <c r="M35" s="145"/>
      <c r="N35" s="2"/>
      <c r="P35" s="145"/>
    </row>
    <row r="36" spans="2:16">
      <c r="B36" s="39"/>
      <c r="C36" s="57">
        <v>20</v>
      </c>
      <c r="D36" s="143">
        <f t="shared" si="4"/>
        <v>1413524.1517311779</v>
      </c>
      <c r="E36" s="143">
        <f t="shared" si="3"/>
        <v>9417.5532455517805</v>
      </c>
      <c r="F36" s="143">
        <f t="shared" si="2"/>
        <v>7362.1049569332181</v>
      </c>
      <c r="G36" s="143">
        <f t="shared" si="0"/>
        <v>2055.4482886185624</v>
      </c>
      <c r="H36" s="144">
        <f t="shared" si="1"/>
        <v>1411468.7034425593</v>
      </c>
      <c r="J36" s="2"/>
      <c r="K36" s="145"/>
      <c r="L36" s="21"/>
      <c r="M36" s="145"/>
      <c r="N36" s="2"/>
      <c r="P36" s="145"/>
    </row>
    <row r="37" spans="2:16">
      <c r="B37" s="39"/>
      <c r="C37" s="57">
        <v>21</v>
      </c>
      <c r="D37" s="143">
        <f t="shared" si="4"/>
        <v>1411468.7034425593</v>
      </c>
      <c r="E37" s="143">
        <f t="shared" si="3"/>
        <v>9417.5532455517805</v>
      </c>
      <c r="F37" s="143">
        <f t="shared" si="2"/>
        <v>7351.3994970966633</v>
      </c>
      <c r="G37" s="143">
        <f t="shared" si="0"/>
        <v>2066.1537484551172</v>
      </c>
      <c r="H37" s="144">
        <f t="shared" si="1"/>
        <v>1409402.5496941041</v>
      </c>
      <c r="J37" s="2"/>
      <c r="K37" s="145"/>
      <c r="L37" s="21"/>
      <c r="M37" s="145"/>
      <c r="N37" s="2"/>
      <c r="P37" s="145"/>
    </row>
    <row r="38" spans="2:16">
      <c r="B38" s="39"/>
      <c r="C38" s="57">
        <v>22</v>
      </c>
      <c r="D38" s="143">
        <f t="shared" si="4"/>
        <v>1409402.5496941041</v>
      </c>
      <c r="E38" s="143">
        <f t="shared" si="3"/>
        <v>9417.5532455517805</v>
      </c>
      <c r="F38" s="143">
        <f t="shared" si="2"/>
        <v>7340.6382796567923</v>
      </c>
      <c r="G38" s="143">
        <f t="shared" si="0"/>
        <v>2076.9149658949882</v>
      </c>
      <c r="H38" s="144">
        <f t="shared" si="1"/>
        <v>1407325.6347282091</v>
      </c>
      <c r="J38" s="2"/>
      <c r="K38" s="145"/>
      <c r="L38" s="21"/>
      <c r="M38" s="145"/>
      <c r="N38" s="2"/>
      <c r="P38" s="145"/>
    </row>
    <row r="39" spans="2:16">
      <c r="B39" s="39"/>
      <c r="C39" s="57">
        <v>23</v>
      </c>
      <c r="D39" s="143">
        <f t="shared" si="4"/>
        <v>1407325.6347282091</v>
      </c>
      <c r="E39" s="143">
        <f t="shared" si="3"/>
        <v>9417.5532455517805</v>
      </c>
      <c r="F39" s="143">
        <f t="shared" si="2"/>
        <v>7329.8210142094222</v>
      </c>
      <c r="G39" s="143">
        <f t="shared" si="0"/>
        <v>2087.7322313423583</v>
      </c>
      <c r="H39" s="144">
        <f t="shared" si="1"/>
        <v>1405237.9024968666</v>
      </c>
      <c r="J39" s="2"/>
      <c r="K39" s="145"/>
      <c r="L39" s="21"/>
      <c r="M39" s="145"/>
      <c r="N39" s="2"/>
      <c r="P39" s="145"/>
    </row>
    <row r="40" spans="2:16">
      <c r="B40" s="45">
        <v>2</v>
      </c>
      <c r="C40" s="146">
        <v>24</v>
      </c>
      <c r="D40" s="156">
        <f t="shared" si="4"/>
        <v>1405237.9024968666</v>
      </c>
      <c r="E40" s="156">
        <f t="shared" si="3"/>
        <v>9417.5532455517805</v>
      </c>
      <c r="F40" s="156">
        <f t="shared" si="2"/>
        <v>7318.9474088378465</v>
      </c>
      <c r="G40" s="156">
        <f t="shared" si="0"/>
        <v>2098.605836713934</v>
      </c>
      <c r="H40" s="157">
        <f t="shared" si="1"/>
        <v>1403139.2966601527</v>
      </c>
      <c r="I40" s="147">
        <f>+SUM(G29:G40)+SUM(F29:F40)</f>
        <v>113010.63894662136</v>
      </c>
      <c r="J40" s="2"/>
      <c r="K40" s="145"/>
      <c r="L40" s="21"/>
      <c r="M40" s="145"/>
      <c r="N40" s="2"/>
      <c r="P40" s="145"/>
    </row>
    <row r="41" spans="2:16">
      <c r="B41" s="39"/>
      <c r="C41" s="57">
        <v>25</v>
      </c>
      <c r="D41" s="143">
        <f t="shared" si="4"/>
        <v>1403139.2966601527</v>
      </c>
      <c r="E41" s="143">
        <f t="shared" si="3"/>
        <v>9417.5532455517805</v>
      </c>
      <c r="F41" s="143">
        <f t="shared" si="2"/>
        <v>7308.0171701049621</v>
      </c>
      <c r="G41" s="143">
        <f t="shared" si="0"/>
        <v>2109.5360754468184</v>
      </c>
      <c r="H41" s="144">
        <f t="shared" si="1"/>
        <v>1401029.760584706</v>
      </c>
      <c r="J41" s="2"/>
      <c r="K41" s="145"/>
      <c r="L41" s="21"/>
      <c r="M41" s="145"/>
      <c r="N41" s="2"/>
      <c r="P41" s="145"/>
    </row>
    <row r="42" spans="2:16">
      <c r="B42" s="39"/>
      <c r="C42" s="57">
        <v>26</v>
      </c>
      <c r="D42" s="143">
        <f t="shared" si="4"/>
        <v>1401029.760584706</v>
      </c>
      <c r="E42" s="143">
        <f t="shared" si="3"/>
        <v>9417.5532455517805</v>
      </c>
      <c r="F42" s="143">
        <f t="shared" si="2"/>
        <v>7297.0300030453436</v>
      </c>
      <c r="G42" s="143">
        <f t="shared" si="0"/>
        <v>2120.5232425064369</v>
      </c>
      <c r="H42" s="144">
        <f t="shared" si="1"/>
        <v>1398909.2373421995</v>
      </c>
      <c r="J42" s="2"/>
      <c r="K42" s="145"/>
    </row>
    <row r="43" spans="2:16">
      <c r="B43" s="39"/>
      <c r="C43" s="57">
        <v>27</v>
      </c>
      <c r="D43" s="143">
        <f t="shared" si="4"/>
        <v>1398909.2373421995</v>
      </c>
      <c r="E43" s="143">
        <f t="shared" si="3"/>
        <v>9417.5532455517805</v>
      </c>
      <c r="F43" s="143">
        <f t="shared" si="2"/>
        <v>7285.985611157289</v>
      </c>
      <c r="G43" s="143">
        <f t="shared" si="0"/>
        <v>2131.5676343944915</v>
      </c>
      <c r="H43" s="144">
        <f t="shared" si="1"/>
        <v>1396777.6697078052</v>
      </c>
      <c r="J43" s="2"/>
      <c r="K43" s="145"/>
    </row>
    <row r="44" spans="2:16">
      <c r="B44" s="39"/>
      <c r="C44" s="57">
        <v>28</v>
      </c>
      <c r="D44" s="143">
        <f t="shared" si="4"/>
        <v>1396777.6697078052</v>
      </c>
      <c r="E44" s="143">
        <f t="shared" si="3"/>
        <v>9417.5532455517805</v>
      </c>
      <c r="F44" s="143">
        <f t="shared" si="2"/>
        <v>7274.8836963948179</v>
      </c>
      <c r="G44" s="143">
        <f t="shared" si="0"/>
        <v>2142.6695491569626</v>
      </c>
      <c r="H44" s="144">
        <f t="shared" si="1"/>
        <v>1394635.0001586482</v>
      </c>
    </row>
    <row r="45" spans="2:16">
      <c r="B45" s="39"/>
      <c r="C45" s="57">
        <v>29</v>
      </c>
      <c r="D45" s="143">
        <f t="shared" si="4"/>
        <v>1394635.0001586482</v>
      </c>
      <c r="E45" s="143">
        <f t="shared" si="3"/>
        <v>9417.5532455517805</v>
      </c>
      <c r="F45" s="143">
        <f t="shared" si="2"/>
        <v>7263.7239591596262</v>
      </c>
      <c r="G45" s="143">
        <f t="shared" si="0"/>
        <v>2153.8292863921542</v>
      </c>
      <c r="H45" s="144">
        <f t="shared" si="1"/>
        <v>1392481.1708722562</v>
      </c>
    </row>
    <row r="46" spans="2:16">
      <c r="B46" s="39"/>
      <c r="C46" s="57">
        <v>30</v>
      </c>
      <c r="D46" s="143">
        <f t="shared" si="4"/>
        <v>1392481.1708722562</v>
      </c>
      <c r="E46" s="143">
        <f t="shared" si="3"/>
        <v>9417.5532455517805</v>
      </c>
      <c r="F46" s="143">
        <f t="shared" si="2"/>
        <v>7252.5060982930008</v>
      </c>
      <c r="G46" s="143">
        <f t="shared" si="0"/>
        <v>2165.0471472587797</v>
      </c>
      <c r="H46" s="144">
        <f t="shared" si="1"/>
        <v>1390316.1237249973</v>
      </c>
    </row>
    <row r="47" spans="2:16">
      <c r="B47" s="39"/>
      <c r="C47" s="57">
        <v>31</v>
      </c>
      <c r="D47" s="143">
        <f t="shared" si="4"/>
        <v>1390316.1237249973</v>
      </c>
      <c r="E47" s="143">
        <f t="shared" si="3"/>
        <v>9417.5532455517805</v>
      </c>
      <c r="F47" s="143">
        <f t="shared" si="2"/>
        <v>7241.2298110676938</v>
      </c>
      <c r="G47" s="143">
        <f t="shared" si="0"/>
        <v>2176.3234344840866</v>
      </c>
      <c r="H47" s="144">
        <f t="shared" si="1"/>
        <v>1388139.8002905131</v>
      </c>
    </row>
    <row r="48" spans="2:16">
      <c r="B48" s="39"/>
      <c r="C48" s="57">
        <v>32</v>
      </c>
      <c r="D48" s="143">
        <f t="shared" si="4"/>
        <v>1388139.8002905131</v>
      </c>
      <c r="E48" s="143">
        <f t="shared" si="3"/>
        <v>9417.5532455517805</v>
      </c>
      <c r="F48" s="143">
        <f t="shared" si="2"/>
        <v>7229.8947931797557</v>
      </c>
      <c r="G48" s="143">
        <f t="shared" si="0"/>
        <v>2187.6584523720248</v>
      </c>
      <c r="H48" s="144">
        <f t="shared" si="1"/>
        <v>1385952.141838141</v>
      </c>
    </row>
    <row r="49" spans="2:9">
      <c r="B49" s="39"/>
      <c r="C49" s="57">
        <v>33</v>
      </c>
      <c r="D49" s="143">
        <f t="shared" si="4"/>
        <v>1385952.141838141</v>
      </c>
      <c r="E49" s="143">
        <f t="shared" si="3"/>
        <v>9417.5532455517805</v>
      </c>
      <c r="F49" s="143">
        <f t="shared" si="2"/>
        <v>7218.5007387403175</v>
      </c>
      <c r="G49" s="143">
        <f t="shared" si="0"/>
        <v>2199.052506811463</v>
      </c>
      <c r="H49" s="144">
        <f t="shared" si="1"/>
        <v>1383753.0893313296</v>
      </c>
    </row>
    <row r="50" spans="2:9">
      <c r="B50" s="39"/>
      <c r="C50" s="57">
        <v>34</v>
      </c>
      <c r="D50" s="143">
        <f t="shared" si="4"/>
        <v>1383753.0893313296</v>
      </c>
      <c r="E50" s="143">
        <f t="shared" si="3"/>
        <v>9417.5532455517805</v>
      </c>
      <c r="F50" s="143">
        <f t="shared" si="2"/>
        <v>7207.0473402673415</v>
      </c>
      <c r="G50" s="143">
        <f t="shared" si="0"/>
        <v>2210.505905284439</v>
      </c>
      <c r="H50" s="144">
        <f t="shared" si="1"/>
        <v>1381542.583426045</v>
      </c>
    </row>
    <row r="51" spans="2:9">
      <c r="B51" s="39"/>
      <c r="C51" s="57">
        <v>35</v>
      </c>
      <c r="D51" s="143">
        <f t="shared" si="4"/>
        <v>1381542.583426045</v>
      </c>
      <c r="E51" s="143">
        <f t="shared" si="3"/>
        <v>9417.5532455517805</v>
      </c>
      <c r="F51" s="143">
        <f t="shared" si="2"/>
        <v>7195.5342886773178</v>
      </c>
      <c r="G51" s="143">
        <f t="shared" si="0"/>
        <v>2222.0189568744627</v>
      </c>
      <c r="H51" s="144">
        <f t="shared" si="1"/>
        <v>1379320.5644691705</v>
      </c>
    </row>
    <row r="52" spans="2:9">
      <c r="B52" s="45">
        <v>3</v>
      </c>
      <c r="C52" s="146">
        <v>36</v>
      </c>
      <c r="D52" s="156">
        <f t="shared" si="4"/>
        <v>1379320.5644691705</v>
      </c>
      <c r="E52" s="156">
        <f t="shared" si="3"/>
        <v>9417.5532455517805</v>
      </c>
      <c r="F52" s="156">
        <f t="shared" si="2"/>
        <v>7183.9612732769292</v>
      </c>
      <c r="G52" s="156">
        <f t="shared" si="0"/>
        <v>2233.5919722748513</v>
      </c>
      <c r="H52" s="157">
        <f t="shared" si="1"/>
        <v>1377086.9724968956</v>
      </c>
      <c r="I52" s="147">
        <f>+SUM(G41:G52)+SUM(F41:F52)</f>
        <v>113010.63894662136</v>
      </c>
    </row>
    <row r="53" spans="2:9">
      <c r="B53" s="39"/>
      <c r="C53" s="57">
        <v>37</v>
      </c>
      <c r="D53" s="143">
        <f t="shared" si="4"/>
        <v>1377086.9724968956</v>
      </c>
      <c r="E53" s="143">
        <f t="shared" si="3"/>
        <v>9417.5532455517805</v>
      </c>
      <c r="F53" s="143">
        <f t="shared" si="2"/>
        <v>7172.3279817546645</v>
      </c>
      <c r="G53" s="143">
        <f t="shared" si="0"/>
        <v>2245.225263797116</v>
      </c>
      <c r="H53" s="144">
        <f t="shared" si="1"/>
        <v>1374841.7472330984</v>
      </c>
    </row>
    <row r="54" spans="2:9">
      <c r="B54" s="39"/>
      <c r="C54" s="57">
        <v>38</v>
      </c>
      <c r="D54" s="143">
        <f t="shared" si="4"/>
        <v>1374841.7472330984</v>
      </c>
      <c r="E54" s="143">
        <f t="shared" si="3"/>
        <v>9417.5532455517805</v>
      </c>
      <c r="F54" s="143">
        <f t="shared" si="2"/>
        <v>7160.6341001723868</v>
      </c>
      <c r="G54" s="143">
        <f t="shared" si="0"/>
        <v>2256.9191453793937</v>
      </c>
      <c r="H54" s="144">
        <f t="shared" si="1"/>
        <v>1372584.8280877189</v>
      </c>
    </row>
    <row r="55" spans="2:9">
      <c r="B55" s="39"/>
      <c r="C55" s="57">
        <v>39</v>
      </c>
      <c r="D55" s="143">
        <f t="shared" si="4"/>
        <v>1372584.8280877189</v>
      </c>
      <c r="E55" s="143">
        <f t="shared" si="3"/>
        <v>9417.5532455517805</v>
      </c>
      <c r="F55" s="143">
        <f t="shared" si="2"/>
        <v>7148.8793129568694</v>
      </c>
      <c r="G55" s="143">
        <f t="shared" si="0"/>
        <v>2268.6739325949111</v>
      </c>
      <c r="H55" s="144">
        <f t="shared" si="1"/>
        <v>1370316.154155124</v>
      </c>
    </row>
    <row r="56" spans="2:9">
      <c r="B56" s="39"/>
      <c r="C56" s="57">
        <v>40</v>
      </c>
      <c r="D56" s="143">
        <f t="shared" si="4"/>
        <v>1370316.154155124</v>
      </c>
      <c r="E56" s="143">
        <f t="shared" si="3"/>
        <v>9417.5532455517805</v>
      </c>
      <c r="F56" s="143">
        <f t="shared" si="2"/>
        <v>7137.0633028912707</v>
      </c>
      <c r="G56" s="143">
        <f t="shared" si="0"/>
        <v>2280.4899426605098</v>
      </c>
      <c r="H56" s="144">
        <f t="shared" si="1"/>
        <v>1368035.6642124634</v>
      </c>
    </row>
    <row r="57" spans="2:9">
      <c r="B57" s="39"/>
      <c r="C57" s="57">
        <v>41</v>
      </c>
      <c r="D57" s="143">
        <f t="shared" si="4"/>
        <v>1368035.6642124634</v>
      </c>
      <c r="E57" s="143">
        <f t="shared" si="3"/>
        <v>9417.5532455517805</v>
      </c>
      <c r="F57" s="143">
        <f t="shared" si="2"/>
        <v>7125.18575110658</v>
      </c>
      <c r="G57" s="143">
        <f t="shared" si="0"/>
        <v>2292.3674944452005</v>
      </c>
      <c r="H57" s="144">
        <f t="shared" si="1"/>
        <v>1365743.2967180181</v>
      </c>
    </row>
    <row r="58" spans="2:9">
      <c r="B58" s="39"/>
      <c r="C58" s="57">
        <v>42</v>
      </c>
      <c r="D58" s="143">
        <f t="shared" si="4"/>
        <v>1365743.2967180181</v>
      </c>
      <c r="E58" s="143">
        <f t="shared" si="3"/>
        <v>9417.5532455517805</v>
      </c>
      <c r="F58" s="143">
        <f t="shared" si="2"/>
        <v>7113.2463370730111</v>
      </c>
      <c r="G58" s="143">
        <f t="shared" si="0"/>
        <v>2304.3069084787694</v>
      </c>
      <c r="H58" s="144">
        <f t="shared" si="1"/>
        <v>1363438.9898095394</v>
      </c>
    </row>
    <row r="59" spans="2:9">
      <c r="B59" s="39"/>
      <c r="C59" s="57">
        <v>43</v>
      </c>
      <c r="D59" s="143">
        <f t="shared" si="4"/>
        <v>1363438.9898095394</v>
      </c>
      <c r="E59" s="143">
        <f t="shared" si="3"/>
        <v>9417.5532455517805</v>
      </c>
      <c r="F59" s="143">
        <f t="shared" si="2"/>
        <v>7101.2447385913511</v>
      </c>
      <c r="G59" s="143">
        <f t="shared" si="0"/>
        <v>2316.3085069604294</v>
      </c>
      <c r="H59" s="144">
        <f t="shared" si="1"/>
        <v>1361122.6813025789</v>
      </c>
      <c r="I59" s="147"/>
    </row>
    <row r="60" spans="2:9">
      <c r="B60" s="39"/>
      <c r="C60" s="57">
        <v>44</v>
      </c>
      <c r="D60" s="143">
        <f t="shared" si="4"/>
        <v>1361122.6813025789</v>
      </c>
      <c r="E60" s="143">
        <f t="shared" si="3"/>
        <v>9417.5532455517805</v>
      </c>
      <c r="F60" s="143">
        <f t="shared" si="2"/>
        <v>7089.1806317842647</v>
      </c>
      <c r="G60" s="143">
        <f t="shared" si="0"/>
        <v>2328.3726137675158</v>
      </c>
      <c r="H60" s="144">
        <f t="shared" si="1"/>
        <v>1358794.3086888113</v>
      </c>
    </row>
    <row r="61" spans="2:9">
      <c r="B61" s="39"/>
      <c r="C61" s="57">
        <v>45</v>
      </c>
      <c r="D61" s="143">
        <f t="shared" si="4"/>
        <v>1358794.3086888113</v>
      </c>
      <c r="E61" s="143">
        <f t="shared" si="3"/>
        <v>9417.5532455517805</v>
      </c>
      <c r="F61" s="143">
        <f t="shared" si="2"/>
        <v>7077.053691087558</v>
      </c>
      <c r="G61" s="143">
        <f t="shared" si="0"/>
        <v>2340.4995544642225</v>
      </c>
      <c r="H61" s="144">
        <f t="shared" si="1"/>
        <v>1356453.8091343471</v>
      </c>
    </row>
    <row r="62" spans="2:9">
      <c r="B62" s="39"/>
      <c r="C62" s="57">
        <v>46</v>
      </c>
      <c r="D62" s="143">
        <f t="shared" si="4"/>
        <v>1356453.8091343471</v>
      </c>
      <c r="E62" s="143">
        <f t="shared" si="3"/>
        <v>9417.5532455517805</v>
      </c>
      <c r="F62" s="143">
        <f t="shared" si="2"/>
        <v>7064.8635892413913</v>
      </c>
      <c r="G62" s="143">
        <f t="shared" si="0"/>
        <v>2352.6896563103892</v>
      </c>
      <c r="H62" s="144">
        <f t="shared" si="1"/>
        <v>1354101.1194780366</v>
      </c>
    </row>
    <row r="63" spans="2:9">
      <c r="B63" s="39"/>
      <c r="C63" s="57">
        <v>47</v>
      </c>
      <c r="D63" s="143">
        <f t="shared" si="4"/>
        <v>1354101.1194780366</v>
      </c>
      <c r="E63" s="143">
        <f t="shared" si="3"/>
        <v>9417.5532455517805</v>
      </c>
      <c r="F63" s="143">
        <f t="shared" si="2"/>
        <v>7052.6099972814409</v>
      </c>
      <c r="G63" s="143">
        <f t="shared" si="0"/>
        <v>2364.9432482703396</v>
      </c>
      <c r="H63" s="144">
        <f t="shared" si="1"/>
        <v>1351736.1762297663</v>
      </c>
    </row>
    <row r="64" spans="2:9">
      <c r="B64" s="45">
        <v>4</v>
      </c>
      <c r="C64" s="146">
        <v>48</v>
      </c>
      <c r="D64" s="156">
        <f t="shared" si="4"/>
        <v>1351736.1762297663</v>
      </c>
      <c r="E64" s="156">
        <f t="shared" si="3"/>
        <v>9417.5532455517805</v>
      </c>
      <c r="F64" s="156">
        <f t="shared" si="2"/>
        <v>7040.2925845300324</v>
      </c>
      <c r="G64" s="156">
        <f t="shared" si="0"/>
        <v>2377.2606610217481</v>
      </c>
      <c r="H64" s="157">
        <f t="shared" si="1"/>
        <v>1349358.9155687445</v>
      </c>
      <c r="I64" s="147">
        <f>+SUM(G53:G64)+SUM(F53:F64)</f>
        <v>113010.63894662137</v>
      </c>
    </row>
    <row r="65" spans="2:16">
      <c r="B65" s="39"/>
      <c r="C65" s="57">
        <v>49</v>
      </c>
      <c r="D65" s="143">
        <f t="shared" si="4"/>
        <v>1349358.9155687445</v>
      </c>
      <c r="E65" s="143">
        <f t="shared" si="3"/>
        <v>9417.5532455517805</v>
      </c>
      <c r="F65" s="143">
        <f t="shared" si="2"/>
        <v>7027.9110185872105</v>
      </c>
      <c r="G65" s="143">
        <f t="shared" si="0"/>
        <v>2389.64222696457</v>
      </c>
      <c r="H65" s="144">
        <f t="shared" si="1"/>
        <v>1346969.2733417801</v>
      </c>
      <c r="I65" s="21"/>
      <c r="L65" s="21"/>
      <c r="M65" s="145"/>
      <c r="N65" s="2"/>
      <c r="P65" s="145"/>
    </row>
    <row r="66" spans="2:16">
      <c r="B66" s="39"/>
      <c r="C66" s="57">
        <v>50</v>
      </c>
      <c r="D66" s="143">
        <f t="shared" si="4"/>
        <v>1346969.2733417801</v>
      </c>
      <c r="E66" s="143">
        <f t="shared" si="3"/>
        <v>9417.5532455517805</v>
      </c>
      <c r="F66" s="143">
        <f t="shared" si="2"/>
        <v>7015.4649653217712</v>
      </c>
      <c r="G66" s="143">
        <f t="shared" si="0"/>
        <v>2402.0882802300093</v>
      </c>
      <c r="H66" s="144">
        <f t="shared" si="1"/>
        <v>1344567.18506155</v>
      </c>
    </row>
    <row r="67" spans="2:16">
      <c r="B67" s="39"/>
      <c r="C67" s="57">
        <v>51</v>
      </c>
      <c r="D67" s="143">
        <f t="shared" si="4"/>
        <v>1344567.18506155</v>
      </c>
      <c r="E67" s="143">
        <f t="shared" si="3"/>
        <v>9417.5532455517805</v>
      </c>
      <c r="F67" s="143">
        <f t="shared" si="2"/>
        <v>7002.9540888622396</v>
      </c>
      <c r="G67" s="143">
        <f t="shared" si="0"/>
        <v>2414.5991566895409</v>
      </c>
      <c r="H67" s="144">
        <f t="shared" si="1"/>
        <v>1342152.5859048604</v>
      </c>
      <c r="J67" s="2"/>
      <c r="K67" s="145"/>
    </row>
    <row r="68" spans="2:16">
      <c r="B68" s="39"/>
      <c r="C68" s="57">
        <v>52</v>
      </c>
      <c r="D68" s="143">
        <f t="shared" si="4"/>
        <v>1342152.5859048604</v>
      </c>
      <c r="E68" s="143">
        <f t="shared" si="3"/>
        <v>9417.5532455517805</v>
      </c>
      <c r="F68" s="143">
        <f t="shared" si="2"/>
        <v>6990.3780515878143</v>
      </c>
      <c r="G68" s="143">
        <f t="shared" si="0"/>
        <v>2427.1751939639662</v>
      </c>
      <c r="H68" s="144">
        <f t="shared" si="1"/>
        <v>1339725.4107108964</v>
      </c>
    </row>
    <row r="69" spans="2:16">
      <c r="B69" s="39"/>
      <c r="C69" s="57">
        <v>53</v>
      </c>
      <c r="D69" s="143">
        <f t="shared" si="4"/>
        <v>1339725.4107108964</v>
      </c>
      <c r="E69" s="143">
        <f t="shared" si="3"/>
        <v>9417.5532455517805</v>
      </c>
      <c r="F69" s="143">
        <f t="shared" si="2"/>
        <v>6977.7365141192513</v>
      </c>
      <c r="G69" s="143">
        <f t="shared" si="0"/>
        <v>2439.8167314325292</v>
      </c>
      <c r="H69" s="144">
        <f t="shared" si="1"/>
        <v>1337285.5939794639</v>
      </c>
    </row>
    <row r="70" spans="2:16">
      <c r="B70" s="39"/>
      <c r="C70" s="57">
        <v>54</v>
      </c>
      <c r="D70" s="143">
        <f t="shared" si="4"/>
        <v>1337285.5939794639</v>
      </c>
      <c r="E70" s="143">
        <f t="shared" si="3"/>
        <v>9417.5532455517805</v>
      </c>
      <c r="F70" s="143">
        <f t="shared" si="2"/>
        <v>6965.0291353097073</v>
      </c>
      <c r="G70" s="143">
        <f t="shared" si="0"/>
        <v>2452.5241102420732</v>
      </c>
      <c r="H70" s="144">
        <f t="shared" si="1"/>
        <v>1334833.0698692219</v>
      </c>
      <c r="I70" s="147"/>
    </row>
    <row r="71" spans="2:16">
      <c r="B71" s="39"/>
      <c r="C71" s="57">
        <v>55</v>
      </c>
      <c r="D71" s="143">
        <f t="shared" si="4"/>
        <v>1334833.0698692219</v>
      </c>
      <c r="E71" s="143">
        <f t="shared" si="3"/>
        <v>9417.5532455517805</v>
      </c>
      <c r="F71" s="143">
        <f t="shared" si="2"/>
        <v>6952.2555722355301</v>
      </c>
      <c r="G71" s="143">
        <f t="shared" si="0"/>
        <v>2465.2976733162504</v>
      </c>
      <c r="H71" s="144">
        <f t="shared" si="1"/>
        <v>1332367.7721959057</v>
      </c>
      <c r="I71" s="147"/>
    </row>
    <row r="72" spans="2:16">
      <c r="B72" s="39"/>
      <c r="C72" s="57">
        <v>56</v>
      </c>
      <c r="D72" s="143">
        <f t="shared" si="4"/>
        <v>1332367.7721959057</v>
      </c>
      <c r="E72" s="143">
        <f t="shared" si="3"/>
        <v>9417.5532455517805</v>
      </c>
      <c r="F72" s="143">
        <f t="shared" si="2"/>
        <v>6939.4154801870081</v>
      </c>
      <c r="G72" s="143">
        <f t="shared" si="0"/>
        <v>2478.1377653647723</v>
      </c>
      <c r="H72" s="144">
        <f t="shared" si="1"/>
        <v>1329889.634430541</v>
      </c>
    </row>
    <row r="73" spans="2:16">
      <c r="B73" s="39"/>
      <c r="C73" s="57">
        <v>57</v>
      </c>
      <c r="D73" s="143">
        <f t="shared" si="4"/>
        <v>1329889.634430541</v>
      </c>
      <c r="E73" s="143">
        <f t="shared" si="3"/>
        <v>9417.5532455517805</v>
      </c>
      <c r="F73" s="143">
        <f t="shared" si="2"/>
        <v>6926.5085126590675</v>
      </c>
      <c r="G73" s="143">
        <f t="shared" si="0"/>
        <v>2491.044732892713</v>
      </c>
      <c r="H73" s="144">
        <f t="shared" si="1"/>
        <v>1327398.5896976483</v>
      </c>
    </row>
    <row r="74" spans="2:16">
      <c r="B74" s="39"/>
      <c r="C74" s="57">
        <v>58</v>
      </c>
      <c r="D74" s="143">
        <f t="shared" si="4"/>
        <v>1327398.5896976483</v>
      </c>
      <c r="E74" s="143">
        <f t="shared" si="3"/>
        <v>9417.5532455517805</v>
      </c>
      <c r="F74" s="143">
        <f t="shared" si="2"/>
        <v>6913.5343213419183</v>
      </c>
      <c r="G74" s="143">
        <f t="shared" si="0"/>
        <v>2504.0189242098622</v>
      </c>
      <c r="H74" s="144">
        <f t="shared" si="1"/>
        <v>1324894.5707734386</v>
      </c>
    </row>
    <row r="75" spans="2:16">
      <c r="B75" s="39"/>
      <c r="C75" s="57">
        <v>59</v>
      </c>
      <c r="D75" s="143">
        <f t="shared" si="4"/>
        <v>1324894.5707734386</v>
      </c>
      <c r="E75" s="143">
        <f t="shared" si="3"/>
        <v>9417.5532455517805</v>
      </c>
      <c r="F75" s="143">
        <f t="shared" si="2"/>
        <v>6900.4925561116588</v>
      </c>
      <c r="G75" s="143">
        <f t="shared" si="0"/>
        <v>2517.0606894401217</v>
      </c>
      <c r="H75" s="144">
        <f t="shared" si="1"/>
        <v>1322377.5100839983</v>
      </c>
    </row>
    <row r="76" spans="2:16">
      <c r="B76" s="45">
        <v>5</v>
      </c>
      <c r="C76" s="146">
        <v>60</v>
      </c>
      <c r="D76" s="156">
        <f t="shared" si="4"/>
        <v>1322377.5100839983</v>
      </c>
      <c r="E76" s="156">
        <f t="shared" si="3"/>
        <v>9417.5532455517805</v>
      </c>
      <c r="F76" s="156">
        <f t="shared" si="2"/>
        <v>6887.3828650208243</v>
      </c>
      <c r="G76" s="156">
        <f t="shared" si="0"/>
        <v>2530.1703805309562</v>
      </c>
      <c r="H76" s="157">
        <f t="shared" si="1"/>
        <v>1319847.3397034674</v>
      </c>
      <c r="I76" s="147">
        <f>+SUM(G65:G76)+SUM(F65:F76)</f>
        <v>113010.63894662137</v>
      </c>
    </row>
    <row r="77" spans="2:16">
      <c r="B77" s="39"/>
      <c r="C77" s="57">
        <v>61</v>
      </c>
      <c r="D77" s="143">
        <f t="shared" si="4"/>
        <v>1319847.3397034674</v>
      </c>
      <c r="E77" s="143">
        <f t="shared" si="3"/>
        <v>9417.5532455517805</v>
      </c>
      <c r="F77" s="143">
        <f t="shared" si="2"/>
        <v>6874.2048942888923</v>
      </c>
      <c r="G77" s="143">
        <f t="shared" si="0"/>
        <v>2543.3483512628882</v>
      </c>
      <c r="H77" s="144">
        <f t="shared" si="1"/>
        <v>1317303.9913522045</v>
      </c>
    </row>
    <row r="78" spans="2:16">
      <c r="B78" s="39"/>
      <c r="C78" s="57">
        <v>62</v>
      </c>
      <c r="D78" s="143">
        <f t="shared" si="4"/>
        <v>1317303.9913522045</v>
      </c>
      <c r="E78" s="143">
        <f t="shared" si="3"/>
        <v>9417.5532455517805</v>
      </c>
      <c r="F78" s="143">
        <f t="shared" si="2"/>
        <v>6860.9582882927316</v>
      </c>
      <c r="G78" s="143">
        <f t="shared" si="0"/>
        <v>2556.5949572590489</v>
      </c>
      <c r="H78" s="144">
        <f t="shared" si="1"/>
        <v>1314747.3963949454</v>
      </c>
    </row>
    <row r="79" spans="2:16">
      <c r="B79" s="39"/>
      <c r="C79" s="57">
        <v>63</v>
      </c>
      <c r="D79" s="143">
        <f t="shared" si="4"/>
        <v>1314747.3963949454</v>
      </c>
      <c r="E79" s="143">
        <f t="shared" si="3"/>
        <v>9417.5532455517805</v>
      </c>
      <c r="F79" s="143">
        <f t="shared" si="2"/>
        <v>6847.6426895570075</v>
      </c>
      <c r="G79" s="143">
        <f t="shared" si="0"/>
        <v>2569.9105559947729</v>
      </c>
      <c r="H79" s="144">
        <f t="shared" si="1"/>
        <v>1312177.4858389506</v>
      </c>
    </row>
    <row r="80" spans="2:16">
      <c r="B80" s="39"/>
      <c r="C80" s="57">
        <v>64</v>
      </c>
      <c r="D80" s="143">
        <f t="shared" si="4"/>
        <v>1312177.4858389506</v>
      </c>
      <c r="E80" s="143">
        <f t="shared" si="3"/>
        <v>9417.5532455517805</v>
      </c>
      <c r="F80" s="143">
        <f t="shared" si="2"/>
        <v>6834.2577387445344</v>
      </c>
      <c r="G80" s="143">
        <f t="shared" si="0"/>
        <v>2583.2955068072461</v>
      </c>
      <c r="H80" s="144">
        <f t="shared" si="1"/>
        <v>1309594.1903321433</v>
      </c>
    </row>
    <row r="81" spans="2:9">
      <c r="B81" s="39"/>
      <c r="C81" s="57">
        <v>65</v>
      </c>
      <c r="D81" s="143">
        <f t="shared" si="4"/>
        <v>1309594.1903321433</v>
      </c>
      <c r="E81" s="143">
        <f t="shared" si="3"/>
        <v>9417.5532455517805</v>
      </c>
      <c r="F81" s="143">
        <f t="shared" si="2"/>
        <v>6820.8030746465793</v>
      </c>
      <c r="G81" s="143">
        <f t="shared" ref="G81:G144" si="5">E81-F81</f>
        <v>2596.7501709052012</v>
      </c>
      <c r="H81" s="144">
        <f t="shared" ref="H81:H144" si="6">D81-G81</f>
        <v>1306997.4401612382</v>
      </c>
    </row>
    <row r="82" spans="2:9">
      <c r="B82" s="39"/>
      <c r="C82" s="57">
        <v>66</v>
      </c>
      <c r="D82" s="143">
        <f t="shared" si="4"/>
        <v>1306997.4401612382</v>
      </c>
      <c r="E82" s="143">
        <f t="shared" si="3"/>
        <v>9417.5532455517805</v>
      </c>
      <c r="F82" s="143">
        <f t="shared" ref="F82:F145" si="7">IF(C82&gt;$C$10,0,($C$6/12)*H81)</f>
        <v>6807.2783341731156</v>
      </c>
      <c r="G82" s="143">
        <f t="shared" si="5"/>
        <v>2610.2749113786649</v>
      </c>
      <c r="H82" s="144">
        <f t="shared" si="6"/>
        <v>1304387.1652498594</v>
      </c>
    </row>
    <row r="83" spans="2:9">
      <c r="B83" s="39"/>
      <c r="C83" s="57">
        <v>67</v>
      </c>
      <c r="D83" s="143">
        <f t="shared" si="4"/>
        <v>1304387.1652498594</v>
      </c>
      <c r="E83" s="143">
        <f t="shared" si="3"/>
        <v>9417.5532455517805</v>
      </c>
      <c r="F83" s="143">
        <f t="shared" si="7"/>
        <v>6793.6831523430174</v>
      </c>
      <c r="G83" s="143">
        <f t="shared" si="5"/>
        <v>2623.8700932087631</v>
      </c>
      <c r="H83" s="144">
        <f t="shared" si="6"/>
        <v>1301763.2951566507</v>
      </c>
      <c r="I83" s="147"/>
    </row>
    <row r="84" spans="2:9">
      <c r="B84" s="39"/>
      <c r="C84" s="57">
        <v>68</v>
      </c>
      <c r="D84" s="143">
        <f t="shared" si="4"/>
        <v>1301763.2951566507</v>
      </c>
      <c r="E84" s="143">
        <f t="shared" si="3"/>
        <v>9417.5532455517805</v>
      </c>
      <c r="F84" s="143">
        <f t="shared" si="7"/>
        <v>6780.0171622742218</v>
      </c>
      <c r="G84" s="143">
        <f t="shared" si="5"/>
        <v>2637.5360832775586</v>
      </c>
      <c r="H84" s="144">
        <f t="shared" si="6"/>
        <v>1299125.7590733732</v>
      </c>
    </row>
    <row r="85" spans="2:9">
      <c r="B85" s="39"/>
      <c r="C85" s="57">
        <v>69</v>
      </c>
      <c r="D85" s="143">
        <f t="shared" si="4"/>
        <v>1299125.7590733732</v>
      </c>
      <c r="E85" s="143">
        <f t="shared" ref="E85:E148" si="8">IF(C85&gt;$C$10,0,IF(C85&lt;=$C$8,F85,-PMT($C$6/12,$C$9,$C$5,0,0)))</f>
        <v>9417.5532455517805</v>
      </c>
      <c r="F85" s="143">
        <f t="shared" si="7"/>
        <v>6766.279995173818</v>
      </c>
      <c r="G85" s="143">
        <f t="shared" si="5"/>
        <v>2651.2732503779625</v>
      </c>
      <c r="H85" s="144">
        <f t="shared" si="6"/>
        <v>1296474.4858229952</v>
      </c>
    </row>
    <row r="86" spans="2:9">
      <c r="B86" s="39"/>
      <c r="C86" s="57">
        <v>70</v>
      </c>
      <c r="D86" s="143">
        <f t="shared" ref="D86:D149" si="9">IF(C86&gt;$C$10,0,H85)</f>
        <v>1296474.4858229952</v>
      </c>
      <c r="E86" s="143">
        <f t="shared" si="8"/>
        <v>9417.5532455517805</v>
      </c>
      <c r="F86" s="143">
        <f t="shared" si="7"/>
        <v>6752.4712803281</v>
      </c>
      <c r="G86" s="143">
        <f t="shared" si="5"/>
        <v>2665.0819652236805</v>
      </c>
      <c r="H86" s="144">
        <f t="shared" si="6"/>
        <v>1293809.4038577715</v>
      </c>
    </row>
    <row r="87" spans="2:9">
      <c r="B87" s="39"/>
      <c r="C87" s="57">
        <v>71</v>
      </c>
      <c r="D87" s="143">
        <f t="shared" si="9"/>
        <v>1293809.4038577715</v>
      </c>
      <c r="E87" s="143">
        <f t="shared" si="8"/>
        <v>9417.5532455517805</v>
      </c>
      <c r="F87" s="143">
        <f t="shared" si="7"/>
        <v>6738.5906450925595</v>
      </c>
      <c r="G87" s="143">
        <f t="shared" si="5"/>
        <v>2678.962600459221</v>
      </c>
      <c r="H87" s="144">
        <f t="shared" si="6"/>
        <v>1291130.4412573124</v>
      </c>
    </row>
    <row r="88" spans="2:9">
      <c r="B88" s="45">
        <v>6</v>
      </c>
      <c r="C88" s="146">
        <v>72</v>
      </c>
      <c r="D88" s="156">
        <f t="shared" si="9"/>
        <v>1291130.4412573124</v>
      </c>
      <c r="E88" s="156">
        <f t="shared" si="8"/>
        <v>9417.5532455517805</v>
      </c>
      <c r="F88" s="156">
        <f t="shared" si="7"/>
        <v>6724.6377148818356</v>
      </c>
      <c r="G88" s="156">
        <f t="shared" si="5"/>
        <v>2692.9155306699449</v>
      </c>
      <c r="H88" s="157">
        <f t="shared" si="6"/>
        <v>1288437.5257266425</v>
      </c>
      <c r="I88" s="147">
        <f>+SUM(G77:G88)+SUM(F77:F88)</f>
        <v>113010.63894662136</v>
      </c>
    </row>
    <row r="89" spans="2:9">
      <c r="B89" s="39"/>
      <c r="C89" s="57">
        <v>73</v>
      </c>
      <c r="D89" s="143">
        <f t="shared" si="9"/>
        <v>1288437.5257266425</v>
      </c>
      <c r="E89" s="143">
        <f t="shared" si="8"/>
        <v>9417.5532455517805</v>
      </c>
      <c r="F89" s="143">
        <f t="shared" si="7"/>
        <v>6710.6121131595955</v>
      </c>
      <c r="G89" s="143">
        <f t="shared" si="5"/>
        <v>2706.941132392185</v>
      </c>
      <c r="H89" s="144">
        <f t="shared" si="6"/>
        <v>1285730.5845942502</v>
      </c>
    </row>
    <row r="90" spans="2:9">
      <c r="B90" s="39"/>
      <c r="C90" s="57">
        <v>74</v>
      </c>
      <c r="D90" s="143">
        <f t="shared" si="9"/>
        <v>1285730.5845942502</v>
      </c>
      <c r="E90" s="143">
        <f t="shared" si="8"/>
        <v>9417.5532455517805</v>
      </c>
      <c r="F90" s="143">
        <f t="shared" si="7"/>
        <v>6696.5134614283861</v>
      </c>
      <c r="G90" s="143">
        <f t="shared" si="5"/>
        <v>2721.0397841233944</v>
      </c>
      <c r="H90" s="144">
        <f t="shared" si="6"/>
        <v>1283009.5448101268</v>
      </c>
    </row>
    <row r="91" spans="2:9">
      <c r="B91" s="39"/>
      <c r="C91" s="57">
        <v>75</v>
      </c>
      <c r="D91" s="143">
        <f t="shared" si="9"/>
        <v>1283009.5448101268</v>
      </c>
      <c r="E91" s="143">
        <f t="shared" si="8"/>
        <v>9417.5532455517805</v>
      </c>
      <c r="F91" s="143">
        <f t="shared" si="7"/>
        <v>6682.3413792194096</v>
      </c>
      <c r="G91" s="143">
        <f t="shared" si="5"/>
        <v>2735.2118663323708</v>
      </c>
      <c r="H91" s="144">
        <f t="shared" si="6"/>
        <v>1280274.3329437943</v>
      </c>
    </row>
    <row r="92" spans="2:9">
      <c r="B92" s="39"/>
      <c r="C92" s="57">
        <v>76</v>
      </c>
      <c r="D92" s="143">
        <f t="shared" si="9"/>
        <v>1280274.3329437943</v>
      </c>
      <c r="E92" s="143">
        <f t="shared" si="8"/>
        <v>9417.5532455517805</v>
      </c>
      <c r="F92" s="143">
        <f t="shared" si="7"/>
        <v>6668.0954840822615</v>
      </c>
      <c r="G92" s="143">
        <f t="shared" si="5"/>
        <v>2749.457761469519</v>
      </c>
      <c r="H92" s="144">
        <f t="shared" si="6"/>
        <v>1277524.8751823248</v>
      </c>
    </row>
    <row r="93" spans="2:9">
      <c r="B93" s="39"/>
      <c r="C93" s="57">
        <v>77</v>
      </c>
      <c r="D93" s="143">
        <f t="shared" si="9"/>
        <v>1277524.8751823248</v>
      </c>
      <c r="E93" s="143">
        <f t="shared" si="8"/>
        <v>9417.5532455517805</v>
      </c>
      <c r="F93" s="143">
        <f t="shared" si="7"/>
        <v>6653.775391574608</v>
      </c>
      <c r="G93" s="143">
        <f t="shared" si="5"/>
        <v>2763.7778539771725</v>
      </c>
      <c r="H93" s="144">
        <f t="shared" si="6"/>
        <v>1274761.0973283476</v>
      </c>
    </row>
    <row r="94" spans="2:9">
      <c r="B94" s="39"/>
      <c r="C94" s="57">
        <v>78</v>
      </c>
      <c r="D94" s="143">
        <f t="shared" si="9"/>
        <v>1274761.0973283476</v>
      </c>
      <c r="E94" s="143">
        <f t="shared" si="8"/>
        <v>9417.5532455517805</v>
      </c>
      <c r="F94" s="143">
        <f t="shared" si="7"/>
        <v>6639.3807152518102</v>
      </c>
      <c r="G94" s="143">
        <f t="shared" si="5"/>
        <v>2778.1725302999703</v>
      </c>
      <c r="H94" s="144">
        <f t="shared" si="6"/>
        <v>1271982.9247980476</v>
      </c>
    </row>
    <row r="95" spans="2:9">
      <c r="B95" s="39"/>
      <c r="C95" s="57">
        <v>79</v>
      </c>
      <c r="D95" s="143">
        <f t="shared" si="9"/>
        <v>1271982.9247980476</v>
      </c>
      <c r="E95" s="143">
        <f t="shared" si="8"/>
        <v>9417.5532455517805</v>
      </c>
      <c r="F95" s="143">
        <f t="shared" si="7"/>
        <v>6624.9110666564975</v>
      </c>
      <c r="G95" s="143">
        <f t="shared" si="5"/>
        <v>2792.642178895283</v>
      </c>
      <c r="H95" s="144">
        <f t="shared" si="6"/>
        <v>1269190.2826191525</v>
      </c>
      <c r="I95" s="147"/>
    </row>
    <row r="96" spans="2:9">
      <c r="B96" s="39"/>
      <c r="C96" s="57">
        <v>80</v>
      </c>
      <c r="D96" s="143">
        <f t="shared" si="9"/>
        <v>1269190.2826191525</v>
      </c>
      <c r="E96" s="143">
        <f t="shared" si="8"/>
        <v>9417.5532455517805</v>
      </c>
      <c r="F96" s="143">
        <f t="shared" si="7"/>
        <v>6610.3660553080854</v>
      </c>
      <c r="G96" s="143">
        <f t="shared" si="5"/>
        <v>2807.1871902436951</v>
      </c>
      <c r="H96" s="144">
        <f t="shared" si="6"/>
        <v>1266383.0954289087</v>
      </c>
    </row>
    <row r="97" spans="2:9">
      <c r="B97" s="39"/>
      <c r="C97" s="57">
        <v>81</v>
      </c>
      <c r="D97" s="143">
        <f t="shared" si="9"/>
        <v>1266383.0954289087</v>
      </c>
      <c r="E97" s="143">
        <f t="shared" si="8"/>
        <v>9417.5532455517805</v>
      </c>
      <c r="F97" s="143">
        <f t="shared" si="7"/>
        <v>6595.7452886922329</v>
      </c>
      <c r="G97" s="143">
        <f t="shared" si="5"/>
        <v>2821.8079568595476</v>
      </c>
      <c r="H97" s="144">
        <f t="shared" si="6"/>
        <v>1263561.2874720492</v>
      </c>
    </row>
    <row r="98" spans="2:9">
      <c r="B98" s="39"/>
      <c r="C98" s="57">
        <v>82</v>
      </c>
      <c r="D98" s="143">
        <f t="shared" si="9"/>
        <v>1263561.2874720492</v>
      </c>
      <c r="E98" s="143">
        <f t="shared" si="8"/>
        <v>9417.5532455517805</v>
      </c>
      <c r="F98" s="143">
        <f t="shared" si="7"/>
        <v>6581.0483722502559</v>
      </c>
      <c r="G98" s="143">
        <f t="shared" si="5"/>
        <v>2836.5048733015246</v>
      </c>
      <c r="H98" s="144">
        <f t="shared" si="6"/>
        <v>1260724.7825987476</v>
      </c>
    </row>
    <row r="99" spans="2:9">
      <c r="B99" s="39"/>
      <c r="C99" s="57">
        <v>83</v>
      </c>
      <c r="D99" s="143">
        <f t="shared" si="9"/>
        <v>1260724.7825987476</v>
      </c>
      <c r="E99" s="143">
        <f t="shared" si="8"/>
        <v>9417.5532455517805</v>
      </c>
      <c r="F99" s="143">
        <f t="shared" si="7"/>
        <v>6566.274909368477</v>
      </c>
      <c r="G99" s="143">
        <f t="shared" si="5"/>
        <v>2851.2783361833035</v>
      </c>
      <c r="H99" s="144">
        <f t="shared" si="6"/>
        <v>1257873.5042625642</v>
      </c>
    </row>
    <row r="100" spans="2:9">
      <c r="B100" s="45">
        <v>7</v>
      </c>
      <c r="C100" s="146">
        <v>84</v>
      </c>
      <c r="D100" s="156">
        <f t="shared" si="9"/>
        <v>1257873.5042625642</v>
      </c>
      <c r="E100" s="156">
        <f t="shared" si="8"/>
        <v>9417.5532455517805</v>
      </c>
      <c r="F100" s="156">
        <f t="shared" si="7"/>
        <v>6551.4245013675218</v>
      </c>
      <c r="G100" s="156">
        <f t="shared" si="5"/>
        <v>2866.1287441842587</v>
      </c>
      <c r="H100" s="157">
        <f t="shared" si="6"/>
        <v>1255007.37551838</v>
      </c>
      <c r="I100" s="147">
        <f>+SUM(G89:G100)+SUM(F89:F100)</f>
        <v>113010.63894662137</v>
      </c>
    </row>
    <row r="101" spans="2:9">
      <c r="B101" s="39"/>
      <c r="C101" s="57">
        <v>85</v>
      </c>
      <c r="D101" s="143">
        <f t="shared" si="9"/>
        <v>1255007.37551838</v>
      </c>
      <c r="E101" s="143">
        <f t="shared" si="8"/>
        <v>9417.5532455517805</v>
      </c>
      <c r="F101" s="143">
        <f t="shared" si="7"/>
        <v>6536.496747491562</v>
      </c>
      <c r="G101" s="143">
        <f t="shared" si="5"/>
        <v>2881.0564980602185</v>
      </c>
      <c r="H101" s="144">
        <f t="shared" si="6"/>
        <v>1252126.3190203197</v>
      </c>
    </row>
    <row r="102" spans="2:9">
      <c r="B102" s="39"/>
      <c r="C102" s="57">
        <v>86</v>
      </c>
      <c r="D102" s="143">
        <f t="shared" si="9"/>
        <v>1252126.3190203197</v>
      </c>
      <c r="E102" s="143">
        <f t="shared" si="8"/>
        <v>9417.5532455517805</v>
      </c>
      <c r="F102" s="143">
        <f t="shared" si="7"/>
        <v>6521.4912448974983</v>
      </c>
      <c r="G102" s="143">
        <f t="shared" si="5"/>
        <v>2896.0620006542822</v>
      </c>
      <c r="H102" s="144">
        <f t="shared" si="6"/>
        <v>1249230.2570196656</v>
      </c>
    </row>
    <row r="103" spans="2:9">
      <c r="B103" s="39"/>
      <c r="C103" s="57">
        <v>87</v>
      </c>
      <c r="D103" s="143">
        <f t="shared" si="9"/>
        <v>1249230.2570196656</v>
      </c>
      <c r="E103" s="143">
        <f t="shared" si="8"/>
        <v>9417.5532455517805</v>
      </c>
      <c r="F103" s="143">
        <f t="shared" si="7"/>
        <v>6506.4075886440914</v>
      </c>
      <c r="G103" s="143">
        <f t="shared" si="5"/>
        <v>2911.145656907689</v>
      </c>
      <c r="H103" s="144">
        <f t="shared" si="6"/>
        <v>1246319.1113627579</v>
      </c>
    </row>
    <row r="104" spans="2:9">
      <c r="B104" s="39"/>
      <c r="C104" s="57">
        <v>88</v>
      </c>
      <c r="D104" s="143">
        <f t="shared" si="9"/>
        <v>1246319.1113627579</v>
      </c>
      <c r="E104" s="143">
        <f t="shared" si="8"/>
        <v>9417.5532455517805</v>
      </c>
      <c r="F104" s="143">
        <f t="shared" si="7"/>
        <v>6491.2453716810305</v>
      </c>
      <c r="G104" s="143">
        <f t="shared" si="5"/>
        <v>2926.30787387075</v>
      </c>
      <c r="H104" s="144">
        <f t="shared" si="6"/>
        <v>1243392.8034888871</v>
      </c>
    </row>
    <row r="105" spans="2:9">
      <c r="B105" s="39"/>
      <c r="C105" s="57">
        <v>89</v>
      </c>
      <c r="D105" s="143">
        <f t="shared" si="9"/>
        <v>1243392.8034888871</v>
      </c>
      <c r="E105" s="143">
        <f t="shared" si="8"/>
        <v>9417.5532455517805</v>
      </c>
      <c r="F105" s="143">
        <f t="shared" si="7"/>
        <v>6476.0041848379533</v>
      </c>
      <c r="G105" s="143">
        <f t="shared" si="5"/>
        <v>2941.5490607138272</v>
      </c>
      <c r="H105" s="144">
        <f t="shared" si="6"/>
        <v>1240451.2544281734</v>
      </c>
    </row>
    <row r="106" spans="2:9">
      <c r="B106" s="39"/>
      <c r="C106" s="57">
        <v>90</v>
      </c>
      <c r="D106" s="143">
        <f t="shared" si="9"/>
        <v>1240451.2544281734</v>
      </c>
      <c r="E106" s="143">
        <f t="shared" si="8"/>
        <v>9417.5532455517805</v>
      </c>
      <c r="F106" s="143">
        <f t="shared" si="7"/>
        <v>6460.6836168134032</v>
      </c>
      <c r="G106" s="143">
        <f t="shared" si="5"/>
        <v>2956.8696287383773</v>
      </c>
      <c r="H106" s="144">
        <f t="shared" si="6"/>
        <v>1237494.384799435</v>
      </c>
    </row>
    <row r="107" spans="2:9">
      <c r="B107" s="39"/>
      <c r="C107" s="57">
        <v>91</v>
      </c>
      <c r="D107" s="143">
        <f t="shared" si="9"/>
        <v>1237494.384799435</v>
      </c>
      <c r="E107" s="143">
        <f t="shared" si="8"/>
        <v>9417.5532455517805</v>
      </c>
      <c r="F107" s="143">
        <f t="shared" si="7"/>
        <v>6445.2832541637235</v>
      </c>
      <c r="G107" s="143">
        <f t="shared" si="5"/>
        <v>2972.269991388057</v>
      </c>
      <c r="H107" s="144">
        <f t="shared" si="6"/>
        <v>1234522.114808047</v>
      </c>
    </row>
    <row r="108" spans="2:9">
      <c r="B108" s="39"/>
      <c r="C108" s="57">
        <v>92</v>
      </c>
      <c r="D108" s="143">
        <f t="shared" si="9"/>
        <v>1234522.114808047</v>
      </c>
      <c r="E108" s="143">
        <f t="shared" si="8"/>
        <v>9417.5532455517805</v>
      </c>
      <c r="F108" s="143">
        <f t="shared" si="7"/>
        <v>6429.8026812919106</v>
      </c>
      <c r="G108" s="143">
        <f t="shared" si="5"/>
        <v>2987.7505642598699</v>
      </c>
      <c r="H108" s="144">
        <f t="shared" si="6"/>
        <v>1231534.364243787</v>
      </c>
    </row>
    <row r="109" spans="2:9">
      <c r="B109" s="39"/>
      <c r="C109" s="57">
        <v>93</v>
      </c>
      <c r="D109" s="143">
        <f t="shared" si="9"/>
        <v>1231534.364243787</v>
      </c>
      <c r="E109" s="143">
        <f t="shared" si="8"/>
        <v>9417.5532455517805</v>
      </c>
      <c r="F109" s="143">
        <f t="shared" si="7"/>
        <v>6414.2414804363907</v>
      </c>
      <c r="G109" s="143">
        <f t="shared" si="5"/>
        <v>3003.3117651153898</v>
      </c>
      <c r="H109" s="144">
        <f t="shared" si="6"/>
        <v>1228531.0524786715</v>
      </c>
    </row>
    <row r="110" spans="2:9">
      <c r="B110" s="39"/>
      <c r="C110" s="57">
        <v>94</v>
      </c>
      <c r="D110" s="143">
        <f t="shared" si="9"/>
        <v>1228531.0524786715</v>
      </c>
      <c r="E110" s="143">
        <f t="shared" si="8"/>
        <v>9417.5532455517805</v>
      </c>
      <c r="F110" s="143">
        <f t="shared" si="7"/>
        <v>6398.5992316597476</v>
      </c>
      <c r="G110" s="143">
        <f t="shared" si="5"/>
        <v>3018.9540138920329</v>
      </c>
      <c r="H110" s="144">
        <f t="shared" si="6"/>
        <v>1225512.0984647796</v>
      </c>
    </row>
    <row r="111" spans="2:9">
      <c r="B111" s="39"/>
      <c r="C111" s="57">
        <v>95</v>
      </c>
      <c r="D111" s="143">
        <f t="shared" si="9"/>
        <v>1225512.0984647796</v>
      </c>
      <c r="E111" s="143">
        <f t="shared" si="8"/>
        <v>9417.5532455517805</v>
      </c>
      <c r="F111" s="143">
        <f t="shared" si="7"/>
        <v>6382.8755128373932</v>
      </c>
      <c r="G111" s="143">
        <f t="shared" si="5"/>
        <v>3034.6777327143873</v>
      </c>
      <c r="H111" s="144">
        <f t="shared" si="6"/>
        <v>1222477.4207320651</v>
      </c>
    </row>
    <row r="112" spans="2:9">
      <c r="B112" s="45">
        <v>8</v>
      </c>
      <c r="C112" s="146">
        <v>96</v>
      </c>
      <c r="D112" s="156">
        <f t="shared" si="9"/>
        <v>1222477.4207320651</v>
      </c>
      <c r="E112" s="156">
        <f t="shared" si="8"/>
        <v>9417.5532455517805</v>
      </c>
      <c r="F112" s="156">
        <f t="shared" si="7"/>
        <v>6367.0698996461724</v>
      </c>
      <c r="G112" s="156">
        <f t="shared" si="5"/>
        <v>3050.4833459056081</v>
      </c>
      <c r="H112" s="157">
        <f t="shared" si="6"/>
        <v>1219426.9373861596</v>
      </c>
      <c r="I112" s="147">
        <f>+SUM(G101:G112)+SUM(F101:F112)</f>
        <v>113010.63894662139</v>
      </c>
    </row>
    <row r="113" spans="2:9">
      <c r="B113" s="186"/>
      <c r="C113" s="187">
        <v>97</v>
      </c>
      <c r="D113" s="188">
        <f t="shared" si="9"/>
        <v>1219426.9373861596</v>
      </c>
      <c r="E113" s="188">
        <f t="shared" si="8"/>
        <v>9417.5532455517805</v>
      </c>
      <c r="F113" s="188">
        <f t="shared" si="7"/>
        <v>6351.1819655529143</v>
      </c>
      <c r="G113" s="188">
        <f t="shared" si="5"/>
        <v>3066.3712799988662</v>
      </c>
      <c r="H113" s="189">
        <f t="shared" si="6"/>
        <v>1216360.5661061606</v>
      </c>
    </row>
    <row r="114" spans="2:9">
      <c r="B114" s="39"/>
      <c r="C114" s="57">
        <v>98</v>
      </c>
      <c r="D114" s="143">
        <f t="shared" si="9"/>
        <v>1216360.5661061606</v>
      </c>
      <c r="E114" s="143">
        <f t="shared" si="8"/>
        <v>9417.5532455517805</v>
      </c>
      <c r="F114" s="143">
        <f t="shared" si="7"/>
        <v>6335.21128180292</v>
      </c>
      <c r="G114" s="143">
        <f t="shared" si="5"/>
        <v>3082.3419637488605</v>
      </c>
      <c r="H114" s="144">
        <f t="shared" si="6"/>
        <v>1213278.2241424117</v>
      </c>
    </row>
    <row r="115" spans="2:9">
      <c r="B115" s="39"/>
      <c r="C115" s="57">
        <v>99</v>
      </c>
      <c r="D115" s="143">
        <f t="shared" si="9"/>
        <v>1213278.2241424117</v>
      </c>
      <c r="E115" s="143">
        <f t="shared" si="8"/>
        <v>9417.5532455517805</v>
      </c>
      <c r="F115" s="143">
        <f t="shared" si="7"/>
        <v>6319.1574174083944</v>
      </c>
      <c r="G115" s="143">
        <f t="shared" si="5"/>
        <v>3098.3958281433861</v>
      </c>
      <c r="H115" s="144">
        <f t="shared" si="6"/>
        <v>1210179.8283142683</v>
      </c>
    </row>
    <row r="116" spans="2:9">
      <c r="B116" s="39"/>
      <c r="C116" s="57">
        <v>100</v>
      </c>
      <c r="D116" s="143">
        <f t="shared" si="9"/>
        <v>1210179.8283142683</v>
      </c>
      <c r="E116" s="143">
        <f t="shared" si="8"/>
        <v>9417.5532455517805</v>
      </c>
      <c r="F116" s="143">
        <f t="shared" si="7"/>
        <v>6303.0199391368133</v>
      </c>
      <c r="G116" s="143">
        <f t="shared" si="5"/>
        <v>3114.5333064149672</v>
      </c>
      <c r="H116" s="144">
        <f t="shared" si="6"/>
        <v>1207065.2950078533</v>
      </c>
    </row>
    <row r="117" spans="2:9">
      <c r="B117" s="39"/>
      <c r="C117" s="57">
        <v>101</v>
      </c>
      <c r="D117" s="143">
        <f t="shared" si="9"/>
        <v>1207065.2950078533</v>
      </c>
      <c r="E117" s="143">
        <f t="shared" si="8"/>
        <v>9417.5532455517805</v>
      </c>
      <c r="F117" s="143">
        <f t="shared" si="7"/>
        <v>6286.798411499236</v>
      </c>
      <c r="G117" s="143">
        <f t="shared" si="5"/>
        <v>3130.7548340525445</v>
      </c>
      <c r="H117" s="144">
        <f t="shared" si="6"/>
        <v>1203934.5401738007</v>
      </c>
    </row>
    <row r="118" spans="2:9">
      <c r="B118" s="39"/>
      <c r="C118" s="57">
        <v>102</v>
      </c>
      <c r="D118" s="143">
        <f t="shared" si="9"/>
        <v>1203934.5401738007</v>
      </c>
      <c r="E118" s="143">
        <f t="shared" si="8"/>
        <v>9417.5532455517805</v>
      </c>
      <c r="F118" s="143">
        <f t="shared" si="7"/>
        <v>6270.4923967385448</v>
      </c>
      <c r="G118" s="143">
        <f t="shared" si="5"/>
        <v>3147.0608488132357</v>
      </c>
      <c r="H118" s="144">
        <f t="shared" si="6"/>
        <v>1200787.4793249874</v>
      </c>
    </row>
    <row r="119" spans="2:9">
      <c r="B119" s="39"/>
      <c r="C119" s="57">
        <v>103</v>
      </c>
      <c r="D119" s="143">
        <f t="shared" si="9"/>
        <v>1200787.4793249874</v>
      </c>
      <c r="E119" s="143">
        <f t="shared" si="8"/>
        <v>9417.5532455517805</v>
      </c>
      <c r="F119" s="143">
        <f t="shared" si="7"/>
        <v>6254.1014548176427</v>
      </c>
      <c r="G119" s="143">
        <f t="shared" si="5"/>
        <v>3163.4517907341378</v>
      </c>
      <c r="H119" s="144">
        <f t="shared" si="6"/>
        <v>1197624.0275342532</v>
      </c>
    </row>
    <row r="120" spans="2:9">
      <c r="B120" s="39"/>
      <c r="C120" s="57">
        <v>104</v>
      </c>
      <c r="D120" s="143">
        <f t="shared" si="9"/>
        <v>1197624.0275342532</v>
      </c>
      <c r="E120" s="143">
        <f t="shared" si="8"/>
        <v>9417.5532455517805</v>
      </c>
      <c r="F120" s="143">
        <f t="shared" si="7"/>
        <v>6237.6251434075684</v>
      </c>
      <c r="G120" s="143">
        <f t="shared" si="5"/>
        <v>3179.9281021442121</v>
      </c>
      <c r="H120" s="144">
        <f t="shared" si="6"/>
        <v>1194444.0994321089</v>
      </c>
    </row>
    <row r="121" spans="2:9">
      <c r="B121" s="39"/>
      <c r="C121" s="57">
        <v>105</v>
      </c>
      <c r="D121" s="143">
        <f t="shared" si="9"/>
        <v>1194444.0994321089</v>
      </c>
      <c r="E121" s="143">
        <f t="shared" si="8"/>
        <v>9417.5532455517805</v>
      </c>
      <c r="F121" s="143">
        <f t="shared" si="7"/>
        <v>6221.0630178755673</v>
      </c>
      <c r="G121" s="143">
        <f t="shared" si="5"/>
        <v>3196.4902276762132</v>
      </c>
      <c r="H121" s="144">
        <f t="shared" si="6"/>
        <v>1191247.6092044327</v>
      </c>
    </row>
    <row r="122" spans="2:9">
      <c r="B122" s="39"/>
      <c r="C122" s="57">
        <v>106</v>
      </c>
      <c r="D122" s="143">
        <f t="shared" si="9"/>
        <v>1191247.6092044327</v>
      </c>
      <c r="E122" s="143">
        <f t="shared" si="8"/>
        <v>9417.5532455517805</v>
      </c>
      <c r="F122" s="143">
        <f t="shared" si="7"/>
        <v>6204.4146312730863</v>
      </c>
      <c r="G122" s="143">
        <f t="shared" si="5"/>
        <v>3213.1386142786941</v>
      </c>
      <c r="H122" s="144">
        <f t="shared" si="6"/>
        <v>1188034.4705901539</v>
      </c>
    </row>
    <row r="123" spans="2:9">
      <c r="B123" s="39"/>
      <c r="C123" s="57">
        <v>107</v>
      </c>
      <c r="D123" s="143">
        <f t="shared" si="9"/>
        <v>1188034.4705901539</v>
      </c>
      <c r="E123" s="143">
        <f t="shared" si="8"/>
        <v>9417.5532455517805</v>
      </c>
      <c r="F123" s="143">
        <f t="shared" si="7"/>
        <v>6187.6795343237181</v>
      </c>
      <c r="G123" s="143">
        <f t="shared" si="5"/>
        <v>3229.8737112280623</v>
      </c>
      <c r="H123" s="144">
        <f t="shared" si="6"/>
        <v>1184804.5968789258</v>
      </c>
    </row>
    <row r="124" spans="2:9">
      <c r="B124" s="45">
        <v>9</v>
      </c>
      <c r="C124" s="146">
        <v>108</v>
      </c>
      <c r="D124" s="156">
        <f t="shared" si="9"/>
        <v>1184804.5968789258</v>
      </c>
      <c r="E124" s="156">
        <f t="shared" si="8"/>
        <v>9417.5532455517805</v>
      </c>
      <c r="F124" s="156">
        <f t="shared" si="7"/>
        <v>6170.8572754110719</v>
      </c>
      <c r="G124" s="156">
        <f t="shared" si="5"/>
        <v>3246.6959701407086</v>
      </c>
      <c r="H124" s="157">
        <f t="shared" si="6"/>
        <v>1181557.9009087852</v>
      </c>
      <c r="I124" s="147">
        <f>+SUM(G113:G124)+SUM(F113:F124)</f>
        <v>113010.63894662136</v>
      </c>
    </row>
    <row r="125" spans="2:9">
      <c r="B125" s="186"/>
      <c r="C125" s="187">
        <v>109</v>
      </c>
      <c r="D125" s="188">
        <f t="shared" si="9"/>
        <v>1181557.9009087852</v>
      </c>
      <c r="E125" s="188">
        <f t="shared" si="8"/>
        <v>9417.5532455517805</v>
      </c>
      <c r="F125" s="188">
        <f t="shared" si="7"/>
        <v>6153.9474005665888</v>
      </c>
      <c r="G125" s="188">
        <f t="shared" si="5"/>
        <v>3263.6058449851917</v>
      </c>
      <c r="H125" s="189">
        <f t="shared" si="6"/>
        <v>1178294.2950637999</v>
      </c>
    </row>
    <row r="126" spans="2:9">
      <c r="B126" s="39"/>
      <c r="C126" s="57">
        <v>110</v>
      </c>
      <c r="D126" s="143">
        <f t="shared" si="9"/>
        <v>1178294.2950637999</v>
      </c>
      <c r="E126" s="143">
        <f t="shared" si="8"/>
        <v>9417.5532455517805</v>
      </c>
      <c r="F126" s="143">
        <f t="shared" si="7"/>
        <v>6136.9494534572914</v>
      </c>
      <c r="G126" s="143">
        <f t="shared" si="5"/>
        <v>3280.6037920944891</v>
      </c>
      <c r="H126" s="144">
        <f t="shared" si="6"/>
        <v>1175013.6912717056</v>
      </c>
    </row>
    <row r="127" spans="2:9">
      <c r="B127" s="39"/>
      <c r="C127" s="57">
        <v>111</v>
      </c>
      <c r="D127" s="143">
        <f t="shared" si="9"/>
        <v>1175013.6912717056</v>
      </c>
      <c r="E127" s="143">
        <f t="shared" si="8"/>
        <v>9417.5532455517805</v>
      </c>
      <c r="F127" s="143">
        <f t="shared" si="7"/>
        <v>6119.8629753734658</v>
      </c>
      <c r="G127" s="143">
        <f t="shared" si="5"/>
        <v>3297.6902701783147</v>
      </c>
      <c r="H127" s="144">
        <f t="shared" si="6"/>
        <v>1171716.0010015273</v>
      </c>
    </row>
    <row r="128" spans="2:9">
      <c r="B128" s="39"/>
      <c r="C128" s="57">
        <v>112</v>
      </c>
      <c r="D128" s="143">
        <f t="shared" si="9"/>
        <v>1171716.0010015273</v>
      </c>
      <c r="E128" s="143">
        <f t="shared" si="8"/>
        <v>9417.5532455517805</v>
      </c>
      <c r="F128" s="143">
        <f t="shared" si="7"/>
        <v>6102.6875052162877</v>
      </c>
      <c r="G128" s="143">
        <f t="shared" si="5"/>
        <v>3314.8657403354928</v>
      </c>
      <c r="H128" s="144">
        <f t="shared" si="6"/>
        <v>1168401.1352611918</v>
      </c>
    </row>
    <row r="129" spans="2:9">
      <c r="B129" s="39"/>
      <c r="C129" s="57">
        <v>113</v>
      </c>
      <c r="D129" s="143">
        <f t="shared" si="9"/>
        <v>1168401.1352611918</v>
      </c>
      <c r="E129" s="143">
        <f t="shared" si="8"/>
        <v>9417.5532455517805</v>
      </c>
      <c r="F129" s="143">
        <f t="shared" si="7"/>
        <v>6085.4225794853737</v>
      </c>
      <c r="G129" s="143">
        <f t="shared" si="5"/>
        <v>3332.1306660664068</v>
      </c>
      <c r="H129" s="144">
        <f t="shared" si="6"/>
        <v>1165069.0045951253</v>
      </c>
    </row>
    <row r="130" spans="2:9">
      <c r="B130" s="39"/>
      <c r="C130" s="57">
        <v>114</v>
      </c>
      <c r="D130" s="143">
        <f t="shared" si="9"/>
        <v>1165069.0045951253</v>
      </c>
      <c r="E130" s="143">
        <f t="shared" si="8"/>
        <v>9417.5532455517805</v>
      </c>
      <c r="F130" s="143">
        <f t="shared" si="7"/>
        <v>6068.0677322662777</v>
      </c>
      <c r="G130" s="143">
        <f t="shared" si="5"/>
        <v>3349.4855132855027</v>
      </c>
      <c r="H130" s="144">
        <f t="shared" si="6"/>
        <v>1161719.5190818398</v>
      </c>
    </row>
    <row r="131" spans="2:9">
      <c r="B131" s="39"/>
      <c r="C131" s="57">
        <v>115</v>
      </c>
      <c r="D131" s="143">
        <f t="shared" si="9"/>
        <v>1161719.5190818398</v>
      </c>
      <c r="E131" s="143">
        <f t="shared" si="8"/>
        <v>9417.5532455517805</v>
      </c>
      <c r="F131" s="143">
        <f t="shared" si="7"/>
        <v>6050.6224952179155</v>
      </c>
      <c r="G131" s="143">
        <f t="shared" si="5"/>
        <v>3366.930750333865</v>
      </c>
      <c r="H131" s="144">
        <f t="shared" si="6"/>
        <v>1158352.5883315059</v>
      </c>
    </row>
    <row r="132" spans="2:9">
      <c r="B132" s="39"/>
      <c r="C132" s="57">
        <v>116</v>
      </c>
      <c r="D132" s="143">
        <f t="shared" si="9"/>
        <v>1158352.5883315059</v>
      </c>
      <c r="E132" s="143">
        <f t="shared" si="8"/>
        <v>9417.5532455517805</v>
      </c>
      <c r="F132" s="143">
        <f t="shared" si="7"/>
        <v>6033.0863975599259</v>
      </c>
      <c r="G132" s="143">
        <f t="shared" si="5"/>
        <v>3384.4668479918546</v>
      </c>
      <c r="H132" s="144">
        <f t="shared" si="6"/>
        <v>1154968.1214835141</v>
      </c>
    </row>
    <row r="133" spans="2:9">
      <c r="B133" s="39"/>
      <c r="C133" s="57">
        <v>117</v>
      </c>
      <c r="D133" s="143">
        <f t="shared" si="9"/>
        <v>1154968.1214835141</v>
      </c>
      <c r="E133" s="143">
        <f t="shared" si="8"/>
        <v>9417.5532455517805</v>
      </c>
      <c r="F133" s="143">
        <f t="shared" si="7"/>
        <v>6015.4589660599686</v>
      </c>
      <c r="G133" s="143">
        <f t="shared" si="5"/>
        <v>3402.0942794918119</v>
      </c>
      <c r="H133" s="144">
        <f t="shared" si="6"/>
        <v>1151566.0272040223</v>
      </c>
    </row>
    <row r="134" spans="2:9">
      <c r="B134" s="39"/>
      <c r="C134" s="57">
        <v>118</v>
      </c>
      <c r="D134" s="143">
        <f t="shared" si="9"/>
        <v>1151566.0272040223</v>
      </c>
      <c r="E134" s="143">
        <f t="shared" si="8"/>
        <v>9417.5532455517805</v>
      </c>
      <c r="F134" s="143">
        <f t="shared" si="7"/>
        <v>5997.7397250209488</v>
      </c>
      <c r="G134" s="143">
        <f t="shared" si="5"/>
        <v>3419.8135205308317</v>
      </c>
      <c r="H134" s="144">
        <f t="shared" si="6"/>
        <v>1148146.2136834913</v>
      </c>
    </row>
    <row r="135" spans="2:9">
      <c r="B135" s="39"/>
      <c r="C135" s="57">
        <v>119</v>
      </c>
      <c r="D135" s="143">
        <f t="shared" si="9"/>
        <v>1148146.2136834913</v>
      </c>
      <c r="E135" s="143">
        <f t="shared" si="8"/>
        <v>9417.5532455517805</v>
      </c>
      <c r="F135" s="143">
        <f t="shared" si="7"/>
        <v>5979.9281962681835</v>
      </c>
      <c r="G135" s="143">
        <f t="shared" si="5"/>
        <v>3437.625049283597</v>
      </c>
      <c r="H135" s="144">
        <f t="shared" si="6"/>
        <v>1144708.5886342078</v>
      </c>
    </row>
    <row r="136" spans="2:9">
      <c r="B136" s="45">
        <v>10</v>
      </c>
      <c r="C136" s="146">
        <v>120</v>
      </c>
      <c r="D136" s="156">
        <f t="shared" si="9"/>
        <v>1144708.5886342078</v>
      </c>
      <c r="E136" s="156">
        <f t="shared" si="8"/>
        <v>9417.5532455517805</v>
      </c>
      <c r="F136" s="156">
        <f t="shared" si="7"/>
        <v>5962.0238991364986</v>
      </c>
      <c r="G136" s="156">
        <f t="shared" si="5"/>
        <v>3455.5293464152819</v>
      </c>
      <c r="H136" s="157">
        <f t="shared" si="6"/>
        <v>1141253.0592877925</v>
      </c>
      <c r="I136" s="147">
        <f>+SUM(G125:G136)+SUM(F125:F136)</f>
        <v>113010.63894662137</v>
      </c>
    </row>
    <row r="137" spans="2:9">
      <c r="B137" s="186"/>
      <c r="C137" s="187">
        <v>121</v>
      </c>
      <c r="D137" s="188">
        <f t="shared" si="9"/>
        <v>1141253.0592877925</v>
      </c>
      <c r="E137" s="188">
        <f t="shared" si="8"/>
        <v>9417.5532455517805</v>
      </c>
      <c r="F137" s="188">
        <f t="shared" si="7"/>
        <v>5944.0263504572522</v>
      </c>
      <c r="G137" s="188">
        <f t="shared" si="5"/>
        <v>3473.5268950945283</v>
      </c>
      <c r="H137" s="189">
        <f t="shared" si="6"/>
        <v>1137779.5323926981</v>
      </c>
    </row>
    <row r="138" spans="2:9">
      <c r="B138" s="39"/>
      <c r="C138" s="57">
        <v>122</v>
      </c>
      <c r="D138" s="143">
        <f t="shared" si="9"/>
        <v>1137779.5323926981</v>
      </c>
      <c r="E138" s="143">
        <f t="shared" si="8"/>
        <v>9417.5532455517805</v>
      </c>
      <c r="F138" s="143">
        <f t="shared" si="7"/>
        <v>5925.9350645453023</v>
      </c>
      <c r="G138" s="143">
        <f t="shared" si="5"/>
        <v>3491.6181810064782</v>
      </c>
      <c r="H138" s="144">
        <f t="shared" si="6"/>
        <v>1134287.9142116916</v>
      </c>
    </row>
    <row r="139" spans="2:9">
      <c r="B139" s="39"/>
      <c r="C139" s="57">
        <v>123</v>
      </c>
      <c r="D139" s="143">
        <f t="shared" si="9"/>
        <v>1134287.9142116916</v>
      </c>
      <c r="E139" s="143">
        <f t="shared" si="8"/>
        <v>9417.5532455517805</v>
      </c>
      <c r="F139" s="143">
        <f t="shared" si="7"/>
        <v>5907.7495531858931</v>
      </c>
      <c r="G139" s="143">
        <f t="shared" si="5"/>
        <v>3509.8036923658874</v>
      </c>
      <c r="H139" s="144">
        <f t="shared" si="6"/>
        <v>1130778.1105193256</v>
      </c>
    </row>
    <row r="140" spans="2:9">
      <c r="B140" s="39"/>
      <c r="C140" s="57">
        <v>124</v>
      </c>
      <c r="D140" s="143">
        <f t="shared" si="9"/>
        <v>1130778.1105193256</v>
      </c>
      <c r="E140" s="143">
        <f t="shared" si="8"/>
        <v>9417.5532455517805</v>
      </c>
      <c r="F140" s="143">
        <f t="shared" si="7"/>
        <v>5889.4693256214869</v>
      </c>
      <c r="G140" s="143">
        <f t="shared" si="5"/>
        <v>3528.0839199302936</v>
      </c>
      <c r="H140" s="144">
        <f t="shared" si="6"/>
        <v>1127250.0265993953</v>
      </c>
    </row>
    <row r="141" spans="2:9">
      <c r="B141" s="39"/>
      <c r="C141" s="57">
        <v>125</v>
      </c>
      <c r="D141" s="143">
        <f t="shared" si="9"/>
        <v>1127250.0265993953</v>
      </c>
      <c r="E141" s="143">
        <f t="shared" si="8"/>
        <v>9417.5532455517805</v>
      </c>
      <c r="F141" s="143">
        <f t="shared" si="7"/>
        <v>5871.0938885385167</v>
      </c>
      <c r="G141" s="143">
        <f t="shared" si="5"/>
        <v>3546.4593570132638</v>
      </c>
      <c r="H141" s="144">
        <f t="shared" si="6"/>
        <v>1123703.5672423821</v>
      </c>
    </row>
    <row r="142" spans="2:9">
      <c r="B142" s="39"/>
      <c r="C142" s="57">
        <v>126</v>
      </c>
      <c r="D142" s="143">
        <f t="shared" si="9"/>
        <v>1123703.5672423821</v>
      </c>
      <c r="E142" s="143">
        <f t="shared" si="8"/>
        <v>9417.5532455517805</v>
      </c>
      <c r="F142" s="143">
        <f t="shared" si="7"/>
        <v>5852.6227460540731</v>
      </c>
      <c r="G142" s="143">
        <f t="shared" si="5"/>
        <v>3564.9304994977074</v>
      </c>
      <c r="H142" s="144">
        <f t="shared" si="6"/>
        <v>1120138.6367428843</v>
      </c>
    </row>
    <row r="143" spans="2:9">
      <c r="B143" s="39"/>
      <c r="C143" s="57">
        <v>127</v>
      </c>
      <c r="D143" s="143">
        <f t="shared" si="9"/>
        <v>1120138.6367428843</v>
      </c>
      <c r="E143" s="143">
        <f t="shared" si="8"/>
        <v>9417.5532455517805</v>
      </c>
      <c r="F143" s="143">
        <f t="shared" si="7"/>
        <v>5834.0553997025218</v>
      </c>
      <c r="G143" s="143">
        <f t="shared" si="5"/>
        <v>3583.4978458492587</v>
      </c>
      <c r="H143" s="144">
        <f t="shared" si="6"/>
        <v>1116555.138897035</v>
      </c>
    </row>
    <row r="144" spans="2:9">
      <c r="B144" s="39"/>
      <c r="C144" s="57">
        <v>128</v>
      </c>
      <c r="D144" s="143">
        <f t="shared" si="9"/>
        <v>1116555.138897035</v>
      </c>
      <c r="E144" s="143">
        <f t="shared" si="8"/>
        <v>9417.5532455517805</v>
      </c>
      <c r="F144" s="143">
        <f t="shared" si="7"/>
        <v>5815.3913484220575</v>
      </c>
      <c r="G144" s="143">
        <f t="shared" si="5"/>
        <v>3602.161897129723</v>
      </c>
      <c r="H144" s="144">
        <f t="shared" si="6"/>
        <v>1112952.9769999054</v>
      </c>
    </row>
    <row r="145" spans="2:9">
      <c r="B145" s="39"/>
      <c r="C145" s="57">
        <v>129</v>
      </c>
      <c r="D145" s="143">
        <f t="shared" si="9"/>
        <v>1112952.9769999054</v>
      </c>
      <c r="E145" s="143">
        <f t="shared" si="8"/>
        <v>9417.5532455517805</v>
      </c>
      <c r="F145" s="143">
        <f t="shared" si="7"/>
        <v>5796.6300885411738</v>
      </c>
      <c r="G145" s="143">
        <f t="shared" ref="G145:G208" si="10">E145-F145</f>
        <v>3620.9231570106067</v>
      </c>
      <c r="H145" s="144">
        <f t="shared" ref="H145:H208" si="11">D145-G145</f>
        <v>1109332.0538428947</v>
      </c>
    </row>
    <row r="146" spans="2:9">
      <c r="B146" s="39"/>
      <c r="C146" s="57">
        <v>130</v>
      </c>
      <c r="D146" s="143">
        <f t="shared" si="9"/>
        <v>1109332.0538428947</v>
      </c>
      <c r="E146" s="143">
        <f t="shared" si="8"/>
        <v>9417.5532455517805</v>
      </c>
      <c r="F146" s="143">
        <f t="shared" ref="F146:F209" si="12">IF(C146&gt;$C$10,0,($C$6/12)*H145)</f>
        <v>5777.7711137650767</v>
      </c>
      <c r="G146" s="143">
        <f t="shared" si="10"/>
        <v>3639.7821317867038</v>
      </c>
      <c r="H146" s="144">
        <f t="shared" si="11"/>
        <v>1105692.271711108</v>
      </c>
    </row>
    <row r="147" spans="2:9">
      <c r="B147" s="39"/>
      <c r="C147" s="57">
        <v>131</v>
      </c>
      <c r="D147" s="143">
        <f t="shared" si="9"/>
        <v>1105692.271711108</v>
      </c>
      <c r="E147" s="143">
        <f t="shared" si="8"/>
        <v>9417.5532455517805</v>
      </c>
      <c r="F147" s="143">
        <f t="shared" si="12"/>
        <v>5758.8139151620207</v>
      </c>
      <c r="G147" s="143">
        <f t="shared" si="10"/>
        <v>3658.7393303897597</v>
      </c>
      <c r="H147" s="144">
        <f t="shared" si="11"/>
        <v>1102033.5323807183</v>
      </c>
    </row>
    <row r="148" spans="2:9">
      <c r="B148" s="45">
        <v>11</v>
      </c>
      <c r="C148" s="146">
        <v>132</v>
      </c>
      <c r="D148" s="156">
        <f t="shared" si="9"/>
        <v>1102033.5323807183</v>
      </c>
      <c r="E148" s="156">
        <f t="shared" si="8"/>
        <v>9417.5532455517805</v>
      </c>
      <c r="F148" s="156">
        <f t="shared" si="12"/>
        <v>5739.7579811495743</v>
      </c>
      <c r="G148" s="156">
        <f t="shared" si="10"/>
        <v>3677.7952644022062</v>
      </c>
      <c r="H148" s="157">
        <f t="shared" si="11"/>
        <v>1098355.7371163161</v>
      </c>
      <c r="I148" s="147">
        <f>+SUM(G137:G148)+SUM(F137:F148)</f>
        <v>113010.63894662137</v>
      </c>
    </row>
    <row r="149" spans="2:9">
      <c r="B149" s="186"/>
      <c r="C149" s="187">
        <v>133</v>
      </c>
      <c r="D149" s="188">
        <f t="shared" si="9"/>
        <v>1098355.7371163161</v>
      </c>
      <c r="E149" s="188">
        <f t="shared" ref="E149:E212" si="13">IF(C149&gt;$C$10,0,IF(C149&lt;=$C$8,F149,-PMT($C$6/12,$C$9,$C$5,0,0)))</f>
        <v>9417.5532455517805</v>
      </c>
      <c r="F149" s="188">
        <f t="shared" si="12"/>
        <v>5720.602797480813</v>
      </c>
      <c r="G149" s="188">
        <f t="shared" si="10"/>
        <v>3696.9504480709675</v>
      </c>
      <c r="H149" s="189">
        <f t="shared" si="11"/>
        <v>1094658.7866682452</v>
      </c>
    </row>
    <row r="150" spans="2:9">
      <c r="B150" s="39"/>
      <c r="C150" s="57">
        <v>134</v>
      </c>
      <c r="D150" s="143">
        <f t="shared" ref="D150:D213" si="14">IF(C150&gt;$C$10,0,H149)</f>
        <v>1094658.7866682452</v>
      </c>
      <c r="E150" s="143">
        <f t="shared" si="13"/>
        <v>9417.5532455517805</v>
      </c>
      <c r="F150" s="143">
        <f t="shared" si="12"/>
        <v>5701.3478472304432</v>
      </c>
      <c r="G150" s="143">
        <f t="shared" si="10"/>
        <v>3716.2053983213373</v>
      </c>
      <c r="H150" s="144">
        <f t="shared" si="11"/>
        <v>1090942.5812699238</v>
      </c>
    </row>
    <row r="151" spans="2:9">
      <c r="B151" s="39"/>
      <c r="C151" s="57">
        <v>135</v>
      </c>
      <c r="D151" s="143">
        <f t="shared" si="14"/>
        <v>1090942.5812699238</v>
      </c>
      <c r="E151" s="143">
        <f t="shared" si="13"/>
        <v>9417.5532455517805</v>
      </c>
      <c r="F151" s="143">
        <f t="shared" si="12"/>
        <v>5681.9926107808533</v>
      </c>
      <c r="G151" s="143">
        <f t="shared" si="10"/>
        <v>3735.5606347709272</v>
      </c>
      <c r="H151" s="144">
        <f t="shared" si="11"/>
        <v>1087207.0206351529</v>
      </c>
    </row>
    <row r="152" spans="2:9">
      <c r="B152" s="39"/>
      <c r="C152" s="57">
        <v>136</v>
      </c>
      <c r="D152" s="143">
        <f t="shared" si="14"/>
        <v>1087207.0206351529</v>
      </c>
      <c r="E152" s="143">
        <f t="shared" si="13"/>
        <v>9417.5532455517805</v>
      </c>
      <c r="F152" s="143">
        <f t="shared" si="12"/>
        <v>5662.5365658080882</v>
      </c>
      <c r="G152" s="143">
        <f t="shared" si="10"/>
        <v>3755.0166797436923</v>
      </c>
      <c r="H152" s="144">
        <f t="shared" si="11"/>
        <v>1083452.0039554092</v>
      </c>
    </row>
    <row r="153" spans="2:9">
      <c r="B153" s="39"/>
      <c r="C153" s="57">
        <v>137</v>
      </c>
      <c r="D153" s="143">
        <f t="shared" si="14"/>
        <v>1083452.0039554092</v>
      </c>
      <c r="E153" s="143">
        <f t="shared" si="13"/>
        <v>9417.5532455517805</v>
      </c>
      <c r="F153" s="143">
        <f t="shared" si="12"/>
        <v>5642.9791872677561</v>
      </c>
      <c r="G153" s="143">
        <f t="shared" si="10"/>
        <v>3774.5740582840244</v>
      </c>
      <c r="H153" s="144">
        <f t="shared" si="11"/>
        <v>1079677.4298971251</v>
      </c>
    </row>
    <row r="154" spans="2:9">
      <c r="B154" s="39"/>
      <c r="C154" s="57">
        <v>138</v>
      </c>
      <c r="D154" s="143">
        <f t="shared" si="14"/>
        <v>1079677.4298971251</v>
      </c>
      <c r="E154" s="143">
        <f t="shared" si="13"/>
        <v>9417.5532455517805</v>
      </c>
      <c r="F154" s="143">
        <f t="shared" si="12"/>
        <v>5623.31994738086</v>
      </c>
      <c r="G154" s="143">
        <f t="shared" si="10"/>
        <v>3794.2332981709205</v>
      </c>
      <c r="H154" s="144">
        <f t="shared" si="11"/>
        <v>1075883.1965989543</v>
      </c>
    </row>
    <row r="155" spans="2:9">
      <c r="B155" s="39"/>
      <c r="C155" s="57">
        <v>139</v>
      </c>
      <c r="D155" s="143">
        <f t="shared" si="14"/>
        <v>1075883.1965989543</v>
      </c>
      <c r="E155" s="143">
        <f t="shared" si="13"/>
        <v>9417.5532455517805</v>
      </c>
      <c r="F155" s="143">
        <f t="shared" si="12"/>
        <v>5603.5583156195535</v>
      </c>
      <c r="G155" s="143">
        <f t="shared" si="10"/>
        <v>3813.994929932227</v>
      </c>
      <c r="H155" s="144">
        <f t="shared" si="11"/>
        <v>1072069.201669022</v>
      </c>
    </row>
    <row r="156" spans="2:9">
      <c r="B156" s="39"/>
      <c r="C156" s="57">
        <v>140</v>
      </c>
      <c r="D156" s="143">
        <f t="shared" si="14"/>
        <v>1072069.201669022</v>
      </c>
      <c r="E156" s="143">
        <f t="shared" si="13"/>
        <v>9417.5532455517805</v>
      </c>
      <c r="F156" s="143">
        <f t="shared" si="12"/>
        <v>5583.6937586928225</v>
      </c>
      <c r="G156" s="143">
        <f t="shared" si="10"/>
        <v>3833.859486858958</v>
      </c>
      <c r="H156" s="144">
        <f t="shared" si="11"/>
        <v>1068235.3421821629</v>
      </c>
    </row>
    <row r="157" spans="2:9">
      <c r="B157" s="39"/>
      <c r="C157" s="57">
        <v>141</v>
      </c>
      <c r="D157" s="143">
        <f t="shared" si="14"/>
        <v>1068235.3421821629</v>
      </c>
      <c r="E157" s="143">
        <f t="shared" si="13"/>
        <v>9417.5532455517805</v>
      </c>
      <c r="F157" s="143">
        <f t="shared" si="12"/>
        <v>5563.7257405320979</v>
      </c>
      <c r="G157" s="143">
        <f t="shared" si="10"/>
        <v>3853.8275050196826</v>
      </c>
      <c r="H157" s="144">
        <f t="shared" si="11"/>
        <v>1064381.5146771432</v>
      </c>
    </row>
    <row r="158" spans="2:9">
      <c r="B158" s="39"/>
      <c r="C158" s="57">
        <v>142</v>
      </c>
      <c r="D158" s="143">
        <f t="shared" si="14"/>
        <v>1064381.5146771432</v>
      </c>
      <c r="E158" s="143">
        <f t="shared" si="13"/>
        <v>9417.5532455517805</v>
      </c>
      <c r="F158" s="143">
        <f t="shared" si="12"/>
        <v>5543.6537222767874</v>
      </c>
      <c r="G158" s="143">
        <f t="shared" si="10"/>
        <v>3873.899523274993</v>
      </c>
      <c r="H158" s="144">
        <f t="shared" si="11"/>
        <v>1060507.6151538682</v>
      </c>
    </row>
    <row r="159" spans="2:9">
      <c r="B159" s="39"/>
      <c r="C159" s="57">
        <v>143</v>
      </c>
      <c r="D159" s="143">
        <f t="shared" si="14"/>
        <v>1060507.6151538682</v>
      </c>
      <c r="E159" s="143">
        <f t="shared" si="13"/>
        <v>9417.5532455517805</v>
      </c>
      <c r="F159" s="143">
        <f t="shared" si="12"/>
        <v>5523.47716225973</v>
      </c>
      <c r="G159" s="143">
        <f t="shared" si="10"/>
        <v>3894.0760832920505</v>
      </c>
      <c r="H159" s="144">
        <f t="shared" si="11"/>
        <v>1056613.5390705762</v>
      </c>
    </row>
    <row r="160" spans="2:9">
      <c r="B160" s="45">
        <v>12</v>
      </c>
      <c r="C160" s="146">
        <v>144</v>
      </c>
      <c r="D160" s="156">
        <f t="shared" si="14"/>
        <v>1056613.5390705762</v>
      </c>
      <c r="E160" s="156">
        <f t="shared" si="13"/>
        <v>9417.5532455517805</v>
      </c>
      <c r="F160" s="156">
        <f t="shared" si="12"/>
        <v>5503.1955159925838</v>
      </c>
      <c r="G160" s="156">
        <f t="shared" si="10"/>
        <v>3914.3577295591967</v>
      </c>
      <c r="H160" s="157">
        <f t="shared" si="11"/>
        <v>1052699.1813410169</v>
      </c>
      <c r="I160" s="147">
        <f>+SUM(G149:G160)+SUM(F149:F160)</f>
        <v>113010.63894662136</v>
      </c>
    </row>
    <row r="161" spans="2:9">
      <c r="B161" s="186"/>
      <c r="C161" s="187">
        <v>145</v>
      </c>
      <c r="D161" s="188">
        <f t="shared" si="14"/>
        <v>1052699.1813410169</v>
      </c>
      <c r="E161" s="188">
        <f t="shared" si="13"/>
        <v>9417.5532455517805</v>
      </c>
      <c r="F161" s="188">
        <f t="shared" si="12"/>
        <v>5482.8082361511297</v>
      </c>
      <c r="G161" s="188">
        <f t="shared" si="10"/>
        <v>3934.7450094006508</v>
      </c>
      <c r="H161" s="189">
        <f t="shared" si="11"/>
        <v>1048764.4363316162</v>
      </c>
    </row>
    <row r="162" spans="2:9">
      <c r="B162" s="39"/>
      <c r="C162" s="57">
        <v>146</v>
      </c>
      <c r="D162" s="143">
        <f t="shared" si="14"/>
        <v>1048764.4363316162</v>
      </c>
      <c r="E162" s="143">
        <f t="shared" si="13"/>
        <v>9417.5532455517805</v>
      </c>
      <c r="F162" s="143">
        <f t="shared" si="12"/>
        <v>5462.3147725605013</v>
      </c>
      <c r="G162" s="143">
        <f t="shared" si="10"/>
        <v>3955.2384729912792</v>
      </c>
      <c r="H162" s="144">
        <f t="shared" si="11"/>
        <v>1044809.197858625</v>
      </c>
    </row>
    <row r="163" spans="2:9">
      <c r="B163" s="39"/>
      <c r="C163" s="57">
        <v>147</v>
      </c>
      <c r="D163" s="143">
        <f t="shared" si="14"/>
        <v>1044809.197858625</v>
      </c>
      <c r="E163" s="143">
        <f t="shared" si="13"/>
        <v>9417.5532455517805</v>
      </c>
      <c r="F163" s="143">
        <f t="shared" si="12"/>
        <v>5441.7145721803381</v>
      </c>
      <c r="G163" s="143">
        <f t="shared" si="10"/>
        <v>3975.8386733714424</v>
      </c>
      <c r="H163" s="144">
        <f t="shared" si="11"/>
        <v>1040833.3591852535</v>
      </c>
    </row>
    <row r="164" spans="2:9">
      <c r="B164" s="39"/>
      <c r="C164" s="57">
        <v>148</v>
      </c>
      <c r="D164" s="143">
        <f t="shared" si="14"/>
        <v>1040833.3591852535</v>
      </c>
      <c r="E164" s="143">
        <f t="shared" si="13"/>
        <v>9417.5532455517805</v>
      </c>
      <c r="F164" s="143">
        <f t="shared" si="12"/>
        <v>5421.0070790898617</v>
      </c>
      <c r="G164" s="143">
        <f t="shared" si="10"/>
        <v>3996.5461664619188</v>
      </c>
      <c r="H164" s="144">
        <f t="shared" si="11"/>
        <v>1036836.8130187916</v>
      </c>
    </row>
    <row r="165" spans="2:9">
      <c r="B165" s="39"/>
      <c r="C165" s="57">
        <v>149</v>
      </c>
      <c r="D165" s="143">
        <f t="shared" si="14"/>
        <v>1036836.8130187916</v>
      </c>
      <c r="E165" s="143">
        <f t="shared" si="13"/>
        <v>9417.5532455517805</v>
      </c>
      <c r="F165" s="143">
        <f t="shared" si="12"/>
        <v>5400.1917344728727</v>
      </c>
      <c r="G165" s="143">
        <f t="shared" si="10"/>
        <v>4017.3615110789078</v>
      </c>
      <c r="H165" s="144">
        <f t="shared" si="11"/>
        <v>1032819.4515077127</v>
      </c>
    </row>
    <row r="166" spans="2:9">
      <c r="B166" s="39"/>
      <c r="C166" s="57">
        <v>150</v>
      </c>
      <c r="D166" s="143">
        <f t="shared" si="14"/>
        <v>1032819.4515077127</v>
      </c>
      <c r="E166" s="143">
        <f t="shared" si="13"/>
        <v>9417.5532455517805</v>
      </c>
      <c r="F166" s="143">
        <f t="shared" si="12"/>
        <v>5379.2679766026704</v>
      </c>
      <c r="G166" s="143">
        <f t="shared" si="10"/>
        <v>4038.2852689491101</v>
      </c>
      <c r="H166" s="144">
        <f t="shared" si="11"/>
        <v>1028781.1662387636</v>
      </c>
    </row>
    <row r="167" spans="2:9">
      <c r="B167" s="39"/>
      <c r="C167" s="57">
        <v>151</v>
      </c>
      <c r="D167" s="143">
        <f t="shared" si="14"/>
        <v>1028781.1662387636</v>
      </c>
      <c r="E167" s="143">
        <f t="shared" si="13"/>
        <v>9417.5532455517805</v>
      </c>
      <c r="F167" s="143">
        <f t="shared" si="12"/>
        <v>5358.2352408268935</v>
      </c>
      <c r="G167" s="143">
        <f t="shared" si="10"/>
        <v>4059.318004724887</v>
      </c>
      <c r="H167" s="144">
        <f t="shared" si="11"/>
        <v>1024721.8482340387</v>
      </c>
    </row>
    <row r="168" spans="2:9">
      <c r="B168" s="39"/>
      <c r="C168" s="57">
        <v>152</v>
      </c>
      <c r="D168" s="143">
        <f t="shared" si="14"/>
        <v>1024721.8482340387</v>
      </c>
      <c r="E168" s="143">
        <f t="shared" si="13"/>
        <v>9417.5532455517805</v>
      </c>
      <c r="F168" s="143">
        <f t="shared" si="12"/>
        <v>5337.0929595522848</v>
      </c>
      <c r="G168" s="143">
        <f t="shared" si="10"/>
        <v>4080.4602859994957</v>
      </c>
      <c r="H168" s="144">
        <f t="shared" si="11"/>
        <v>1020641.3879480392</v>
      </c>
    </row>
    <row r="169" spans="2:9">
      <c r="B169" s="39"/>
      <c r="C169" s="57">
        <v>153</v>
      </c>
      <c r="D169" s="143">
        <f t="shared" si="14"/>
        <v>1020641.3879480392</v>
      </c>
      <c r="E169" s="143">
        <f t="shared" si="13"/>
        <v>9417.5532455517805</v>
      </c>
      <c r="F169" s="143">
        <f t="shared" si="12"/>
        <v>5315.8405622293703</v>
      </c>
      <c r="G169" s="143">
        <f t="shared" si="10"/>
        <v>4101.7126833224102</v>
      </c>
      <c r="H169" s="144">
        <f t="shared" si="11"/>
        <v>1016539.6752647168</v>
      </c>
    </row>
    <row r="170" spans="2:9">
      <c r="B170" s="39"/>
      <c r="C170" s="57">
        <v>154</v>
      </c>
      <c r="D170" s="143">
        <f t="shared" si="14"/>
        <v>1016539.6752647168</v>
      </c>
      <c r="E170" s="143">
        <f t="shared" si="13"/>
        <v>9417.5532455517805</v>
      </c>
      <c r="F170" s="143">
        <f t="shared" si="12"/>
        <v>5294.4774753370666</v>
      </c>
      <c r="G170" s="143">
        <f t="shared" si="10"/>
        <v>4123.0757702147139</v>
      </c>
      <c r="H170" s="144">
        <f t="shared" si="11"/>
        <v>1012416.5994945022</v>
      </c>
    </row>
    <row r="171" spans="2:9">
      <c r="B171" s="39"/>
      <c r="C171" s="57">
        <v>155</v>
      </c>
      <c r="D171" s="143">
        <f t="shared" si="14"/>
        <v>1012416.5994945022</v>
      </c>
      <c r="E171" s="143">
        <f t="shared" si="13"/>
        <v>9417.5532455517805</v>
      </c>
      <c r="F171" s="143">
        <f t="shared" si="12"/>
        <v>5273.0031223671986</v>
      </c>
      <c r="G171" s="143">
        <f t="shared" si="10"/>
        <v>4144.5501231845819</v>
      </c>
      <c r="H171" s="144">
        <f t="shared" si="11"/>
        <v>1008272.0493713176</v>
      </c>
    </row>
    <row r="172" spans="2:9">
      <c r="B172" s="45">
        <v>13</v>
      </c>
      <c r="C172" s="146">
        <v>156</v>
      </c>
      <c r="D172" s="156">
        <f t="shared" si="14"/>
        <v>1008272.0493713176</v>
      </c>
      <c r="E172" s="156">
        <f t="shared" si="13"/>
        <v>9417.5532455517805</v>
      </c>
      <c r="F172" s="156">
        <f t="shared" si="12"/>
        <v>5251.4169238089453</v>
      </c>
      <c r="G172" s="156">
        <f t="shared" si="10"/>
        <v>4166.1363217428352</v>
      </c>
      <c r="H172" s="157">
        <f t="shared" si="11"/>
        <v>1004105.9130495748</v>
      </c>
      <c r="I172" s="147">
        <f>+SUM(G161:G172)+SUM(F161:F172)</f>
        <v>113010.63894662137</v>
      </c>
    </row>
    <row r="173" spans="2:9">
      <c r="B173" s="186"/>
      <c r="C173" s="187">
        <v>157</v>
      </c>
      <c r="D173" s="188">
        <f t="shared" si="14"/>
        <v>1004105.9130495748</v>
      </c>
      <c r="E173" s="188">
        <f t="shared" si="13"/>
        <v>9417.5532455517805</v>
      </c>
      <c r="F173" s="188">
        <f t="shared" si="12"/>
        <v>5229.7182971332022</v>
      </c>
      <c r="G173" s="188">
        <f t="shared" si="10"/>
        <v>4187.8349484185783</v>
      </c>
      <c r="H173" s="189">
        <f t="shared" si="11"/>
        <v>999918.07810115628</v>
      </c>
    </row>
    <row r="174" spans="2:9">
      <c r="B174" s="39"/>
      <c r="C174" s="57">
        <v>158</v>
      </c>
      <c r="D174" s="143">
        <f t="shared" si="14"/>
        <v>999918.07810115628</v>
      </c>
      <c r="E174" s="143">
        <f t="shared" si="13"/>
        <v>9417.5532455517805</v>
      </c>
      <c r="F174" s="143">
        <f t="shared" si="12"/>
        <v>5207.906656776855</v>
      </c>
      <c r="G174" s="143">
        <f t="shared" si="10"/>
        <v>4209.6465887749255</v>
      </c>
      <c r="H174" s="144">
        <f t="shared" si="11"/>
        <v>995708.4315123813</v>
      </c>
    </row>
    <row r="175" spans="2:9">
      <c r="B175" s="39"/>
      <c r="C175" s="57">
        <v>159</v>
      </c>
      <c r="D175" s="143">
        <f t="shared" si="14"/>
        <v>995708.4315123813</v>
      </c>
      <c r="E175" s="143">
        <f t="shared" si="13"/>
        <v>9417.5532455517805</v>
      </c>
      <c r="F175" s="143">
        <f t="shared" si="12"/>
        <v>5185.9814141269853</v>
      </c>
      <c r="G175" s="143">
        <f t="shared" si="10"/>
        <v>4231.5718314247952</v>
      </c>
      <c r="H175" s="144">
        <f t="shared" si="11"/>
        <v>991476.85968095646</v>
      </c>
    </row>
    <row r="176" spans="2:9">
      <c r="B176" s="39"/>
      <c r="C176" s="57">
        <v>160</v>
      </c>
      <c r="D176" s="143">
        <f t="shared" si="14"/>
        <v>991476.85968095646</v>
      </c>
      <c r="E176" s="143">
        <f t="shared" si="13"/>
        <v>9417.5532455517805</v>
      </c>
      <c r="F176" s="143">
        <f t="shared" si="12"/>
        <v>5163.941977504981</v>
      </c>
      <c r="G176" s="143">
        <f t="shared" si="10"/>
        <v>4253.6112680467995</v>
      </c>
      <c r="H176" s="144">
        <f t="shared" si="11"/>
        <v>987223.24841290968</v>
      </c>
    </row>
    <row r="177" spans="2:9">
      <c r="B177" s="39"/>
      <c r="C177" s="57">
        <v>161</v>
      </c>
      <c r="D177" s="143">
        <f t="shared" si="14"/>
        <v>987223.24841290968</v>
      </c>
      <c r="E177" s="143">
        <f t="shared" si="13"/>
        <v>9417.5532455517805</v>
      </c>
      <c r="F177" s="143">
        <f t="shared" si="12"/>
        <v>5141.7877521505707</v>
      </c>
      <c r="G177" s="143">
        <f t="shared" si="10"/>
        <v>4275.7654934012098</v>
      </c>
      <c r="H177" s="144">
        <f t="shared" si="11"/>
        <v>982947.48291950847</v>
      </c>
    </row>
    <row r="178" spans="2:9">
      <c r="B178" s="39"/>
      <c r="C178" s="57">
        <v>162</v>
      </c>
      <c r="D178" s="143">
        <f t="shared" si="14"/>
        <v>982947.48291950847</v>
      </c>
      <c r="E178" s="143">
        <f t="shared" si="13"/>
        <v>9417.5532455517805</v>
      </c>
      <c r="F178" s="143">
        <f t="shared" si="12"/>
        <v>5119.5181402057733</v>
      </c>
      <c r="G178" s="143">
        <f t="shared" si="10"/>
        <v>4298.0351053460072</v>
      </c>
      <c r="H178" s="144">
        <f t="shared" si="11"/>
        <v>978649.44781416247</v>
      </c>
    </row>
    <row r="179" spans="2:9">
      <c r="B179" s="39"/>
      <c r="C179" s="57">
        <v>163</v>
      </c>
      <c r="D179" s="143">
        <f t="shared" si="14"/>
        <v>978649.44781416247</v>
      </c>
      <c r="E179" s="143">
        <f t="shared" si="13"/>
        <v>9417.5532455517805</v>
      </c>
      <c r="F179" s="143">
        <f t="shared" si="12"/>
        <v>5097.1325406987626</v>
      </c>
      <c r="G179" s="143">
        <f t="shared" si="10"/>
        <v>4320.4207048530179</v>
      </c>
      <c r="H179" s="144">
        <f t="shared" si="11"/>
        <v>974329.02710930945</v>
      </c>
    </row>
    <row r="180" spans="2:9">
      <c r="B180" s="39"/>
      <c r="C180" s="57">
        <v>164</v>
      </c>
      <c r="D180" s="143">
        <f t="shared" si="14"/>
        <v>974329.02710930945</v>
      </c>
      <c r="E180" s="143">
        <f t="shared" si="13"/>
        <v>9417.5532455517805</v>
      </c>
      <c r="F180" s="143">
        <f t="shared" si="12"/>
        <v>5074.6303495276534</v>
      </c>
      <c r="G180" s="143">
        <f t="shared" si="10"/>
        <v>4342.9228960241271</v>
      </c>
      <c r="H180" s="144">
        <f t="shared" si="11"/>
        <v>969986.10421328538</v>
      </c>
    </row>
    <row r="181" spans="2:9">
      <c r="B181" s="39"/>
      <c r="C181" s="57">
        <v>165</v>
      </c>
      <c r="D181" s="143">
        <f t="shared" si="14"/>
        <v>969986.10421328538</v>
      </c>
      <c r="E181" s="143">
        <f t="shared" si="13"/>
        <v>9417.5532455517805</v>
      </c>
      <c r="F181" s="143">
        <f t="shared" si="12"/>
        <v>5052.0109594441947</v>
      </c>
      <c r="G181" s="143">
        <f t="shared" si="10"/>
        <v>4365.5422861075858</v>
      </c>
      <c r="H181" s="144">
        <f t="shared" si="11"/>
        <v>965620.56192717783</v>
      </c>
    </row>
    <row r="182" spans="2:9">
      <c r="B182" s="39"/>
      <c r="C182" s="57">
        <v>166</v>
      </c>
      <c r="D182" s="143">
        <f t="shared" si="14"/>
        <v>965620.56192717783</v>
      </c>
      <c r="E182" s="143">
        <f t="shared" si="13"/>
        <v>9417.5532455517805</v>
      </c>
      <c r="F182" s="143">
        <f t="shared" si="12"/>
        <v>5029.2737600373839</v>
      </c>
      <c r="G182" s="143">
        <f t="shared" si="10"/>
        <v>4388.2794855143966</v>
      </c>
      <c r="H182" s="144">
        <f t="shared" si="11"/>
        <v>961232.28244166344</v>
      </c>
    </row>
    <row r="183" spans="2:9">
      <c r="B183" s="39"/>
      <c r="C183" s="57">
        <v>167</v>
      </c>
      <c r="D183" s="143">
        <f t="shared" si="14"/>
        <v>961232.28244166344</v>
      </c>
      <c r="E183" s="143">
        <f t="shared" si="13"/>
        <v>9417.5532455517805</v>
      </c>
      <c r="F183" s="143">
        <f t="shared" si="12"/>
        <v>5006.4181377169971</v>
      </c>
      <c r="G183" s="143">
        <f t="shared" si="10"/>
        <v>4411.1351078347834</v>
      </c>
      <c r="H183" s="144">
        <f t="shared" si="11"/>
        <v>956821.14733382862</v>
      </c>
    </row>
    <row r="184" spans="2:9">
      <c r="B184" s="45">
        <v>14</v>
      </c>
      <c r="C184" s="146">
        <v>168</v>
      </c>
      <c r="D184" s="156">
        <f t="shared" si="14"/>
        <v>956821.14733382862</v>
      </c>
      <c r="E184" s="156">
        <f t="shared" si="13"/>
        <v>9417.5532455517805</v>
      </c>
      <c r="F184" s="156">
        <f t="shared" si="12"/>
        <v>4983.443475697024</v>
      </c>
      <c r="G184" s="156">
        <f t="shared" si="10"/>
        <v>4434.1097698547565</v>
      </c>
      <c r="H184" s="157">
        <f t="shared" si="11"/>
        <v>952387.0375639738</v>
      </c>
      <c r="I184" s="147">
        <f>+SUM(G173:G184)+SUM(F173:F184)</f>
        <v>113010.63894662136</v>
      </c>
    </row>
    <row r="185" spans="2:9">
      <c r="B185" s="186"/>
      <c r="C185" s="187">
        <v>169</v>
      </c>
      <c r="D185" s="188">
        <f t="shared" si="14"/>
        <v>952387.0375639738</v>
      </c>
      <c r="E185" s="188">
        <f t="shared" si="13"/>
        <v>9417.5532455517805</v>
      </c>
      <c r="F185" s="188">
        <f t="shared" si="12"/>
        <v>4960.3491539790302</v>
      </c>
      <c r="G185" s="188">
        <f t="shared" si="10"/>
        <v>4457.2040915727503</v>
      </c>
      <c r="H185" s="189">
        <f t="shared" si="11"/>
        <v>947929.83347240102</v>
      </c>
    </row>
    <row r="186" spans="2:9">
      <c r="B186" s="39"/>
      <c r="C186" s="57">
        <v>170</v>
      </c>
      <c r="D186" s="143">
        <f t="shared" si="14"/>
        <v>947929.83347240102</v>
      </c>
      <c r="E186" s="143">
        <f t="shared" si="13"/>
        <v>9417.5532455517805</v>
      </c>
      <c r="F186" s="143">
        <f t="shared" si="12"/>
        <v>4937.134549335422</v>
      </c>
      <c r="G186" s="143">
        <f t="shared" si="10"/>
        <v>4480.4186962163585</v>
      </c>
      <c r="H186" s="144">
        <f t="shared" si="11"/>
        <v>943449.41477618471</v>
      </c>
    </row>
    <row r="187" spans="2:9">
      <c r="B187" s="39"/>
      <c r="C187" s="57">
        <v>171</v>
      </c>
      <c r="D187" s="143">
        <f t="shared" si="14"/>
        <v>943449.41477618471</v>
      </c>
      <c r="E187" s="143">
        <f t="shared" si="13"/>
        <v>9417.5532455517805</v>
      </c>
      <c r="F187" s="143">
        <f t="shared" si="12"/>
        <v>4913.7990352926281</v>
      </c>
      <c r="G187" s="143">
        <f t="shared" si="10"/>
        <v>4503.7542102591524</v>
      </c>
      <c r="H187" s="144">
        <f t="shared" si="11"/>
        <v>938945.66056592553</v>
      </c>
    </row>
    <row r="188" spans="2:9">
      <c r="B188" s="39"/>
      <c r="C188" s="57">
        <v>172</v>
      </c>
      <c r="D188" s="143">
        <f t="shared" si="14"/>
        <v>938945.66056592553</v>
      </c>
      <c r="E188" s="143">
        <f t="shared" si="13"/>
        <v>9417.5532455517805</v>
      </c>
      <c r="F188" s="143">
        <f t="shared" si="12"/>
        <v>4890.3419821141952</v>
      </c>
      <c r="G188" s="143">
        <f t="shared" si="10"/>
        <v>4527.2112634375853</v>
      </c>
      <c r="H188" s="144">
        <f t="shared" si="11"/>
        <v>934418.44930248789</v>
      </c>
    </row>
    <row r="189" spans="2:9">
      <c r="B189" s="39"/>
      <c r="C189" s="57">
        <v>173</v>
      </c>
      <c r="D189" s="143">
        <f t="shared" si="14"/>
        <v>934418.44930248789</v>
      </c>
      <c r="E189" s="143">
        <f t="shared" si="13"/>
        <v>9417.5532455517805</v>
      </c>
      <c r="F189" s="143">
        <f t="shared" si="12"/>
        <v>4866.7627567837908</v>
      </c>
      <c r="G189" s="143">
        <f t="shared" si="10"/>
        <v>4550.7904887679897</v>
      </c>
      <c r="H189" s="144">
        <f t="shared" si="11"/>
        <v>929867.65881371987</v>
      </c>
    </row>
    <row r="190" spans="2:9">
      <c r="B190" s="39"/>
      <c r="C190" s="57">
        <v>174</v>
      </c>
      <c r="D190" s="143">
        <f t="shared" si="14"/>
        <v>929867.65881371987</v>
      </c>
      <c r="E190" s="143">
        <f t="shared" si="13"/>
        <v>9417.5532455517805</v>
      </c>
      <c r="F190" s="143">
        <f t="shared" si="12"/>
        <v>4843.0607229881243</v>
      </c>
      <c r="G190" s="143">
        <f t="shared" si="10"/>
        <v>4574.4925225636562</v>
      </c>
      <c r="H190" s="144">
        <f t="shared" si="11"/>
        <v>925293.1662911562</v>
      </c>
    </row>
    <row r="191" spans="2:9">
      <c r="B191" s="39"/>
      <c r="C191" s="57">
        <v>175</v>
      </c>
      <c r="D191" s="143">
        <f t="shared" si="14"/>
        <v>925293.1662911562</v>
      </c>
      <c r="E191" s="143">
        <f t="shared" si="13"/>
        <v>9417.5532455517805</v>
      </c>
      <c r="F191" s="143">
        <f t="shared" si="12"/>
        <v>4819.2352410997719</v>
      </c>
      <c r="G191" s="143">
        <f t="shared" si="10"/>
        <v>4598.3180044520086</v>
      </c>
      <c r="H191" s="144">
        <f t="shared" si="11"/>
        <v>920694.84828670416</v>
      </c>
    </row>
    <row r="192" spans="2:9">
      <c r="B192" s="39"/>
      <c r="C192" s="57">
        <v>176</v>
      </c>
      <c r="D192" s="143">
        <f t="shared" si="14"/>
        <v>920694.84828670416</v>
      </c>
      <c r="E192" s="143">
        <f t="shared" si="13"/>
        <v>9417.5532455517805</v>
      </c>
      <c r="F192" s="143">
        <f t="shared" si="12"/>
        <v>4795.2856681599169</v>
      </c>
      <c r="G192" s="143">
        <f t="shared" si="10"/>
        <v>4622.2675773918636</v>
      </c>
      <c r="H192" s="144">
        <f t="shared" si="11"/>
        <v>916072.58070931234</v>
      </c>
    </row>
    <row r="193" spans="2:9">
      <c r="B193" s="39"/>
      <c r="C193" s="57">
        <v>177</v>
      </c>
      <c r="D193" s="143">
        <f t="shared" si="14"/>
        <v>916072.58070931234</v>
      </c>
      <c r="E193" s="143">
        <f t="shared" si="13"/>
        <v>9417.5532455517805</v>
      </c>
      <c r="F193" s="143">
        <f t="shared" si="12"/>
        <v>4771.2113578610015</v>
      </c>
      <c r="G193" s="143">
        <f t="shared" si="10"/>
        <v>4646.341887690779</v>
      </c>
      <c r="H193" s="144">
        <f t="shared" si="11"/>
        <v>911426.23882162152</v>
      </c>
    </row>
    <row r="194" spans="2:9">
      <c r="B194" s="39"/>
      <c r="C194" s="57">
        <v>178</v>
      </c>
      <c r="D194" s="143">
        <f t="shared" si="14"/>
        <v>911426.23882162152</v>
      </c>
      <c r="E194" s="143">
        <f t="shared" si="13"/>
        <v>9417.5532455517805</v>
      </c>
      <c r="F194" s="143">
        <f t="shared" si="12"/>
        <v>4747.0116605292787</v>
      </c>
      <c r="G194" s="143">
        <f t="shared" si="10"/>
        <v>4670.5415850225017</v>
      </c>
      <c r="H194" s="144">
        <f t="shared" si="11"/>
        <v>906755.69723659905</v>
      </c>
    </row>
    <row r="195" spans="2:9">
      <c r="B195" s="39"/>
      <c r="C195" s="57">
        <v>179</v>
      </c>
      <c r="D195" s="143">
        <f t="shared" si="14"/>
        <v>906755.69723659905</v>
      </c>
      <c r="E195" s="143">
        <f t="shared" si="13"/>
        <v>9417.5532455517805</v>
      </c>
      <c r="F195" s="143">
        <f t="shared" si="12"/>
        <v>4722.6859231072867</v>
      </c>
      <c r="G195" s="143">
        <f t="shared" si="10"/>
        <v>4694.8673224444938</v>
      </c>
      <c r="H195" s="144">
        <f t="shared" si="11"/>
        <v>902060.8299141546</v>
      </c>
    </row>
    <row r="196" spans="2:9">
      <c r="B196" s="45">
        <v>15</v>
      </c>
      <c r="C196" s="146">
        <v>180</v>
      </c>
      <c r="D196" s="156">
        <f t="shared" si="14"/>
        <v>902060.8299141546</v>
      </c>
      <c r="E196" s="156">
        <f t="shared" si="13"/>
        <v>9417.5532455517805</v>
      </c>
      <c r="F196" s="156">
        <f t="shared" si="12"/>
        <v>4698.2334891362216</v>
      </c>
      <c r="G196" s="156">
        <f t="shared" si="10"/>
        <v>4719.3197564155589</v>
      </c>
      <c r="H196" s="157">
        <f t="shared" si="11"/>
        <v>897341.51015773905</v>
      </c>
      <c r="I196" s="147">
        <f>+SUM(G185:G196)+SUM(F185:F196)</f>
        <v>113010.63894662136</v>
      </c>
    </row>
    <row r="197" spans="2:9">
      <c r="B197" s="186"/>
      <c r="C197" s="187">
        <v>181</v>
      </c>
      <c r="D197" s="188">
        <f t="shared" si="14"/>
        <v>897341.51015773905</v>
      </c>
      <c r="E197" s="188">
        <f t="shared" si="13"/>
        <v>9417.5532455517805</v>
      </c>
      <c r="F197" s="188">
        <f t="shared" si="12"/>
        <v>4673.6536987382242</v>
      </c>
      <c r="G197" s="188">
        <f t="shared" si="10"/>
        <v>4743.8995468135563</v>
      </c>
      <c r="H197" s="189">
        <f t="shared" si="11"/>
        <v>892597.61061092548</v>
      </c>
    </row>
    <row r="198" spans="2:9">
      <c r="B198" s="39"/>
      <c r="C198" s="57">
        <v>182</v>
      </c>
      <c r="D198" s="143">
        <f t="shared" si="14"/>
        <v>892597.61061092548</v>
      </c>
      <c r="E198" s="143">
        <f t="shared" si="13"/>
        <v>9417.5532455517805</v>
      </c>
      <c r="F198" s="143">
        <f t="shared" si="12"/>
        <v>4648.9458885985696</v>
      </c>
      <c r="G198" s="143">
        <f t="shared" si="10"/>
        <v>4768.6073569532109</v>
      </c>
      <c r="H198" s="144">
        <f t="shared" si="11"/>
        <v>887829.00325397227</v>
      </c>
    </row>
    <row r="199" spans="2:9">
      <c r="B199" s="39"/>
      <c r="C199" s="57">
        <v>183</v>
      </c>
      <c r="D199" s="143">
        <f t="shared" si="14"/>
        <v>887829.00325397227</v>
      </c>
      <c r="E199" s="143">
        <f t="shared" si="13"/>
        <v>9417.5532455517805</v>
      </c>
      <c r="F199" s="143">
        <f t="shared" si="12"/>
        <v>4624.1093919477717</v>
      </c>
      <c r="G199" s="143">
        <f t="shared" si="10"/>
        <v>4793.4438536040088</v>
      </c>
      <c r="H199" s="144">
        <f t="shared" si="11"/>
        <v>883035.55940036825</v>
      </c>
    </row>
    <row r="200" spans="2:9">
      <c r="B200" s="39"/>
      <c r="C200" s="57">
        <v>184</v>
      </c>
      <c r="D200" s="143">
        <f t="shared" si="14"/>
        <v>883035.55940036825</v>
      </c>
      <c r="E200" s="143">
        <f t="shared" si="13"/>
        <v>9417.5532455517805</v>
      </c>
      <c r="F200" s="143">
        <f t="shared" si="12"/>
        <v>4599.1435385435843</v>
      </c>
      <c r="G200" s="143">
        <f t="shared" si="10"/>
        <v>4818.4097070081962</v>
      </c>
      <c r="H200" s="144">
        <f t="shared" si="11"/>
        <v>878217.14969336009</v>
      </c>
    </row>
    <row r="201" spans="2:9">
      <c r="B201" s="39"/>
      <c r="C201" s="57">
        <v>185</v>
      </c>
      <c r="D201" s="143">
        <f t="shared" si="14"/>
        <v>878217.14969336009</v>
      </c>
      <c r="E201" s="143">
        <f t="shared" si="13"/>
        <v>9417.5532455517805</v>
      </c>
      <c r="F201" s="143">
        <f t="shared" si="12"/>
        <v>4574.0476546529171</v>
      </c>
      <c r="G201" s="143">
        <f t="shared" si="10"/>
        <v>4843.5055908988634</v>
      </c>
      <c r="H201" s="144">
        <f t="shared" si="11"/>
        <v>873373.64410246117</v>
      </c>
    </row>
    <row r="202" spans="2:9">
      <c r="B202" s="39"/>
      <c r="C202" s="57">
        <v>186</v>
      </c>
      <c r="D202" s="143">
        <f t="shared" si="14"/>
        <v>873373.64410246117</v>
      </c>
      <c r="E202" s="143">
        <f t="shared" si="13"/>
        <v>9417.5532455517805</v>
      </c>
      <c r="F202" s="143">
        <f t="shared" si="12"/>
        <v>4548.8210630336516</v>
      </c>
      <c r="G202" s="143">
        <f t="shared" si="10"/>
        <v>4868.7321825181289</v>
      </c>
      <c r="H202" s="144">
        <f t="shared" si="11"/>
        <v>868504.91191994306</v>
      </c>
    </row>
    <row r="203" spans="2:9">
      <c r="B203" s="39"/>
      <c r="C203" s="57">
        <v>187</v>
      </c>
      <c r="D203" s="143">
        <f t="shared" si="14"/>
        <v>868504.91191994306</v>
      </c>
      <c r="E203" s="143">
        <f t="shared" si="13"/>
        <v>9417.5532455517805</v>
      </c>
      <c r="F203" s="143">
        <f t="shared" si="12"/>
        <v>4523.4630829163698</v>
      </c>
      <c r="G203" s="143">
        <f t="shared" si="10"/>
        <v>4894.0901626354107</v>
      </c>
      <c r="H203" s="144">
        <f t="shared" si="11"/>
        <v>863610.82175730763</v>
      </c>
    </row>
    <row r="204" spans="2:9">
      <c r="B204" s="39"/>
      <c r="C204" s="57">
        <v>188</v>
      </c>
      <c r="D204" s="143">
        <f t="shared" si="14"/>
        <v>863610.82175730763</v>
      </c>
      <c r="E204" s="143">
        <f t="shared" si="13"/>
        <v>9417.5532455517805</v>
      </c>
      <c r="F204" s="143">
        <f t="shared" si="12"/>
        <v>4497.9730299859766</v>
      </c>
      <c r="G204" s="143">
        <f t="shared" si="10"/>
        <v>4919.5802155658039</v>
      </c>
      <c r="H204" s="144">
        <f t="shared" si="11"/>
        <v>858691.24154174177</v>
      </c>
    </row>
    <row r="205" spans="2:9">
      <c r="B205" s="39"/>
      <c r="C205" s="57">
        <v>189</v>
      </c>
      <c r="D205" s="143">
        <f t="shared" si="14"/>
        <v>858691.24154174177</v>
      </c>
      <c r="E205" s="143">
        <f t="shared" si="13"/>
        <v>9417.5532455517805</v>
      </c>
      <c r="F205" s="143">
        <f t="shared" si="12"/>
        <v>4472.3502163632384</v>
      </c>
      <c r="G205" s="143">
        <f t="shared" si="10"/>
        <v>4945.2030291885421</v>
      </c>
      <c r="H205" s="144">
        <f t="shared" si="11"/>
        <v>853746.0385125532</v>
      </c>
    </row>
    <row r="206" spans="2:9">
      <c r="B206" s="39"/>
      <c r="C206" s="57">
        <v>190</v>
      </c>
      <c r="D206" s="143">
        <f t="shared" si="14"/>
        <v>853746.0385125532</v>
      </c>
      <c r="E206" s="143">
        <f t="shared" si="13"/>
        <v>9417.5532455517805</v>
      </c>
      <c r="F206" s="143">
        <f t="shared" si="12"/>
        <v>4446.5939505862143</v>
      </c>
      <c r="G206" s="143">
        <f t="shared" si="10"/>
        <v>4970.9592949655662</v>
      </c>
      <c r="H206" s="144">
        <f t="shared" si="11"/>
        <v>848775.0792175876</v>
      </c>
    </row>
    <row r="207" spans="2:9">
      <c r="B207" s="39"/>
      <c r="C207" s="57">
        <v>191</v>
      </c>
      <c r="D207" s="143">
        <f t="shared" si="14"/>
        <v>848775.0792175876</v>
      </c>
      <c r="E207" s="143">
        <f t="shared" si="13"/>
        <v>9417.5532455517805</v>
      </c>
      <c r="F207" s="143">
        <f t="shared" si="12"/>
        <v>4420.7035375916021</v>
      </c>
      <c r="G207" s="143">
        <f t="shared" si="10"/>
        <v>4996.8497079601784</v>
      </c>
      <c r="H207" s="144">
        <f t="shared" si="11"/>
        <v>843778.22950962745</v>
      </c>
    </row>
    <row r="208" spans="2:9">
      <c r="B208" s="45">
        <v>16</v>
      </c>
      <c r="C208" s="146">
        <v>192</v>
      </c>
      <c r="D208" s="156">
        <f t="shared" si="14"/>
        <v>843778.22950962745</v>
      </c>
      <c r="E208" s="156">
        <f t="shared" si="13"/>
        <v>9417.5532455517805</v>
      </c>
      <c r="F208" s="156">
        <f t="shared" si="12"/>
        <v>4394.6782786959757</v>
      </c>
      <c r="G208" s="156">
        <f t="shared" si="10"/>
        <v>5022.8749668558048</v>
      </c>
      <c r="H208" s="157">
        <f t="shared" si="11"/>
        <v>838755.35454277159</v>
      </c>
      <c r="I208" s="147">
        <f>+SUM(G197:G208)+SUM(F197:F208)</f>
        <v>113010.63894662136</v>
      </c>
    </row>
    <row r="209" spans="2:9">
      <c r="B209" s="186"/>
      <c r="C209" s="187">
        <v>193</v>
      </c>
      <c r="D209" s="188">
        <f t="shared" si="14"/>
        <v>838755.35454277159</v>
      </c>
      <c r="E209" s="188">
        <f t="shared" si="13"/>
        <v>9417.5532455517805</v>
      </c>
      <c r="F209" s="188">
        <f t="shared" si="12"/>
        <v>4368.5174715769353</v>
      </c>
      <c r="G209" s="188">
        <f t="shared" ref="G209:G272" si="15">E209-F209</f>
        <v>5049.0357739748451</v>
      </c>
      <c r="H209" s="189">
        <f t="shared" ref="H209:H272" si="16">D209-G209</f>
        <v>833706.31876879674</v>
      </c>
    </row>
    <row r="210" spans="2:9">
      <c r="B210" s="39"/>
      <c r="C210" s="57">
        <v>194</v>
      </c>
      <c r="D210" s="143">
        <f t="shared" si="14"/>
        <v>833706.31876879674</v>
      </c>
      <c r="E210" s="143">
        <f t="shared" si="13"/>
        <v>9417.5532455517805</v>
      </c>
      <c r="F210" s="143">
        <f t="shared" ref="F210:F273" si="17">IF(C210&gt;$C$10,0,($C$6/12)*H209)</f>
        <v>4342.2204102541491</v>
      </c>
      <c r="G210" s="143">
        <f t="shared" si="15"/>
        <v>5075.3328352976314</v>
      </c>
      <c r="H210" s="144">
        <f t="shared" si="16"/>
        <v>828630.98593349906</v>
      </c>
    </row>
    <row r="211" spans="2:9">
      <c r="B211" s="39"/>
      <c r="C211" s="57">
        <v>195</v>
      </c>
      <c r="D211" s="143">
        <f t="shared" si="14"/>
        <v>828630.98593349906</v>
      </c>
      <c r="E211" s="143">
        <f t="shared" si="13"/>
        <v>9417.5532455517805</v>
      </c>
      <c r="F211" s="143">
        <f t="shared" si="17"/>
        <v>4315.786385070307</v>
      </c>
      <c r="G211" s="143">
        <f t="shared" si="15"/>
        <v>5101.7668604814735</v>
      </c>
      <c r="H211" s="144">
        <f t="shared" si="16"/>
        <v>823529.21907301759</v>
      </c>
    </row>
    <row r="212" spans="2:9">
      <c r="B212" s="39"/>
      <c r="C212" s="57">
        <v>196</v>
      </c>
      <c r="D212" s="143">
        <f t="shared" si="14"/>
        <v>823529.21907301759</v>
      </c>
      <c r="E212" s="143">
        <f t="shared" si="13"/>
        <v>9417.5532455517805</v>
      </c>
      <c r="F212" s="143">
        <f t="shared" si="17"/>
        <v>4289.2146826719663</v>
      </c>
      <c r="G212" s="143">
        <f t="shared" si="15"/>
        <v>5128.3385628798142</v>
      </c>
      <c r="H212" s="144">
        <f t="shared" si="16"/>
        <v>818400.88051013777</v>
      </c>
    </row>
    <row r="213" spans="2:9">
      <c r="B213" s="39"/>
      <c r="C213" s="57">
        <v>197</v>
      </c>
      <c r="D213" s="143">
        <f t="shared" si="14"/>
        <v>818400.88051013777</v>
      </c>
      <c r="E213" s="143">
        <f t="shared" ref="E213:E276" si="18">IF(C213&gt;$C$10,0,IF(C213&lt;=$C$8,F213,-PMT($C$6/12,$C$9,$C$5,0,0)))</f>
        <v>9417.5532455517805</v>
      </c>
      <c r="F213" s="143">
        <f t="shared" si="17"/>
        <v>4262.5045859903003</v>
      </c>
      <c r="G213" s="143">
        <f t="shared" si="15"/>
        <v>5155.0486595614802</v>
      </c>
      <c r="H213" s="144">
        <f t="shared" si="16"/>
        <v>813245.83185057633</v>
      </c>
    </row>
    <row r="214" spans="2:9">
      <c r="B214" s="39"/>
      <c r="C214" s="57">
        <v>198</v>
      </c>
      <c r="D214" s="143">
        <f t="shared" ref="D214:D277" si="19">IF(C214&gt;$C$10,0,H213)</f>
        <v>813245.83185057633</v>
      </c>
      <c r="E214" s="143">
        <f t="shared" si="18"/>
        <v>9417.5532455517805</v>
      </c>
      <c r="F214" s="143">
        <f t="shared" si="17"/>
        <v>4235.6553742217511</v>
      </c>
      <c r="G214" s="143">
        <f t="shared" si="15"/>
        <v>5181.8978713300294</v>
      </c>
      <c r="H214" s="144">
        <f t="shared" si="16"/>
        <v>808063.9339792463</v>
      </c>
    </row>
    <row r="215" spans="2:9">
      <c r="B215" s="39"/>
      <c r="C215" s="57">
        <v>199</v>
      </c>
      <c r="D215" s="143">
        <f t="shared" si="19"/>
        <v>808063.9339792463</v>
      </c>
      <c r="E215" s="143">
        <f t="shared" si="18"/>
        <v>9417.5532455517805</v>
      </c>
      <c r="F215" s="143">
        <f t="shared" si="17"/>
        <v>4208.6663228085745</v>
      </c>
      <c r="G215" s="143">
        <f t="shared" si="15"/>
        <v>5208.886922743206</v>
      </c>
      <c r="H215" s="144">
        <f t="shared" si="16"/>
        <v>802855.04705650313</v>
      </c>
    </row>
    <row r="216" spans="2:9">
      <c r="B216" s="39"/>
      <c r="C216" s="57">
        <v>200</v>
      </c>
      <c r="D216" s="143">
        <f t="shared" si="19"/>
        <v>802855.04705650313</v>
      </c>
      <c r="E216" s="143">
        <f t="shared" si="18"/>
        <v>9417.5532455517805</v>
      </c>
      <c r="F216" s="143">
        <f t="shared" si="17"/>
        <v>4181.5367034192868</v>
      </c>
      <c r="G216" s="143">
        <f t="shared" si="15"/>
        <v>5236.0165421324937</v>
      </c>
      <c r="H216" s="144">
        <f t="shared" si="16"/>
        <v>797619.03051437065</v>
      </c>
    </row>
    <row r="217" spans="2:9">
      <c r="B217" s="39"/>
      <c r="C217" s="57">
        <v>201</v>
      </c>
      <c r="D217" s="143">
        <f t="shared" si="19"/>
        <v>797619.03051437065</v>
      </c>
      <c r="E217" s="143">
        <f t="shared" si="18"/>
        <v>9417.5532455517805</v>
      </c>
      <c r="F217" s="143">
        <f t="shared" si="17"/>
        <v>4154.2657839290132</v>
      </c>
      <c r="G217" s="143">
        <f t="shared" si="15"/>
        <v>5263.2874616227673</v>
      </c>
      <c r="H217" s="144">
        <f t="shared" si="16"/>
        <v>792355.74305274792</v>
      </c>
    </row>
    <row r="218" spans="2:9">
      <c r="B218" s="39"/>
      <c r="C218" s="57">
        <v>202</v>
      </c>
      <c r="D218" s="143">
        <f t="shared" si="19"/>
        <v>792355.74305274792</v>
      </c>
      <c r="E218" s="143">
        <f t="shared" si="18"/>
        <v>9417.5532455517805</v>
      </c>
      <c r="F218" s="143">
        <f t="shared" si="17"/>
        <v>4126.8528283997284</v>
      </c>
      <c r="G218" s="143">
        <f t="shared" si="15"/>
        <v>5290.7004171520521</v>
      </c>
      <c r="H218" s="144">
        <f t="shared" si="16"/>
        <v>787065.04263559589</v>
      </c>
    </row>
    <row r="219" spans="2:9">
      <c r="B219" s="39"/>
      <c r="C219" s="57">
        <v>203</v>
      </c>
      <c r="D219" s="143">
        <f t="shared" si="19"/>
        <v>787065.04263559589</v>
      </c>
      <c r="E219" s="143">
        <f t="shared" si="18"/>
        <v>9417.5532455517805</v>
      </c>
      <c r="F219" s="143">
        <f t="shared" si="17"/>
        <v>4099.2970970603947</v>
      </c>
      <c r="G219" s="143">
        <f t="shared" si="15"/>
        <v>5318.2561484913858</v>
      </c>
      <c r="H219" s="144">
        <f t="shared" si="16"/>
        <v>781746.78648710449</v>
      </c>
    </row>
    <row r="220" spans="2:9">
      <c r="B220" s="45">
        <v>17</v>
      </c>
      <c r="C220" s="146">
        <v>204</v>
      </c>
      <c r="D220" s="156">
        <f t="shared" si="19"/>
        <v>781746.78648710449</v>
      </c>
      <c r="E220" s="156">
        <f t="shared" si="18"/>
        <v>9417.5532455517805</v>
      </c>
      <c r="F220" s="156">
        <f t="shared" si="17"/>
        <v>4071.5978462870025</v>
      </c>
      <c r="G220" s="156">
        <f t="shared" si="15"/>
        <v>5345.955399264778</v>
      </c>
      <c r="H220" s="157">
        <f t="shared" si="16"/>
        <v>776400.83108783967</v>
      </c>
      <c r="I220" s="147">
        <f>+SUM(G209:G220)+SUM(F209:F220)</f>
        <v>113010.63894662137</v>
      </c>
    </row>
    <row r="221" spans="2:9">
      <c r="B221" s="186"/>
      <c r="C221" s="187">
        <v>205</v>
      </c>
      <c r="D221" s="188">
        <f t="shared" si="19"/>
        <v>776400.83108783967</v>
      </c>
      <c r="E221" s="188">
        <f t="shared" si="18"/>
        <v>9417.5532455517805</v>
      </c>
      <c r="F221" s="188">
        <f t="shared" si="17"/>
        <v>4043.7543285824981</v>
      </c>
      <c r="G221" s="188">
        <f t="shared" si="15"/>
        <v>5373.7989169692828</v>
      </c>
      <c r="H221" s="189">
        <f t="shared" si="16"/>
        <v>771027.03217087034</v>
      </c>
    </row>
    <row r="222" spans="2:9">
      <c r="B222" s="39"/>
      <c r="C222" s="57">
        <v>206</v>
      </c>
      <c r="D222" s="143">
        <f t="shared" si="19"/>
        <v>771027.03217087034</v>
      </c>
      <c r="E222" s="143">
        <f t="shared" si="18"/>
        <v>9417.5532455517805</v>
      </c>
      <c r="F222" s="143">
        <f t="shared" si="17"/>
        <v>4015.7657925566164</v>
      </c>
      <c r="G222" s="143">
        <f t="shared" si="15"/>
        <v>5401.7874529951641</v>
      </c>
      <c r="H222" s="144">
        <f t="shared" si="16"/>
        <v>765625.24471787515</v>
      </c>
    </row>
    <row r="223" spans="2:9">
      <c r="B223" s="39"/>
      <c r="C223" s="57">
        <v>207</v>
      </c>
      <c r="D223" s="143">
        <f t="shared" si="19"/>
        <v>765625.24471787515</v>
      </c>
      <c r="E223" s="143">
        <f t="shared" si="18"/>
        <v>9417.5532455517805</v>
      </c>
      <c r="F223" s="143">
        <f t="shared" si="17"/>
        <v>3987.6314829055996</v>
      </c>
      <c r="G223" s="143">
        <f t="shared" si="15"/>
        <v>5429.9217626461814</v>
      </c>
      <c r="H223" s="144">
        <f t="shared" si="16"/>
        <v>760195.32295522897</v>
      </c>
    </row>
    <row r="224" spans="2:9">
      <c r="B224" s="39"/>
      <c r="C224" s="57">
        <v>208</v>
      </c>
      <c r="D224" s="143">
        <f t="shared" si="19"/>
        <v>760195.32295522897</v>
      </c>
      <c r="E224" s="143">
        <f t="shared" si="18"/>
        <v>9417.5532455517805</v>
      </c>
      <c r="F224" s="143">
        <f t="shared" si="17"/>
        <v>3959.3506403918173</v>
      </c>
      <c r="G224" s="143">
        <f t="shared" si="15"/>
        <v>5458.2026051599632</v>
      </c>
      <c r="H224" s="144">
        <f t="shared" si="16"/>
        <v>754737.12035006902</v>
      </c>
    </row>
    <row r="225" spans="2:9">
      <c r="B225" s="39"/>
      <c r="C225" s="57">
        <v>209</v>
      </c>
      <c r="D225" s="143">
        <f t="shared" si="19"/>
        <v>754737.12035006902</v>
      </c>
      <c r="E225" s="143">
        <f t="shared" si="18"/>
        <v>9417.5532455517805</v>
      </c>
      <c r="F225" s="143">
        <f t="shared" si="17"/>
        <v>3930.922501823276</v>
      </c>
      <c r="G225" s="143">
        <f t="shared" si="15"/>
        <v>5486.630743728505</v>
      </c>
      <c r="H225" s="144">
        <f t="shared" si="16"/>
        <v>749250.48960634053</v>
      </c>
    </row>
    <row r="226" spans="2:9">
      <c r="B226" s="39"/>
      <c r="C226" s="57">
        <v>210</v>
      </c>
      <c r="D226" s="143">
        <f t="shared" si="19"/>
        <v>749250.48960634053</v>
      </c>
      <c r="E226" s="143">
        <f t="shared" si="18"/>
        <v>9417.5532455517805</v>
      </c>
      <c r="F226" s="143">
        <f t="shared" si="17"/>
        <v>3902.3463000330235</v>
      </c>
      <c r="G226" s="143">
        <f t="shared" si="15"/>
        <v>5515.2069455187575</v>
      </c>
      <c r="H226" s="144">
        <f t="shared" si="16"/>
        <v>743735.2826608218</v>
      </c>
    </row>
    <row r="227" spans="2:9">
      <c r="B227" s="39"/>
      <c r="C227" s="57">
        <v>211</v>
      </c>
      <c r="D227" s="143">
        <f t="shared" si="19"/>
        <v>743735.2826608218</v>
      </c>
      <c r="E227" s="143">
        <f t="shared" si="18"/>
        <v>9417.5532455517805</v>
      </c>
      <c r="F227" s="143">
        <f t="shared" si="17"/>
        <v>3873.6212638584466</v>
      </c>
      <c r="G227" s="143">
        <f t="shared" si="15"/>
        <v>5543.9319816933339</v>
      </c>
      <c r="H227" s="144">
        <f t="shared" si="16"/>
        <v>738191.35067912843</v>
      </c>
    </row>
    <row r="228" spans="2:9">
      <c r="B228" s="39"/>
      <c r="C228" s="57">
        <v>212</v>
      </c>
      <c r="D228" s="143">
        <f t="shared" si="19"/>
        <v>738191.35067912843</v>
      </c>
      <c r="E228" s="143">
        <f t="shared" si="18"/>
        <v>9417.5532455517805</v>
      </c>
      <c r="F228" s="143">
        <f t="shared" si="17"/>
        <v>3844.7466181204604</v>
      </c>
      <c r="G228" s="143">
        <f t="shared" si="15"/>
        <v>5572.8066274313205</v>
      </c>
      <c r="H228" s="144">
        <f t="shared" si="16"/>
        <v>732618.54405169713</v>
      </c>
    </row>
    <row r="229" spans="2:9">
      <c r="B229" s="39"/>
      <c r="C229" s="57">
        <v>213</v>
      </c>
      <c r="D229" s="143">
        <f t="shared" si="19"/>
        <v>732618.54405169713</v>
      </c>
      <c r="E229" s="143">
        <f t="shared" si="18"/>
        <v>9417.5532455517805</v>
      </c>
      <c r="F229" s="143">
        <f t="shared" si="17"/>
        <v>3815.7215836025889</v>
      </c>
      <c r="G229" s="143">
        <f t="shared" si="15"/>
        <v>5601.8316619491916</v>
      </c>
      <c r="H229" s="144">
        <f t="shared" si="16"/>
        <v>727016.71238974796</v>
      </c>
    </row>
    <row r="230" spans="2:9">
      <c r="B230" s="39"/>
      <c r="C230" s="57">
        <v>214</v>
      </c>
      <c r="D230" s="143">
        <f t="shared" si="19"/>
        <v>727016.71238974796</v>
      </c>
      <c r="E230" s="143">
        <f t="shared" si="18"/>
        <v>9417.5532455517805</v>
      </c>
      <c r="F230" s="143">
        <f t="shared" si="17"/>
        <v>3786.5453770299373</v>
      </c>
      <c r="G230" s="143">
        <f t="shared" si="15"/>
        <v>5631.0078685218432</v>
      </c>
      <c r="H230" s="144">
        <f t="shared" si="16"/>
        <v>721385.70452122611</v>
      </c>
    </row>
    <row r="231" spans="2:9">
      <c r="B231" s="39"/>
      <c r="C231" s="57">
        <v>215</v>
      </c>
      <c r="D231" s="143">
        <f t="shared" si="19"/>
        <v>721385.70452122611</v>
      </c>
      <c r="E231" s="143">
        <f t="shared" si="18"/>
        <v>9417.5532455517805</v>
      </c>
      <c r="F231" s="143">
        <f t="shared" si="17"/>
        <v>3757.2172110480524</v>
      </c>
      <c r="G231" s="143">
        <f t="shared" si="15"/>
        <v>5660.3360345037281</v>
      </c>
      <c r="H231" s="144">
        <f t="shared" si="16"/>
        <v>715725.36848672235</v>
      </c>
    </row>
    <row r="232" spans="2:9">
      <c r="B232" s="45">
        <v>18</v>
      </c>
      <c r="C232" s="146">
        <v>216</v>
      </c>
      <c r="D232" s="156">
        <f t="shared" si="19"/>
        <v>715725.36848672235</v>
      </c>
      <c r="E232" s="156">
        <f t="shared" si="18"/>
        <v>9417.5532455517805</v>
      </c>
      <c r="F232" s="156">
        <f t="shared" si="17"/>
        <v>3727.7362942016789</v>
      </c>
      <c r="G232" s="156">
        <f t="shared" si="15"/>
        <v>5689.8169513501016</v>
      </c>
      <c r="H232" s="157">
        <f t="shared" si="16"/>
        <v>710035.55153537227</v>
      </c>
      <c r="I232" s="147">
        <f>+SUM(G221:G232)+SUM(F221:F232)</f>
        <v>113010.63894662136</v>
      </c>
    </row>
    <row r="233" spans="2:9">
      <c r="B233" s="186"/>
      <c r="C233" s="187">
        <v>217</v>
      </c>
      <c r="D233" s="188">
        <f t="shared" si="19"/>
        <v>710035.55153537227</v>
      </c>
      <c r="E233" s="188">
        <f t="shared" si="18"/>
        <v>9417.5532455517805</v>
      </c>
      <c r="F233" s="188">
        <f t="shared" si="17"/>
        <v>3698.101830913397</v>
      </c>
      <c r="G233" s="188">
        <f t="shared" si="15"/>
        <v>5719.4514146383835</v>
      </c>
      <c r="H233" s="189">
        <f t="shared" si="16"/>
        <v>704316.10012073384</v>
      </c>
    </row>
    <row r="234" spans="2:9">
      <c r="B234" s="39"/>
      <c r="C234" s="57">
        <v>218</v>
      </c>
      <c r="D234" s="143">
        <f t="shared" si="19"/>
        <v>704316.10012073384</v>
      </c>
      <c r="E234" s="143">
        <f t="shared" si="18"/>
        <v>9417.5532455517805</v>
      </c>
      <c r="F234" s="143">
        <f t="shared" si="17"/>
        <v>3668.3130214621551</v>
      </c>
      <c r="G234" s="143">
        <f t="shared" si="15"/>
        <v>5749.2402240896254</v>
      </c>
      <c r="H234" s="144">
        <f t="shared" si="16"/>
        <v>698566.85989664425</v>
      </c>
    </row>
    <row r="235" spans="2:9">
      <c r="B235" s="39"/>
      <c r="C235" s="57">
        <v>219</v>
      </c>
      <c r="D235" s="143">
        <f t="shared" si="19"/>
        <v>698566.85989664425</v>
      </c>
      <c r="E235" s="143">
        <f t="shared" si="18"/>
        <v>9417.5532455517805</v>
      </c>
      <c r="F235" s="143">
        <f t="shared" si="17"/>
        <v>3638.3690619616887</v>
      </c>
      <c r="G235" s="143">
        <f t="shared" si="15"/>
        <v>5779.1841835900923</v>
      </c>
      <c r="H235" s="144">
        <f t="shared" si="16"/>
        <v>692787.67571305414</v>
      </c>
    </row>
    <row r="236" spans="2:9">
      <c r="B236" s="39"/>
      <c r="C236" s="57">
        <v>220</v>
      </c>
      <c r="D236" s="143">
        <f t="shared" si="19"/>
        <v>692787.67571305414</v>
      </c>
      <c r="E236" s="143">
        <f t="shared" si="18"/>
        <v>9417.5532455517805</v>
      </c>
      <c r="F236" s="143">
        <f t="shared" si="17"/>
        <v>3608.2691443388235</v>
      </c>
      <c r="G236" s="143">
        <f t="shared" si="15"/>
        <v>5809.2841012129575</v>
      </c>
      <c r="H236" s="144">
        <f t="shared" si="16"/>
        <v>686978.39161184116</v>
      </c>
    </row>
    <row r="237" spans="2:9">
      <c r="B237" s="39"/>
      <c r="C237" s="57">
        <v>221</v>
      </c>
      <c r="D237" s="143">
        <f t="shared" si="19"/>
        <v>686978.39161184116</v>
      </c>
      <c r="E237" s="143">
        <f t="shared" si="18"/>
        <v>9417.5532455517805</v>
      </c>
      <c r="F237" s="143">
        <f t="shared" si="17"/>
        <v>3578.0124563116724</v>
      </c>
      <c r="G237" s="143">
        <f t="shared" si="15"/>
        <v>5839.5407892401081</v>
      </c>
      <c r="H237" s="144">
        <f t="shared" si="16"/>
        <v>681138.850822601</v>
      </c>
    </row>
    <row r="238" spans="2:9">
      <c r="B238" s="39"/>
      <c r="C238" s="57">
        <v>222</v>
      </c>
      <c r="D238" s="143">
        <f t="shared" si="19"/>
        <v>681138.850822601</v>
      </c>
      <c r="E238" s="143">
        <f t="shared" si="18"/>
        <v>9417.5532455517805</v>
      </c>
      <c r="F238" s="143">
        <f t="shared" si="17"/>
        <v>3547.5981813677136</v>
      </c>
      <c r="G238" s="143">
        <f t="shared" si="15"/>
        <v>5869.9550641840669</v>
      </c>
      <c r="H238" s="144">
        <f t="shared" si="16"/>
        <v>675268.89575841697</v>
      </c>
    </row>
    <row r="239" spans="2:9">
      <c r="B239" s="39"/>
      <c r="C239" s="57">
        <v>223</v>
      </c>
      <c r="D239" s="143">
        <f t="shared" si="19"/>
        <v>675268.89575841697</v>
      </c>
      <c r="E239" s="143">
        <f t="shared" si="18"/>
        <v>9417.5532455517805</v>
      </c>
      <c r="F239" s="143">
        <f t="shared" si="17"/>
        <v>3517.0254987417547</v>
      </c>
      <c r="G239" s="143">
        <f t="shared" si="15"/>
        <v>5900.5277468100257</v>
      </c>
      <c r="H239" s="144">
        <f t="shared" si="16"/>
        <v>669368.36801160697</v>
      </c>
    </row>
    <row r="240" spans="2:9">
      <c r="B240" s="39"/>
      <c r="C240" s="57">
        <v>224</v>
      </c>
      <c r="D240" s="143">
        <f t="shared" si="19"/>
        <v>669368.36801160697</v>
      </c>
      <c r="E240" s="143">
        <f t="shared" si="18"/>
        <v>9417.5532455517805</v>
      </c>
      <c r="F240" s="143">
        <f t="shared" si="17"/>
        <v>3486.2935833937863</v>
      </c>
      <c r="G240" s="143">
        <f t="shared" si="15"/>
        <v>5931.2596621579942</v>
      </c>
      <c r="H240" s="144">
        <f t="shared" si="16"/>
        <v>663437.108349449</v>
      </c>
    </row>
    <row r="241" spans="2:9">
      <c r="B241" s="39"/>
      <c r="C241" s="57">
        <v>225</v>
      </c>
      <c r="D241" s="143">
        <f t="shared" si="19"/>
        <v>663437.108349449</v>
      </c>
      <c r="E241" s="143">
        <f t="shared" si="18"/>
        <v>9417.5532455517805</v>
      </c>
      <c r="F241" s="143">
        <f t="shared" si="17"/>
        <v>3455.4016059867135</v>
      </c>
      <c r="G241" s="143">
        <f t="shared" si="15"/>
        <v>5962.1516395650669</v>
      </c>
      <c r="H241" s="144">
        <f t="shared" si="16"/>
        <v>657474.95670988399</v>
      </c>
    </row>
    <row r="242" spans="2:9">
      <c r="B242" s="39"/>
      <c r="C242" s="57">
        <v>226</v>
      </c>
      <c r="D242" s="143">
        <f t="shared" si="19"/>
        <v>657474.95670988399</v>
      </c>
      <c r="E242" s="143">
        <f t="shared" si="18"/>
        <v>9417.5532455517805</v>
      </c>
      <c r="F242" s="143">
        <f t="shared" si="17"/>
        <v>3424.348732863979</v>
      </c>
      <c r="G242" s="143">
        <f t="shared" si="15"/>
        <v>5993.204512687802</v>
      </c>
      <c r="H242" s="144">
        <f t="shared" si="16"/>
        <v>651481.75219719624</v>
      </c>
    </row>
    <row r="243" spans="2:9">
      <c r="B243" s="39"/>
      <c r="C243" s="57">
        <v>227</v>
      </c>
      <c r="D243" s="143">
        <f t="shared" si="19"/>
        <v>651481.75219719624</v>
      </c>
      <c r="E243" s="143">
        <f t="shared" si="18"/>
        <v>9417.5532455517805</v>
      </c>
      <c r="F243" s="143">
        <f t="shared" si="17"/>
        <v>3393.1341260270638</v>
      </c>
      <c r="G243" s="143">
        <f t="shared" si="15"/>
        <v>6024.4191195247167</v>
      </c>
      <c r="H243" s="144">
        <f t="shared" si="16"/>
        <v>645457.33307767147</v>
      </c>
    </row>
    <row r="244" spans="2:9">
      <c r="B244" s="45">
        <v>19</v>
      </c>
      <c r="C244" s="146">
        <v>228</v>
      </c>
      <c r="D244" s="156">
        <f t="shared" si="19"/>
        <v>645457.33307767147</v>
      </c>
      <c r="E244" s="156">
        <f t="shared" si="18"/>
        <v>9417.5532455517805</v>
      </c>
      <c r="F244" s="156">
        <f t="shared" si="17"/>
        <v>3361.7569431128722</v>
      </c>
      <c r="G244" s="156">
        <f t="shared" si="15"/>
        <v>6055.7963024389082</v>
      </c>
      <c r="H244" s="157">
        <f t="shared" si="16"/>
        <v>639401.53677523253</v>
      </c>
      <c r="I244" s="147">
        <f>+SUM(G233:G244)+SUM(F233:F244)</f>
        <v>113010.63894662136</v>
      </c>
    </row>
    <row r="245" spans="2:9">
      <c r="B245" s="186"/>
      <c r="C245" s="187">
        <v>229</v>
      </c>
      <c r="D245" s="188">
        <f t="shared" si="19"/>
        <v>639401.53677523253</v>
      </c>
      <c r="E245" s="188">
        <f t="shared" si="18"/>
        <v>9417.5532455517805</v>
      </c>
      <c r="F245" s="188">
        <f t="shared" si="17"/>
        <v>3330.2163373710027</v>
      </c>
      <c r="G245" s="188">
        <f t="shared" si="15"/>
        <v>6087.3369081807778</v>
      </c>
      <c r="H245" s="189">
        <f t="shared" si="16"/>
        <v>633314.19986705179</v>
      </c>
    </row>
    <row r="246" spans="2:9">
      <c r="B246" s="39"/>
      <c r="C246" s="57">
        <v>230</v>
      </c>
      <c r="D246" s="143">
        <f t="shared" si="19"/>
        <v>633314.19986705179</v>
      </c>
      <c r="E246" s="143">
        <f t="shared" si="18"/>
        <v>9417.5532455517805</v>
      </c>
      <c r="F246" s="143">
        <f t="shared" si="17"/>
        <v>3298.5114576408946</v>
      </c>
      <c r="G246" s="143">
        <f t="shared" si="15"/>
        <v>6119.0417879108863</v>
      </c>
      <c r="H246" s="144">
        <f t="shared" si="16"/>
        <v>627195.15807914094</v>
      </c>
    </row>
    <row r="247" spans="2:9">
      <c r="B247" s="39"/>
      <c r="C247" s="57">
        <v>231</v>
      </c>
      <c r="D247" s="143">
        <f t="shared" si="19"/>
        <v>627195.15807914094</v>
      </c>
      <c r="E247" s="143">
        <f t="shared" si="18"/>
        <v>9417.5532455517805</v>
      </c>
      <c r="F247" s="143">
        <f t="shared" si="17"/>
        <v>3266.641448328859</v>
      </c>
      <c r="G247" s="143">
        <f t="shared" si="15"/>
        <v>6150.9117972229215</v>
      </c>
      <c r="H247" s="144">
        <f t="shared" si="16"/>
        <v>621044.24628191802</v>
      </c>
    </row>
    <row r="248" spans="2:9">
      <c r="B248" s="39"/>
      <c r="C248" s="57">
        <v>232</v>
      </c>
      <c r="D248" s="143">
        <f t="shared" si="19"/>
        <v>621044.24628191802</v>
      </c>
      <c r="E248" s="143">
        <f t="shared" si="18"/>
        <v>9417.5532455517805</v>
      </c>
      <c r="F248" s="143">
        <f t="shared" si="17"/>
        <v>3234.6054493849897</v>
      </c>
      <c r="G248" s="143">
        <f t="shared" si="15"/>
        <v>6182.9477961667908</v>
      </c>
      <c r="H248" s="144">
        <f t="shared" si="16"/>
        <v>614861.29848575126</v>
      </c>
    </row>
    <row r="249" spans="2:9">
      <c r="B249" s="39"/>
      <c r="C249" s="57">
        <v>233</v>
      </c>
      <c r="D249" s="143">
        <f t="shared" si="19"/>
        <v>614861.29848575126</v>
      </c>
      <c r="E249" s="143">
        <f t="shared" si="18"/>
        <v>9417.5532455517805</v>
      </c>
      <c r="F249" s="143">
        <f t="shared" si="17"/>
        <v>3202.4025962799542</v>
      </c>
      <c r="G249" s="143">
        <f t="shared" si="15"/>
        <v>6215.1506492718263</v>
      </c>
      <c r="H249" s="144">
        <f t="shared" si="16"/>
        <v>608646.14783647947</v>
      </c>
    </row>
    <row r="250" spans="2:9">
      <c r="B250" s="39"/>
      <c r="C250" s="57">
        <v>234</v>
      </c>
      <c r="D250" s="143">
        <f t="shared" si="19"/>
        <v>608646.14783647947</v>
      </c>
      <c r="E250" s="143">
        <f t="shared" si="18"/>
        <v>9417.5532455517805</v>
      </c>
      <c r="F250" s="143">
        <f t="shared" si="17"/>
        <v>3170.0320199816638</v>
      </c>
      <c r="G250" s="143">
        <f t="shared" si="15"/>
        <v>6247.5212255701172</v>
      </c>
      <c r="H250" s="144">
        <f t="shared" si="16"/>
        <v>602398.62661090936</v>
      </c>
    </row>
    <row r="251" spans="2:9">
      <c r="B251" s="39"/>
      <c r="C251" s="57">
        <v>235</v>
      </c>
      <c r="D251" s="143">
        <f t="shared" si="19"/>
        <v>602398.62661090936</v>
      </c>
      <c r="E251" s="143">
        <f t="shared" si="18"/>
        <v>9417.5532455517805</v>
      </c>
      <c r="F251" s="143">
        <f t="shared" si="17"/>
        <v>3137.4928469318193</v>
      </c>
      <c r="G251" s="143">
        <f t="shared" si="15"/>
        <v>6280.0603986199612</v>
      </c>
      <c r="H251" s="144">
        <f t="shared" si="16"/>
        <v>596118.56621228938</v>
      </c>
    </row>
    <row r="252" spans="2:9">
      <c r="B252" s="39"/>
      <c r="C252" s="57">
        <v>236</v>
      </c>
      <c r="D252" s="143">
        <f t="shared" si="19"/>
        <v>596118.56621228938</v>
      </c>
      <c r="E252" s="143">
        <f t="shared" si="18"/>
        <v>9417.5532455517805</v>
      </c>
      <c r="F252" s="143">
        <f t="shared" si="17"/>
        <v>3104.7841990223405</v>
      </c>
      <c r="G252" s="143">
        <f t="shared" si="15"/>
        <v>6312.7690465294399</v>
      </c>
      <c r="H252" s="144">
        <f t="shared" si="16"/>
        <v>589805.79716575996</v>
      </c>
    </row>
    <row r="253" spans="2:9">
      <c r="B253" s="39"/>
      <c r="C253" s="57">
        <v>237</v>
      </c>
      <c r="D253" s="143">
        <f t="shared" si="19"/>
        <v>589805.79716575996</v>
      </c>
      <c r="E253" s="143">
        <f t="shared" si="18"/>
        <v>9417.5532455517805</v>
      </c>
      <c r="F253" s="143">
        <f t="shared" si="17"/>
        <v>3071.9051935716661</v>
      </c>
      <c r="G253" s="143">
        <f t="shared" si="15"/>
        <v>6345.6480519801144</v>
      </c>
      <c r="H253" s="144">
        <f t="shared" si="16"/>
        <v>583460.14911377989</v>
      </c>
    </row>
    <row r="254" spans="2:9">
      <c r="B254" s="39"/>
      <c r="C254" s="57">
        <v>238</v>
      </c>
      <c r="D254" s="143">
        <f t="shared" si="19"/>
        <v>583460.14911377989</v>
      </c>
      <c r="E254" s="143">
        <f t="shared" si="18"/>
        <v>9417.5532455517805</v>
      </c>
      <c r="F254" s="143">
        <f t="shared" si="17"/>
        <v>3038.8549433009366</v>
      </c>
      <c r="G254" s="143">
        <f t="shared" si="15"/>
        <v>6378.6983022508439</v>
      </c>
      <c r="H254" s="144">
        <f t="shared" si="16"/>
        <v>577081.45081152907</v>
      </c>
    </row>
    <row r="255" spans="2:9">
      <c r="B255" s="39"/>
      <c r="C255" s="57">
        <v>239</v>
      </c>
      <c r="D255" s="143">
        <f t="shared" si="19"/>
        <v>577081.45081152907</v>
      </c>
      <c r="E255" s="143">
        <f t="shared" si="18"/>
        <v>9417.5532455517805</v>
      </c>
      <c r="F255" s="143">
        <f t="shared" si="17"/>
        <v>3005.6325563100472</v>
      </c>
      <c r="G255" s="143">
        <f t="shared" si="15"/>
        <v>6411.9206892417333</v>
      </c>
      <c r="H255" s="144">
        <f t="shared" si="16"/>
        <v>570669.53012228734</v>
      </c>
    </row>
    <row r="256" spans="2:9">
      <c r="B256" s="45">
        <v>20</v>
      </c>
      <c r="C256" s="146">
        <v>240</v>
      </c>
      <c r="D256" s="156">
        <f t="shared" si="19"/>
        <v>570669.53012228734</v>
      </c>
      <c r="E256" s="156">
        <f t="shared" si="18"/>
        <v>9417.5532455517805</v>
      </c>
      <c r="F256" s="156">
        <f t="shared" si="17"/>
        <v>2972.2371360535799</v>
      </c>
      <c r="G256" s="156">
        <f t="shared" si="15"/>
        <v>6445.3161094982006</v>
      </c>
      <c r="H256" s="157">
        <f t="shared" si="16"/>
        <v>564224.21401278919</v>
      </c>
      <c r="I256" s="147">
        <f>+SUM(G245:G256)+SUM(F245:F256)</f>
        <v>113010.63894662136</v>
      </c>
    </row>
    <row r="257" spans="2:9">
      <c r="B257" s="186"/>
      <c r="C257" s="187">
        <v>241</v>
      </c>
      <c r="D257" s="188">
        <f t="shared" si="19"/>
        <v>564224.21401278919</v>
      </c>
      <c r="E257" s="188">
        <f t="shared" si="18"/>
        <v>9417.5532455517805</v>
      </c>
      <c r="F257" s="188">
        <f t="shared" si="17"/>
        <v>2938.6677813166102</v>
      </c>
      <c r="G257" s="188">
        <f t="shared" si="15"/>
        <v>6478.8854642351707</v>
      </c>
      <c r="H257" s="189">
        <f t="shared" si="16"/>
        <v>557745.32854855398</v>
      </c>
    </row>
    <row r="258" spans="2:9">
      <c r="B258" s="39"/>
      <c r="C258" s="57">
        <v>242</v>
      </c>
      <c r="D258" s="143">
        <f t="shared" si="19"/>
        <v>557745.32854855398</v>
      </c>
      <c r="E258" s="143">
        <f t="shared" si="18"/>
        <v>9417.5532455517805</v>
      </c>
      <c r="F258" s="143">
        <f t="shared" si="17"/>
        <v>2904.9235861903853</v>
      </c>
      <c r="G258" s="143">
        <f t="shared" si="15"/>
        <v>6512.6296593613952</v>
      </c>
      <c r="H258" s="144">
        <f t="shared" si="16"/>
        <v>551232.69888919254</v>
      </c>
    </row>
    <row r="259" spans="2:9">
      <c r="B259" s="39"/>
      <c r="C259" s="57">
        <v>243</v>
      </c>
      <c r="D259" s="143">
        <f t="shared" si="19"/>
        <v>551232.69888919254</v>
      </c>
      <c r="E259" s="143">
        <f t="shared" si="18"/>
        <v>9417.5532455517805</v>
      </c>
      <c r="F259" s="143">
        <f t="shared" si="17"/>
        <v>2871.0036400478775</v>
      </c>
      <c r="G259" s="143">
        <f t="shared" si="15"/>
        <v>6546.549605503903</v>
      </c>
      <c r="H259" s="144">
        <f t="shared" si="16"/>
        <v>544686.14928368863</v>
      </c>
    </row>
    <row r="260" spans="2:9">
      <c r="B260" s="39"/>
      <c r="C260" s="57">
        <v>244</v>
      </c>
      <c r="D260" s="143">
        <f t="shared" si="19"/>
        <v>544686.14928368863</v>
      </c>
      <c r="E260" s="143">
        <f t="shared" si="18"/>
        <v>9417.5532455517805</v>
      </c>
      <c r="F260" s="143">
        <f t="shared" si="17"/>
        <v>2836.9070275192116</v>
      </c>
      <c r="G260" s="143">
        <f t="shared" si="15"/>
        <v>6580.6462180325689</v>
      </c>
      <c r="H260" s="144">
        <f t="shared" si="16"/>
        <v>538105.50306565606</v>
      </c>
    </row>
    <row r="261" spans="2:9">
      <c r="B261" s="39"/>
      <c r="C261" s="57">
        <v>245</v>
      </c>
      <c r="D261" s="143">
        <f t="shared" si="19"/>
        <v>538105.50306565606</v>
      </c>
      <c r="E261" s="143">
        <f t="shared" si="18"/>
        <v>9417.5532455517805</v>
      </c>
      <c r="F261" s="143">
        <f t="shared" si="17"/>
        <v>2802.6328284669585</v>
      </c>
      <c r="G261" s="143">
        <f t="shared" si="15"/>
        <v>6614.9204170848225</v>
      </c>
      <c r="H261" s="144">
        <f t="shared" si="16"/>
        <v>531490.58264857123</v>
      </c>
    </row>
    <row r="262" spans="2:9">
      <c r="B262" s="39"/>
      <c r="C262" s="57">
        <v>246</v>
      </c>
      <c r="D262" s="143">
        <f t="shared" si="19"/>
        <v>531490.58264857123</v>
      </c>
      <c r="E262" s="143">
        <f t="shared" si="18"/>
        <v>9417.5532455517805</v>
      </c>
      <c r="F262" s="143">
        <f t="shared" si="17"/>
        <v>2768.1801179613085</v>
      </c>
      <c r="G262" s="143">
        <f t="shared" si="15"/>
        <v>6649.373127590472</v>
      </c>
      <c r="H262" s="144">
        <f t="shared" si="16"/>
        <v>524841.20952098072</v>
      </c>
    </row>
    <row r="263" spans="2:9">
      <c r="B263" s="39"/>
      <c r="C263" s="57">
        <v>247</v>
      </c>
      <c r="D263" s="143">
        <f t="shared" si="19"/>
        <v>524841.20952098072</v>
      </c>
      <c r="E263" s="143">
        <f t="shared" si="18"/>
        <v>9417.5532455517805</v>
      </c>
      <c r="F263" s="143">
        <f t="shared" si="17"/>
        <v>2733.5479662551079</v>
      </c>
      <c r="G263" s="143">
        <f t="shared" si="15"/>
        <v>6684.0052792966726</v>
      </c>
      <c r="H263" s="144">
        <f t="shared" si="16"/>
        <v>518157.20424168406</v>
      </c>
    </row>
    <row r="264" spans="2:9">
      <c r="B264" s="39"/>
      <c r="C264" s="57">
        <v>248</v>
      </c>
      <c r="D264" s="143">
        <f t="shared" si="19"/>
        <v>518157.20424168406</v>
      </c>
      <c r="E264" s="143">
        <f t="shared" si="18"/>
        <v>9417.5532455517805</v>
      </c>
      <c r="F264" s="143">
        <f t="shared" si="17"/>
        <v>2698.7354387587711</v>
      </c>
      <c r="G264" s="143">
        <f t="shared" si="15"/>
        <v>6718.8178067930094</v>
      </c>
      <c r="H264" s="144">
        <f t="shared" si="16"/>
        <v>511438.38643489103</v>
      </c>
    </row>
    <row r="265" spans="2:9">
      <c r="B265" s="39"/>
      <c r="C265" s="57">
        <v>249</v>
      </c>
      <c r="D265" s="143">
        <f t="shared" si="19"/>
        <v>511438.38643489103</v>
      </c>
      <c r="E265" s="143">
        <f t="shared" si="18"/>
        <v>9417.5532455517805</v>
      </c>
      <c r="F265" s="143">
        <f t="shared" si="17"/>
        <v>2663.7415960150574</v>
      </c>
      <c r="G265" s="143">
        <f t="shared" si="15"/>
        <v>6753.8116495367231</v>
      </c>
      <c r="H265" s="144">
        <f t="shared" si="16"/>
        <v>504684.57478535431</v>
      </c>
    </row>
    <row r="266" spans="2:9">
      <c r="B266" s="39"/>
      <c r="C266" s="57">
        <v>250</v>
      </c>
      <c r="D266" s="143">
        <f t="shared" si="19"/>
        <v>504684.57478535431</v>
      </c>
      <c r="E266" s="143">
        <f t="shared" si="18"/>
        <v>9417.5532455517805</v>
      </c>
      <c r="F266" s="143">
        <f t="shared" si="17"/>
        <v>2628.5654936737201</v>
      </c>
      <c r="G266" s="143">
        <f t="shared" si="15"/>
        <v>6788.9877518780604</v>
      </c>
      <c r="H266" s="144">
        <f t="shared" si="16"/>
        <v>497895.58703347627</v>
      </c>
    </row>
    <row r="267" spans="2:9">
      <c r="B267" s="39"/>
      <c r="C267" s="57">
        <v>251</v>
      </c>
      <c r="D267" s="143">
        <f t="shared" si="19"/>
        <v>497895.58703347627</v>
      </c>
      <c r="E267" s="143">
        <f t="shared" si="18"/>
        <v>9417.5532455517805</v>
      </c>
      <c r="F267" s="143">
        <f t="shared" si="17"/>
        <v>2593.2061824660223</v>
      </c>
      <c r="G267" s="143">
        <f t="shared" si="15"/>
        <v>6824.3470630857582</v>
      </c>
      <c r="H267" s="144">
        <f t="shared" si="16"/>
        <v>491071.23997039051</v>
      </c>
    </row>
    <row r="268" spans="2:9">
      <c r="B268" s="45">
        <v>21</v>
      </c>
      <c r="C268" s="146">
        <v>252</v>
      </c>
      <c r="D268" s="156">
        <f t="shared" si="19"/>
        <v>491071.23997039051</v>
      </c>
      <c r="E268" s="156">
        <f t="shared" si="18"/>
        <v>9417.5532455517805</v>
      </c>
      <c r="F268" s="156">
        <f t="shared" si="17"/>
        <v>2557.6627081791171</v>
      </c>
      <c r="G268" s="156">
        <f t="shared" si="15"/>
        <v>6859.8905373726629</v>
      </c>
      <c r="H268" s="157">
        <f t="shared" si="16"/>
        <v>484211.34943301784</v>
      </c>
      <c r="I268" s="147">
        <f>+SUM(G257:G268)+SUM(F257:F268)</f>
        <v>113010.63894662136</v>
      </c>
    </row>
    <row r="269" spans="2:9">
      <c r="B269" s="186"/>
      <c r="C269" s="187">
        <v>253</v>
      </c>
      <c r="D269" s="188">
        <f t="shared" si="19"/>
        <v>484211.34943301784</v>
      </c>
      <c r="E269" s="188">
        <f t="shared" si="18"/>
        <v>9417.5532455517805</v>
      </c>
      <c r="F269" s="188">
        <f t="shared" si="17"/>
        <v>2521.9341116303012</v>
      </c>
      <c r="G269" s="188">
        <f t="shared" si="15"/>
        <v>6895.6191339214793</v>
      </c>
      <c r="H269" s="189">
        <f t="shared" si="16"/>
        <v>477315.73029909638</v>
      </c>
    </row>
    <row r="270" spans="2:9">
      <c r="B270" s="39"/>
      <c r="C270" s="57">
        <v>254</v>
      </c>
      <c r="D270" s="143">
        <f t="shared" si="19"/>
        <v>477315.73029909638</v>
      </c>
      <c r="E270" s="143">
        <f t="shared" si="18"/>
        <v>9417.5532455517805</v>
      </c>
      <c r="F270" s="143">
        <f t="shared" si="17"/>
        <v>2486.019428641127</v>
      </c>
      <c r="G270" s="143">
        <f t="shared" si="15"/>
        <v>6931.5338169106535</v>
      </c>
      <c r="H270" s="144">
        <f t="shared" si="16"/>
        <v>470384.19648218574</v>
      </c>
    </row>
    <row r="271" spans="2:9">
      <c r="B271" s="39"/>
      <c r="C271" s="57">
        <v>255</v>
      </c>
      <c r="D271" s="143">
        <f t="shared" si="19"/>
        <v>470384.19648218574</v>
      </c>
      <c r="E271" s="143">
        <f t="shared" si="18"/>
        <v>9417.5532455517805</v>
      </c>
      <c r="F271" s="143">
        <f t="shared" si="17"/>
        <v>2449.9176900113839</v>
      </c>
      <c r="G271" s="143">
        <f t="shared" si="15"/>
        <v>6967.635555540397</v>
      </c>
      <c r="H271" s="144">
        <f t="shared" si="16"/>
        <v>463416.56092664535</v>
      </c>
    </row>
    <row r="272" spans="2:9">
      <c r="B272" s="39"/>
      <c r="C272" s="57">
        <v>256</v>
      </c>
      <c r="D272" s="143">
        <f t="shared" si="19"/>
        <v>463416.56092664535</v>
      </c>
      <c r="E272" s="143">
        <f t="shared" si="18"/>
        <v>9417.5532455517805</v>
      </c>
      <c r="F272" s="143">
        <f t="shared" si="17"/>
        <v>2413.6279214929446</v>
      </c>
      <c r="G272" s="143">
        <f t="shared" si="15"/>
        <v>7003.9253240588359</v>
      </c>
      <c r="H272" s="144">
        <f t="shared" si="16"/>
        <v>456412.6356025865</v>
      </c>
    </row>
    <row r="273" spans="2:9">
      <c r="B273" s="39"/>
      <c r="C273" s="57">
        <v>257</v>
      </c>
      <c r="D273" s="143">
        <f t="shared" si="19"/>
        <v>456412.6356025865</v>
      </c>
      <c r="E273" s="143">
        <f t="shared" si="18"/>
        <v>9417.5532455517805</v>
      </c>
      <c r="F273" s="143">
        <f t="shared" si="17"/>
        <v>2377.1491437634713</v>
      </c>
      <c r="G273" s="143">
        <f t="shared" ref="G273:G336" si="20">E273-F273</f>
        <v>7040.4041017883092</v>
      </c>
      <c r="H273" s="144">
        <f t="shared" ref="H273:H336" si="21">D273-G273</f>
        <v>449372.2315007982</v>
      </c>
    </row>
    <row r="274" spans="2:9">
      <c r="B274" s="39"/>
      <c r="C274" s="57">
        <v>258</v>
      </c>
      <c r="D274" s="143">
        <f t="shared" si="19"/>
        <v>449372.2315007982</v>
      </c>
      <c r="E274" s="143">
        <f t="shared" si="18"/>
        <v>9417.5532455517805</v>
      </c>
      <c r="F274" s="143">
        <f t="shared" ref="F274:F337" si="22">IF(C274&gt;$C$10,0,($C$6/12)*H273)</f>
        <v>2340.4803723999903</v>
      </c>
      <c r="G274" s="143">
        <f t="shared" si="20"/>
        <v>7077.0728731517902</v>
      </c>
      <c r="H274" s="144">
        <f t="shared" si="21"/>
        <v>442295.15862764639</v>
      </c>
    </row>
    <row r="275" spans="2:9">
      <c r="B275" s="39"/>
      <c r="C275" s="57">
        <v>259</v>
      </c>
      <c r="D275" s="143">
        <f t="shared" si="19"/>
        <v>442295.15862764639</v>
      </c>
      <c r="E275" s="143">
        <f t="shared" si="18"/>
        <v>9417.5532455517805</v>
      </c>
      <c r="F275" s="143">
        <f t="shared" si="22"/>
        <v>2303.6206178523248</v>
      </c>
      <c r="G275" s="143">
        <f t="shared" si="20"/>
        <v>7113.9326276994561</v>
      </c>
      <c r="H275" s="144">
        <f t="shared" si="21"/>
        <v>435181.22599994694</v>
      </c>
    </row>
    <row r="276" spans="2:9">
      <c r="B276" s="39"/>
      <c r="C276" s="57">
        <v>260</v>
      </c>
      <c r="D276" s="143">
        <f t="shared" si="19"/>
        <v>435181.22599994694</v>
      </c>
      <c r="E276" s="143">
        <f t="shared" si="18"/>
        <v>9417.5532455517805</v>
      </c>
      <c r="F276" s="143">
        <f t="shared" si="22"/>
        <v>2266.56888541639</v>
      </c>
      <c r="G276" s="143">
        <f t="shared" si="20"/>
        <v>7150.9843601353905</v>
      </c>
      <c r="H276" s="144">
        <f t="shared" si="21"/>
        <v>428030.24163981155</v>
      </c>
    </row>
    <row r="277" spans="2:9">
      <c r="B277" s="39"/>
      <c r="C277" s="57">
        <v>261</v>
      </c>
      <c r="D277" s="143">
        <f t="shared" si="19"/>
        <v>428030.24163981155</v>
      </c>
      <c r="E277" s="143">
        <f t="shared" ref="E277:E340" si="23">IF(C277&gt;$C$10,0,IF(C277&lt;=$C$8,F277,-PMT($C$6/12,$C$9,$C$5,0,0)))</f>
        <v>9417.5532455517805</v>
      </c>
      <c r="F277" s="143">
        <f t="shared" si="22"/>
        <v>2229.3241752073518</v>
      </c>
      <c r="G277" s="143">
        <f t="shared" si="20"/>
        <v>7188.2290703444287</v>
      </c>
      <c r="H277" s="144">
        <f t="shared" si="21"/>
        <v>420842.01256946713</v>
      </c>
    </row>
    <row r="278" spans="2:9">
      <c r="B278" s="39"/>
      <c r="C278" s="57">
        <v>262</v>
      </c>
      <c r="D278" s="143">
        <f t="shared" ref="D278:D341" si="24">IF(C278&gt;$C$10,0,H277)</f>
        <v>420842.01256946713</v>
      </c>
      <c r="E278" s="143">
        <f t="shared" si="23"/>
        <v>9417.5532455517805</v>
      </c>
      <c r="F278" s="143">
        <f t="shared" si="22"/>
        <v>2191.8854821326413</v>
      </c>
      <c r="G278" s="143">
        <f t="shared" si="20"/>
        <v>7225.6677634191392</v>
      </c>
      <c r="H278" s="144">
        <f t="shared" si="21"/>
        <v>413616.34480604797</v>
      </c>
    </row>
    <row r="279" spans="2:9">
      <c r="B279" s="39"/>
      <c r="C279" s="57">
        <v>263</v>
      </c>
      <c r="D279" s="143">
        <f t="shared" si="24"/>
        <v>413616.34480604797</v>
      </c>
      <c r="E279" s="143">
        <f t="shared" si="23"/>
        <v>9417.5532455517805</v>
      </c>
      <c r="F279" s="143">
        <f t="shared" si="22"/>
        <v>2154.2517958648332</v>
      </c>
      <c r="G279" s="143">
        <f t="shared" si="20"/>
        <v>7263.3014496869473</v>
      </c>
      <c r="H279" s="144">
        <f t="shared" si="21"/>
        <v>406353.04335636104</v>
      </c>
    </row>
    <row r="280" spans="2:9">
      <c r="B280" s="45">
        <v>22</v>
      </c>
      <c r="C280" s="146">
        <v>264</v>
      </c>
      <c r="D280" s="156">
        <f t="shared" si="24"/>
        <v>406353.04335636104</v>
      </c>
      <c r="E280" s="156">
        <f t="shared" si="23"/>
        <v>9417.5532455517805</v>
      </c>
      <c r="F280" s="156">
        <f t="shared" si="22"/>
        <v>2116.4221008143804</v>
      </c>
      <c r="G280" s="156">
        <f t="shared" si="20"/>
        <v>7301.1311447374001</v>
      </c>
      <c r="H280" s="157">
        <f t="shared" si="21"/>
        <v>399051.91221162362</v>
      </c>
      <c r="I280" s="147">
        <f>+SUM(G269:G280)+SUM(F269:F280)</f>
        <v>113010.63894662136</v>
      </c>
    </row>
    <row r="281" spans="2:9">
      <c r="B281" s="186"/>
      <c r="C281" s="187">
        <v>265</v>
      </c>
      <c r="D281" s="188">
        <f t="shared" si="24"/>
        <v>399051.91221162362</v>
      </c>
      <c r="E281" s="188">
        <f t="shared" si="23"/>
        <v>9417.5532455517805</v>
      </c>
      <c r="F281" s="188">
        <f t="shared" si="22"/>
        <v>2078.3953761022062</v>
      </c>
      <c r="G281" s="188">
        <f t="shared" si="20"/>
        <v>7339.1578694495747</v>
      </c>
      <c r="H281" s="189">
        <f t="shared" si="21"/>
        <v>391712.75434217404</v>
      </c>
    </row>
    <row r="282" spans="2:9">
      <c r="B282" s="39"/>
      <c r="C282" s="57">
        <v>266</v>
      </c>
      <c r="D282" s="143">
        <f t="shared" si="24"/>
        <v>391712.75434217404</v>
      </c>
      <c r="E282" s="143">
        <f t="shared" si="23"/>
        <v>9417.5532455517805</v>
      </c>
      <c r="F282" s="143">
        <f t="shared" si="22"/>
        <v>2040.1705955321563</v>
      </c>
      <c r="G282" s="143">
        <f t="shared" si="20"/>
        <v>7377.3826500196246</v>
      </c>
      <c r="H282" s="144">
        <f t="shared" si="21"/>
        <v>384335.37169215444</v>
      </c>
    </row>
    <row r="283" spans="2:9">
      <c r="B283" s="39"/>
      <c r="C283" s="57">
        <v>267</v>
      </c>
      <c r="D283" s="143">
        <f t="shared" si="24"/>
        <v>384335.37169215444</v>
      </c>
      <c r="E283" s="143">
        <f t="shared" si="23"/>
        <v>9417.5532455517805</v>
      </c>
      <c r="F283" s="143">
        <f t="shared" si="22"/>
        <v>2001.7467275633044</v>
      </c>
      <c r="G283" s="143">
        <f t="shared" si="20"/>
        <v>7415.8065179884761</v>
      </c>
      <c r="H283" s="144">
        <f t="shared" si="21"/>
        <v>376919.56517416594</v>
      </c>
    </row>
    <row r="284" spans="2:9">
      <c r="B284" s="39"/>
      <c r="C284" s="57">
        <v>268</v>
      </c>
      <c r="D284" s="143">
        <f t="shared" si="24"/>
        <v>376919.56517416594</v>
      </c>
      <c r="E284" s="143">
        <f t="shared" si="23"/>
        <v>9417.5532455517805</v>
      </c>
      <c r="F284" s="143">
        <f t="shared" si="22"/>
        <v>1963.1227352821143</v>
      </c>
      <c r="G284" s="143">
        <f t="shared" si="20"/>
        <v>7454.4305102696662</v>
      </c>
      <c r="H284" s="144">
        <f t="shared" si="21"/>
        <v>369465.13466389629</v>
      </c>
    </row>
    <row r="285" spans="2:9">
      <c r="B285" s="39"/>
      <c r="C285" s="57">
        <v>269</v>
      </c>
      <c r="D285" s="143">
        <f t="shared" si="24"/>
        <v>369465.13466389629</v>
      </c>
      <c r="E285" s="143">
        <f t="shared" si="23"/>
        <v>9417.5532455517805</v>
      </c>
      <c r="F285" s="143">
        <f t="shared" si="22"/>
        <v>1924.2975763744598</v>
      </c>
      <c r="G285" s="143">
        <f t="shared" si="20"/>
        <v>7493.2556691773207</v>
      </c>
      <c r="H285" s="144">
        <f t="shared" si="21"/>
        <v>361971.87899471895</v>
      </c>
    </row>
    <row r="286" spans="2:9">
      <c r="B286" s="39"/>
      <c r="C286" s="57">
        <v>270</v>
      </c>
      <c r="D286" s="143">
        <f t="shared" si="24"/>
        <v>361971.87899471895</v>
      </c>
      <c r="E286" s="143">
        <f t="shared" si="23"/>
        <v>9417.5532455517805</v>
      </c>
      <c r="F286" s="143">
        <f t="shared" si="22"/>
        <v>1885.2702030974945</v>
      </c>
      <c r="G286" s="143">
        <f t="shared" si="20"/>
        <v>7532.2830424542863</v>
      </c>
      <c r="H286" s="144">
        <f t="shared" si="21"/>
        <v>354439.59595226467</v>
      </c>
    </row>
    <row r="287" spans="2:9">
      <c r="B287" s="39"/>
      <c r="C287" s="57">
        <v>271</v>
      </c>
      <c r="D287" s="143">
        <f t="shared" si="24"/>
        <v>354439.59595226467</v>
      </c>
      <c r="E287" s="143">
        <f t="shared" si="23"/>
        <v>9417.5532455517805</v>
      </c>
      <c r="F287" s="143">
        <f t="shared" si="22"/>
        <v>1846.0395622513784</v>
      </c>
      <c r="G287" s="143">
        <f t="shared" si="20"/>
        <v>7571.5136833004017</v>
      </c>
      <c r="H287" s="144">
        <f t="shared" si="21"/>
        <v>346868.08226896427</v>
      </c>
    </row>
    <row r="288" spans="2:9">
      <c r="B288" s="39"/>
      <c r="C288" s="57">
        <v>272</v>
      </c>
      <c r="D288" s="143">
        <f t="shared" si="24"/>
        <v>346868.08226896427</v>
      </c>
      <c r="E288" s="143">
        <f t="shared" si="23"/>
        <v>9417.5532455517805</v>
      </c>
      <c r="F288" s="143">
        <f t="shared" si="22"/>
        <v>1806.6045951508554</v>
      </c>
      <c r="G288" s="143">
        <f t="shared" si="20"/>
        <v>7610.9486504009255</v>
      </c>
      <c r="H288" s="144">
        <f t="shared" si="21"/>
        <v>339257.13361856336</v>
      </c>
    </row>
    <row r="289" spans="2:9">
      <c r="B289" s="39"/>
      <c r="C289" s="57">
        <v>273</v>
      </c>
      <c r="D289" s="143">
        <f t="shared" si="24"/>
        <v>339257.13361856336</v>
      </c>
      <c r="E289" s="143">
        <f t="shared" si="23"/>
        <v>9417.5532455517805</v>
      </c>
      <c r="F289" s="143">
        <f t="shared" si="22"/>
        <v>1766.9642375966841</v>
      </c>
      <c r="G289" s="143">
        <f t="shared" si="20"/>
        <v>7650.5890079550963</v>
      </c>
      <c r="H289" s="144">
        <f t="shared" si="21"/>
        <v>331606.54461060825</v>
      </c>
    </row>
    <row r="290" spans="2:9">
      <c r="B290" s="39"/>
      <c r="C290" s="57">
        <v>274</v>
      </c>
      <c r="D290" s="143">
        <f t="shared" si="24"/>
        <v>331606.54461060825</v>
      </c>
      <c r="E290" s="143">
        <f t="shared" si="23"/>
        <v>9417.5532455517805</v>
      </c>
      <c r="F290" s="143">
        <f t="shared" si="22"/>
        <v>1727.117419846918</v>
      </c>
      <c r="G290" s="143">
        <f t="shared" si="20"/>
        <v>7690.4358257048625</v>
      </c>
      <c r="H290" s="144">
        <f t="shared" si="21"/>
        <v>323916.10878490336</v>
      </c>
    </row>
    <row r="291" spans="2:9">
      <c r="B291" s="39"/>
      <c r="C291" s="57">
        <v>275</v>
      </c>
      <c r="D291" s="143">
        <f t="shared" si="24"/>
        <v>323916.10878490336</v>
      </c>
      <c r="E291" s="143">
        <f t="shared" si="23"/>
        <v>9417.5532455517805</v>
      </c>
      <c r="F291" s="143">
        <f t="shared" si="22"/>
        <v>1687.0630665880383</v>
      </c>
      <c r="G291" s="143">
        <f t="shared" si="20"/>
        <v>7730.4901789637424</v>
      </c>
      <c r="H291" s="144">
        <f t="shared" si="21"/>
        <v>316185.61860593961</v>
      </c>
    </row>
    <row r="292" spans="2:9">
      <c r="B292" s="45">
        <v>23</v>
      </c>
      <c r="C292" s="146">
        <v>276</v>
      </c>
      <c r="D292" s="156">
        <f t="shared" si="24"/>
        <v>316185.61860593961</v>
      </c>
      <c r="E292" s="156">
        <f t="shared" si="23"/>
        <v>9417.5532455517805</v>
      </c>
      <c r="F292" s="156">
        <f t="shared" si="22"/>
        <v>1646.8000969059353</v>
      </c>
      <c r="G292" s="156">
        <f t="shared" si="20"/>
        <v>7770.7531486458447</v>
      </c>
      <c r="H292" s="157">
        <f t="shared" si="21"/>
        <v>308414.86545729375</v>
      </c>
      <c r="I292" s="147">
        <f>+SUM(G281:G292)+SUM(F281:F292)</f>
        <v>113010.63894662136</v>
      </c>
    </row>
    <row r="293" spans="2:9">
      <c r="B293" s="186"/>
      <c r="C293" s="187">
        <v>277</v>
      </c>
      <c r="D293" s="188">
        <f t="shared" si="24"/>
        <v>308414.86545729375</v>
      </c>
      <c r="E293" s="188">
        <f t="shared" si="23"/>
        <v>9417.5532455517805</v>
      </c>
      <c r="F293" s="188">
        <f t="shared" si="22"/>
        <v>1606.3274242567381</v>
      </c>
      <c r="G293" s="188">
        <f t="shared" si="20"/>
        <v>7811.2258212950419</v>
      </c>
      <c r="H293" s="189">
        <f t="shared" si="21"/>
        <v>300603.6396359987</v>
      </c>
    </row>
    <row r="294" spans="2:9">
      <c r="B294" s="39"/>
      <c r="C294" s="57">
        <v>278</v>
      </c>
      <c r="D294" s="143">
        <f t="shared" si="24"/>
        <v>300603.6396359987</v>
      </c>
      <c r="E294" s="143">
        <f t="shared" si="23"/>
        <v>9417.5532455517805</v>
      </c>
      <c r="F294" s="143">
        <f t="shared" si="22"/>
        <v>1565.6439564374932</v>
      </c>
      <c r="G294" s="143">
        <f t="shared" si="20"/>
        <v>7851.9092891142873</v>
      </c>
      <c r="H294" s="144">
        <f t="shared" si="21"/>
        <v>292751.7303468844</v>
      </c>
    </row>
    <row r="295" spans="2:9">
      <c r="B295" s="39"/>
      <c r="C295" s="57">
        <v>279</v>
      </c>
      <c r="D295" s="143">
        <f t="shared" si="24"/>
        <v>292751.7303468844</v>
      </c>
      <c r="E295" s="143">
        <f t="shared" si="23"/>
        <v>9417.5532455517805</v>
      </c>
      <c r="F295" s="143">
        <f t="shared" si="22"/>
        <v>1524.7485955566895</v>
      </c>
      <c r="G295" s="143">
        <f t="shared" si="20"/>
        <v>7892.8046499950906</v>
      </c>
      <c r="H295" s="144">
        <f t="shared" si="21"/>
        <v>284858.92569688929</v>
      </c>
    </row>
    <row r="296" spans="2:9">
      <c r="B296" s="39"/>
      <c r="C296" s="57">
        <v>280</v>
      </c>
      <c r="D296" s="143">
        <f t="shared" si="24"/>
        <v>284858.92569688929</v>
      </c>
      <c r="E296" s="143">
        <f t="shared" si="23"/>
        <v>9417.5532455517805</v>
      </c>
      <c r="F296" s="143">
        <f t="shared" si="22"/>
        <v>1483.6402380046316</v>
      </c>
      <c r="G296" s="143">
        <f t="shared" si="20"/>
        <v>7933.9130075471494</v>
      </c>
      <c r="H296" s="144">
        <f t="shared" si="21"/>
        <v>276925.01268934214</v>
      </c>
    </row>
    <row r="297" spans="2:9">
      <c r="B297" s="39"/>
      <c r="C297" s="57">
        <v>281</v>
      </c>
      <c r="D297" s="143">
        <f t="shared" si="24"/>
        <v>276925.01268934214</v>
      </c>
      <c r="E297" s="143">
        <f t="shared" si="23"/>
        <v>9417.5532455517805</v>
      </c>
      <c r="F297" s="143">
        <f t="shared" si="22"/>
        <v>1442.3177744236568</v>
      </c>
      <c r="G297" s="143">
        <f t="shared" si="20"/>
        <v>7975.2354711281241</v>
      </c>
      <c r="H297" s="144">
        <f t="shared" si="21"/>
        <v>268949.777218214</v>
      </c>
    </row>
    <row r="298" spans="2:9">
      <c r="B298" s="39"/>
      <c r="C298" s="57">
        <v>282</v>
      </c>
      <c r="D298" s="143">
        <f t="shared" si="24"/>
        <v>268949.777218214</v>
      </c>
      <c r="E298" s="143">
        <f t="shared" si="23"/>
        <v>9417.5532455517805</v>
      </c>
      <c r="F298" s="143">
        <f t="shared" si="22"/>
        <v>1400.7800896781978</v>
      </c>
      <c r="G298" s="143">
        <f t="shared" si="20"/>
        <v>8016.7731558735832</v>
      </c>
      <c r="H298" s="144">
        <f t="shared" si="21"/>
        <v>260933.00406234042</v>
      </c>
    </row>
    <row r="299" spans="2:9">
      <c r="B299" s="39"/>
      <c r="C299" s="57">
        <v>283</v>
      </c>
      <c r="D299" s="143">
        <f t="shared" si="24"/>
        <v>260933.00406234042</v>
      </c>
      <c r="E299" s="143">
        <f t="shared" si="23"/>
        <v>9417.5532455517805</v>
      </c>
      <c r="F299" s="143">
        <f t="shared" si="22"/>
        <v>1359.0260628246897</v>
      </c>
      <c r="G299" s="143">
        <f t="shared" si="20"/>
        <v>8058.5271827270908</v>
      </c>
      <c r="H299" s="144">
        <f t="shared" si="21"/>
        <v>252874.47687961333</v>
      </c>
    </row>
    <row r="300" spans="2:9">
      <c r="B300" s="39"/>
      <c r="C300" s="57">
        <v>284</v>
      </c>
      <c r="D300" s="143">
        <f t="shared" si="24"/>
        <v>252874.47687961333</v>
      </c>
      <c r="E300" s="143">
        <f t="shared" si="23"/>
        <v>9417.5532455517805</v>
      </c>
      <c r="F300" s="143">
        <f t="shared" si="22"/>
        <v>1317.0545670813194</v>
      </c>
      <c r="G300" s="143">
        <f t="shared" si="20"/>
        <v>8100.4986784704615</v>
      </c>
      <c r="H300" s="144">
        <f t="shared" si="21"/>
        <v>244773.97820114286</v>
      </c>
    </row>
    <row r="301" spans="2:9">
      <c r="B301" s="39"/>
      <c r="C301" s="57">
        <v>285</v>
      </c>
      <c r="D301" s="143">
        <f t="shared" si="24"/>
        <v>244773.97820114286</v>
      </c>
      <c r="E301" s="143">
        <f t="shared" si="23"/>
        <v>9417.5532455517805</v>
      </c>
      <c r="F301" s="143">
        <f t="shared" si="22"/>
        <v>1274.864469797619</v>
      </c>
      <c r="G301" s="143">
        <f t="shared" si="20"/>
        <v>8142.6887757541617</v>
      </c>
      <c r="H301" s="144">
        <f t="shared" si="21"/>
        <v>236631.28942538871</v>
      </c>
    </row>
    <row r="302" spans="2:9">
      <c r="B302" s="39"/>
      <c r="C302" s="57">
        <v>286</v>
      </c>
      <c r="D302" s="143">
        <f t="shared" si="24"/>
        <v>236631.28942538871</v>
      </c>
      <c r="E302" s="143">
        <f t="shared" si="23"/>
        <v>9417.5532455517805</v>
      </c>
      <c r="F302" s="143">
        <f t="shared" si="22"/>
        <v>1232.4546324238995</v>
      </c>
      <c r="G302" s="143">
        <f t="shared" si="20"/>
        <v>8185.0986131278805</v>
      </c>
      <c r="H302" s="144">
        <f t="shared" si="21"/>
        <v>228446.19081226081</v>
      </c>
    </row>
    <row r="303" spans="2:9">
      <c r="B303" s="39"/>
      <c r="C303" s="57">
        <v>287</v>
      </c>
      <c r="D303" s="143">
        <f t="shared" si="24"/>
        <v>228446.19081226081</v>
      </c>
      <c r="E303" s="143">
        <f t="shared" si="23"/>
        <v>9417.5532455517805</v>
      </c>
      <c r="F303" s="143">
        <f t="shared" si="22"/>
        <v>1189.823910480525</v>
      </c>
      <c r="G303" s="143">
        <f t="shared" si="20"/>
        <v>8227.7293350712553</v>
      </c>
      <c r="H303" s="144">
        <f t="shared" si="21"/>
        <v>220218.46147718956</v>
      </c>
    </row>
    <row r="304" spans="2:9">
      <c r="B304" s="45">
        <v>24</v>
      </c>
      <c r="C304" s="146">
        <v>288</v>
      </c>
      <c r="D304" s="156">
        <f t="shared" si="24"/>
        <v>220218.46147718956</v>
      </c>
      <c r="E304" s="156">
        <f t="shared" si="23"/>
        <v>9417.5532455517805</v>
      </c>
      <c r="F304" s="156">
        <f t="shared" si="22"/>
        <v>1146.9711535270289</v>
      </c>
      <c r="G304" s="156">
        <f t="shared" si="20"/>
        <v>8270.5820920247515</v>
      </c>
      <c r="H304" s="157">
        <f t="shared" si="21"/>
        <v>211947.87938516479</v>
      </c>
      <c r="I304" s="147">
        <f>+SUM(G293:G304)+SUM(F293:F304)</f>
        <v>113010.63894662136</v>
      </c>
    </row>
    <row r="305" spans="2:9">
      <c r="B305" s="186"/>
      <c r="C305" s="187">
        <v>289</v>
      </c>
      <c r="D305" s="188">
        <f t="shared" si="24"/>
        <v>211947.87938516479</v>
      </c>
      <c r="E305" s="188">
        <f t="shared" si="23"/>
        <v>9417.5532455517805</v>
      </c>
      <c r="F305" s="188">
        <f t="shared" si="22"/>
        <v>1103.8952051310666</v>
      </c>
      <c r="G305" s="188">
        <f t="shared" si="20"/>
        <v>8313.6580404207143</v>
      </c>
      <c r="H305" s="189">
        <f t="shared" si="21"/>
        <v>203634.22134474409</v>
      </c>
    </row>
    <row r="306" spans="2:9">
      <c r="B306" s="39"/>
      <c r="C306" s="57">
        <v>290</v>
      </c>
      <c r="D306" s="143">
        <f t="shared" si="24"/>
        <v>203634.22134474409</v>
      </c>
      <c r="E306" s="143">
        <f t="shared" si="23"/>
        <v>9417.5532455517805</v>
      </c>
      <c r="F306" s="143">
        <f t="shared" si="22"/>
        <v>1060.5949028372088</v>
      </c>
      <c r="G306" s="143">
        <f t="shared" si="20"/>
        <v>8356.9583427145717</v>
      </c>
      <c r="H306" s="144">
        <f t="shared" si="21"/>
        <v>195277.2630020295</v>
      </c>
    </row>
    <row r="307" spans="2:9">
      <c r="B307" s="39"/>
      <c r="C307" s="57">
        <v>291</v>
      </c>
      <c r="D307" s="143">
        <f t="shared" si="24"/>
        <v>195277.2630020295</v>
      </c>
      <c r="E307" s="143">
        <f t="shared" si="23"/>
        <v>9417.5532455517805</v>
      </c>
      <c r="F307" s="143">
        <f t="shared" si="22"/>
        <v>1017.0690781355703</v>
      </c>
      <c r="G307" s="143">
        <f t="shared" si="20"/>
        <v>8400.4841674162108</v>
      </c>
      <c r="H307" s="144">
        <f t="shared" si="21"/>
        <v>186876.7788346133</v>
      </c>
    </row>
    <row r="308" spans="2:9">
      <c r="B308" s="39"/>
      <c r="C308" s="57">
        <v>292</v>
      </c>
      <c r="D308" s="143">
        <f t="shared" si="24"/>
        <v>186876.7788346133</v>
      </c>
      <c r="E308" s="143">
        <f t="shared" si="23"/>
        <v>9417.5532455517805</v>
      </c>
      <c r="F308" s="143">
        <f t="shared" si="22"/>
        <v>973.31655643027761</v>
      </c>
      <c r="G308" s="143">
        <f t="shared" si="20"/>
        <v>8444.2366891215024</v>
      </c>
      <c r="H308" s="144">
        <f t="shared" si="21"/>
        <v>178432.54214549181</v>
      </c>
    </row>
    <row r="309" spans="2:9">
      <c r="B309" s="39"/>
      <c r="C309" s="57">
        <v>293</v>
      </c>
      <c r="D309" s="143">
        <f t="shared" si="24"/>
        <v>178432.54214549181</v>
      </c>
      <c r="E309" s="143">
        <f t="shared" si="23"/>
        <v>9417.5532455517805</v>
      </c>
      <c r="F309" s="143">
        <f t="shared" si="22"/>
        <v>929.33615700776977</v>
      </c>
      <c r="G309" s="143">
        <f t="shared" si="20"/>
        <v>8488.21708854401</v>
      </c>
      <c r="H309" s="144">
        <f t="shared" si="21"/>
        <v>169944.3250569478</v>
      </c>
    </row>
    <row r="310" spans="2:9">
      <c r="B310" s="39"/>
      <c r="C310" s="57">
        <v>294</v>
      </c>
      <c r="D310" s="143">
        <f t="shared" si="24"/>
        <v>169944.3250569478</v>
      </c>
      <c r="E310" s="143">
        <f t="shared" si="23"/>
        <v>9417.5532455517805</v>
      </c>
      <c r="F310" s="143">
        <f t="shared" si="22"/>
        <v>885.12669300493644</v>
      </c>
      <c r="G310" s="143">
        <f t="shared" si="20"/>
        <v>8532.4265525468436</v>
      </c>
      <c r="H310" s="144">
        <f t="shared" si="21"/>
        <v>161411.89850440095</v>
      </c>
    </row>
    <row r="311" spans="2:9">
      <c r="B311" s="39"/>
      <c r="C311" s="57">
        <v>295</v>
      </c>
      <c r="D311" s="143">
        <f t="shared" si="24"/>
        <v>161411.89850440095</v>
      </c>
      <c r="E311" s="143">
        <f t="shared" si="23"/>
        <v>9417.5532455517805</v>
      </c>
      <c r="F311" s="143">
        <f t="shared" si="22"/>
        <v>840.68697137708818</v>
      </c>
      <c r="G311" s="143">
        <f t="shared" si="20"/>
        <v>8576.8662741746921</v>
      </c>
      <c r="H311" s="144">
        <f t="shared" si="21"/>
        <v>152835.03223022626</v>
      </c>
    </row>
    <row r="312" spans="2:9">
      <c r="B312" s="39"/>
      <c r="C312" s="57">
        <v>296</v>
      </c>
      <c r="D312" s="143">
        <f t="shared" si="24"/>
        <v>152835.03223022626</v>
      </c>
      <c r="E312" s="143">
        <f t="shared" si="23"/>
        <v>9417.5532455517805</v>
      </c>
      <c r="F312" s="143">
        <f t="shared" si="22"/>
        <v>796.0157928657618</v>
      </c>
      <c r="G312" s="143">
        <f t="shared" si="20"/>
        <v>8621.5374526860178</v>
      </c>
      <c r="H312" s="144">
        <f t="shared" si="21"/>
        <v>144213.49477754024</v>
      </c>
    </row>
    <row r="313" spans="2:9">
      <c r="B313" s="39"/>
      <c r="C313" s="57">
        <v>297</v>
      </c>
      <c r="D313" s="143">
        <f t="shared" si="24"/>
        <v>144213.49477754024</v>
      </c>
      <c r="E313" s="143">
        <f t="shared" si="23"/>
        <v>9417.5532455517805</v>
      </c>
      <c r="F313" s="143">
        <f t="shared" si="22"/>
        <v>751.11195196635538</v>
      </c>
      <c r="G313" s="143">
        <f t="shared" si="20"/>
        <v>8666.4412935854252</v>
      </c>
      <c r="H313" s="144">
        <f t="shared" si="21"/>
        <v>135547.05348395481</v>
      </c>
    </row>
    <row r="314" spans="2:9">
      <c r="B314" s="39"/>
      <c r="C314" s="57">
        <v>298</v>
      </c>
      <c r="D314" s="143">
        <f t="shared" si="24"/>
        <v>135547.05348395481</v>
      </c>
      <c r="E314" s="143">
        <f t="shared" si="23"/>
        <v>9417.5532455517805</v>
      </c>
      <c r="F314" s="143">
        <f t="shared" si="22"/>
        <v>705.97423689559787</v>
      </c>
      <c r="G314" s="143">
        <f t="shared" si="20"/>
        <v>8711.5790086561829</v>
      </c>
      <c r="H314" s="144">
        <f t="shared" si="21"/>
        <v>126835.47447529863</v>
      </c>
    </row>
    <row r="315" spans="2:9">
      <c r="B315" s="39"/>
      <c r="C315" s="57">
        <v>299</v>
      </c>
      <c r="D315" s="143">
        <f t="shared" si="24"/>
        <v>126835.47447529863</v>
      </c>
      <c r="E315" s="143">
        <f t="shared" si="23"/>
        <v>9417.5532455517805</v>
      </c>
      <c r="F315" s="143">
        <f t="shared" si="22"/>
        <v>660.60142955884703</v>
      </c>
      <c r="G315" s="143">
        <f t="shared" si="20"/>
        <v>8756.9518159929339</v>
      </c>
      <c r="H315" s="144">
        <f t="shared" si="21"/>
        <v>118078.5226593057</v>
      </c>
    </row>
    <row r="316" spans="2:9">
      <c r="B316" s="45">
        <v>25</v>
      </c>
      <c r="C316" s="146">
        <v>300</v>
      </c>
      <c r="D316" s="156">
        <f t="shared" si="24"/>
        <v>118078.5226593057</v>
      </c>
      <c r="E316" s="156">
        <f t="shared" si="23"/>
        <v>9417.5532455517805</v>
      </c>
      <c r="F316" s="156">
        <f t="shared" si="22"/>
        <v>614.99230551721712</v>
      </c>
      <c r="G316" s="156">
        <f t="shared" si="20"/>
        <v>8802.5609400345638</v>
      </c>
      <c r="H316" s="157">
        <f t="shared" si="21"/>
        <v>109275.96171927114</v>
      </c>
      <c r="I316" s="147">
        <f>+SUM(G305:G316)+SUM(F305:F316)</f>
        <v>113010.63894662134</v>
      </c>
    </row>
    <row r="317" spans="2:9">
      <c r="B317" s="186"/>
      <c r="C317" s="187">
        <v>301</v>
      </c>
      <c r="D317" s="188">
        <f t="shared" si="24"/>
        <v>109275.96171927114</v>
      </c>
      <c r="E317" s="188">
        <f t="shared" si="23"/>
        <v>9417.5532455517805</v>
      </c>
      <c r="F317" s="188">
        <f t="shared" si="22"/>
        <v>569.14563395453717</v>
      </c>
      <c r="G317" s="188">
        <f t="shared" si="20"/>
        <v>8848.4076115972439</v>
      </c>
      <c r="H317" s="189">
        <f t="shared" si="21"/>
        <v>100427.5541076739</v>
      </c>
    </row>
    <row r="318" spans="2:9">
      <c r="B318" s="39"/>
      <c r="C318" s="57">
        <v>302</v>
      </c>
      <c r="D318" s="143">
        <f t="shared" si="24"/>
        <v>100427.5541076739</v>
      </c>
      <c r="E318" s="143">
        <f t="shared" si="23"/>
        <v>9417.5532455517805</v>
      </c>
      <c r="F318" s="143">
        <f t="shared" si="22"/>
        <v>523.06017764413491</v>
      </c>
      <c r="G318" s="143">
        <f t="shared" si="20"/>
        <v>8894.493067907646</v>
      </c>
      <c r="H318" s="144">
        <f t="shared" si="21"/>
        <v>91533.061039766253</v>
      </c>
    </row>
    <row r="319" spans="2:9">
      <c r="B319" s="39"/>
      <c r="C319" s="57">
        <v>303</v>
      </c>
      <c r="D319" s="143">
        <f t="shared" si="24"/>
        <v>91533.061039766253</v>
      </c>
      <c r="E319" s="143">
        <f t="shared" si="23"/>
        <v>9417.5532455517805</v>
      </c>
      <c r="F319" s="143">
        <f t="shared" si="22"/>
        <v>476.73469291544922</v>
      </c>
      <c r="G319" s="143">
        <f t="shared" si="20"/>
        <v>8940.8185526363304</v>
      </c>
      <c r="H319" s="144">
        <f t="shared" si="21"/>
        <v>82592.24248712993</v>
      </c>
    </row>
    <row r="320" spans="2:9">
      <c r="B320" s="39"/>
      <c r="C320" s="57">
        <v>304</v>
      </c>
      <c r="D320" s="143">
        <f t="shared" si="24"/>
        <v>82592.24248712993</v>
      </c>
      <c r="E320" s="143">
        <f t="shared" si="23"/>
        <v>9417.5532455517805</v>
      </c>
      <c r="F320" s="143">
        <f t="shared" si="22"/>
        <v>430.16792962046839</v>
      </c>
      <c r="G320" s="143">
        <f t="shared" si="20"/>
        <v>8987.3853159313112</v>
      </c>
      <c r="H320" s="144">
        <f t="shared" si="21"/>
        <v>73604.857171198615</v>
      </c>
    </row>
    <row r="321" spans="2:9">
      <c r="B321" s="39"/>
      <c r="C321" s="57">
        <v>305</v>
      </c>
      <c r="D321" s="143">
        <f t="shared" si="24"/>
        <v>73604.857171198615</v>
      </c>
      <c r="E321" s="143">
        <f t="shared" si="23"/>
        <v>9417.5532455517805</v>
      </c>
      <c r="F321" s="143">
        <f t="shared" si="22"/>
        <v>383.35863109999275</v>
      </c>
      <c r="G321" s="143">
        <f t="shared" si="20"/>
        <v>9034.1946144517879</v>
      </c>
      <c r="H321" s="144">
        <f t="shared" si="21"/>
        <v>64570.662556746829</v>
      </c>
    </row>
    <row r="322" spans="2:9">
      <c r="B322" s="39"/>
      <c r="C322" s="57">
        <v>306</v>
      </c>
      <c r="D322" s="143">
        <f t="shared" si="24"/>
        <v>64570.662556746829</v>
      </c>
      <c r="E322" s="143">
        <f t="shared" si="23"/>
        <v>9417.5532455517805</v>
      </c>
      <c r="F322" s="143">
        <f t="shared" si="22"/>
        <v>336.30553414972303</v>
      </c>
      <c r="G322" s="143">
        <f t="shared" si="20"/>
        <v>9081.2477114020567</v>
      </c>
      <c r="H322" s="144">
        <f t="shared" si="21"/>
        <v>55489.414845344771</v>
      </c>
    </row>
    <row r="323" spans="2:9">
      <c r="B323" s="39"/>
      <c r="C323" s="57">
        <v>307</v>
      </c>
      <c r="D323" s="143">
        <f t="shared" si="24"/>
        <v>55489.414845344771</v>
      </c>
      <c r="E323" s="143">
        <f t="shared" si="23"/>
        <v>9417.5532455517805</v>
      </c>
      <c r="F323" s="143">
        <f t="shared" si="22"/>
        <v>289.00736898617066</v>
      </c>
      <c r="G323" s="143">
        <f t="shared" si="20"/>
        <v>9128.5458765656094</v>
      </c>
      <c r="H323" s="144">
        <f t="shared" si="21"/>
        <v>46360.868968779163</v>
      </c>
    </row>
    <row r="324" spans="2:9">
      <c r="B324" s="39"/>
      <c r="C324" s="57">
        <v>308</v>
      </c>
      <c r="D324" s="143">
        <f t="shared" si="24"/>
        <v>46360.868968779163</v>
      </c>
      <c r="E324" s="143">
        <f t="shared" si="23"/>
        <v>9417.5532455517805</v>
      </c>
      <c r="F324" s="143">
        <f t="shared" si="22"/>
        <v>241.46285921239146</v>
      </c>
      <c r="G324" s="143">
        <f t="shared" si="20"/>
        <v>9176.0903863393887</v>
      </c>
      <c r="H324" s="144">
        <f t="shared" si="21"/>
        <v>37184.778582439772</v>
      </c>
    </row>
    <row r="325" spans="2:9">
      <c r="B325" s="39"/>
      <c r="C325" s="57">
        <v>309</v>
      </c>
      <c r="D325" s="143">
        <f t="shared" si="24"/>
        <v>37184.778582439772</v>
      </c>
      <c r="E325" s="143">
        <f t="shared" si="23"/>
        <v>9417.5532455517805</v>
      </c>
      <c r="F325" s="143">
        <f t="shared" si="22"/>
        <v>193.67072178354047</v>
      </c>
      <c r="G325" s="143">
        <f t="shared" si="20"/>
        <v>9223.8825237682395</v>
      </c>
      <c r="H325" s="144">
        <f t="shared" si="21"/>
        <v>27960.896058671533</v>
      </c>
    </row>
    <row r="326" spans="2:9">
      <c r="B326" s="39"/>
      <c r="C326" s="57">
        <v>310</v>
      </c>
      <c r="D326" s="143">
        <f t="shared" si="24"/>
        <v>27960.896058671533</v>
      </c>
      <c r="E326" s="143">
        <f t="shared" si="23"/>
        <v>9417.5532455517805</v>
      </c>
      <c r="F326" s="143">
        <f t="shared" si="22"/>
        <v>145.62966697224755</v>
      </c>
      <c r="G326" s="143">
        <f t="shared" si="20"/>
        <v>9271.9235785795336</v>
      </c>
      <c r="H326" s="144">
        <f t="shared" si="21"/>
        <v>18688.972480092001</v>
      </c>
    </row>
    <row r="327" spans="2:9">
      <c r="B327" s="39"/>
      <c r="C327" s="57">
        <v>311</v>
      </c>
      <c r="D327" s="143">
        <f t="shared" si="24"/>
        <v>18688.972480092001</v>
      </c>
      <c r="E327" s="143">
        <f t="shared" si="23"/>
        <v>9417.5532455517805</v>
      </c>
      <c r="F327" s="143">
        <f t="shared" si="22"/>
        <v>97.338398333812506</v>
      </c>
      <c r="G327" s="143">
        <f t="shared" si="20"/>
        <v>9320.2148472179688</v>
      </c>
      <c r="H327" s="144">
        <f t="shared" si="21"/>
        <v>9368.7576328740324</v>
      </c>
    </row>
    <row r="328" spans="2:9">
      <c r="B328" s="45">
        <v>26</v>
      </c>
      <c r="C328" s="146">
        <v>312</v>
      </c>
      <c r="D328" s="156">
        <f t="shared" si="24"/>
        <v>9368.7576328740324</v>
      </c>
      <c r="E328" s="156">
        <f t="shared" si="23"/>
        <v>9417.5532455517805</v>
      </c>
      <c r="F328" s="156">
        <f t="shared" si="22"/>
        <v>48.795612671218919</v>
      </c>
      <c r="G328" s="156">
        <f t="shared" si="20"/>
        <v>9368.7576328805608</v>
      </c>
      <c r="H328" s="157">
        <f t="shared" si="21"/>
        <v>-6.5283529693260789E-9</v>
      </c>
      <c r="I328" s="147">
        <f>+SUM(G317:G328)+SUM(F317:F328)</f>
        <v>113010.63894662136</v>
      </c>
    </row>
    <row r="329" spans="2:9">
      <c r="B329" s="186"/>
      <c r="C329" s="187">
        <v>313</v>
      </c>
      <c r="D329" s="188">
        <f t="shared" si="24"/>
        <v>0</v>
      </c>
      <c r="E329" s="188">
        <f t="shared" si="23"/>
        <v>0</v>
      </c>
      <c r="F329" s="188">
        <f t="shared" si="22"/>
        <v>0</v>
      </c>
      <c r="G329" s="188">
        <f t="shared" si="20"/>
        <v>0</v>
      </c>
      <c r="H329" s="189">
        <f t="shared" si="21"/>
        <v>0</v>
      </c>
    </row>
    <row r="330" spans="2:9">
      <c r="B330" s="39"/>
      <c r="C330" s="57">
        <v>314</v>
      </c>
      <c r="D330" s="143">
        <f t="shared" si="24"/>
        <v>0</v>
      </c>
      <c r="E330" s="143">
        <f t="shared" si="23"/>
        <v>0</v>
      </c>
      <c r="F330" s="143">
        <f t="shared" si="22"/>
        <v>0</v>
      </c>
      <c r="G330" s="143">
        <f t="shared" si="20"/>
        <v>0</v>
      </c>
      <c r="H330" s="144">
        <f t="shared" si="21"/>
        <v>0</v>
      </c>
    </row>
    <row r="331" spans="2:9">
      <c r="B331" s="39"/>
      <c r="C331" s="57">
        <v>315</v>
      </c>
      <c r="D331" s="143">
        <f t="shared" si="24"/>
        <v>0</v>
      </c>
      <c r="E331" s="143">
        <f t="shared" si="23"/>
        <v>0</v>
      </c>
      <c r="F331" s="143">
        <f t="shared" si="22"/>
        <v>0</v>
      </c>
      <c r="G331" s="143">
        <f t="shared" si="20"/>
        <v>0</v>
      </c>
      <c r="H331" s="144">
        <f t="shared" si="21"/>
        <v>0</v>
      </c>
    </row>
    <row r="332" spans="2:9">
      <c r="B332" s="39"/>
      <c r="C332" s="57">
        <v>316</v>
      </c>
      <c r="D332" s="143">
        <f t="shared" si="24"/>
        <v>0</v>
      </c>
      <c r="E332" s="143">
        <f t="shared" si="23"/>
        <v>0</v>
      </c>
      <c r="F332" s="143">
        <f t="shared" si="22"/>
        <v>0</v>
      </c>
      <c r="G332" s="143">
        <f t="shared" si="20"/>
        <v>0</v>
      </c>
      <c r="H332" s="144">
        <f t="shared" si="21"/>
        <v>0</v>
      </c>
    </row>
    <row r="333" spans="2:9">
      <c r="B333" s="39"/>
      <c r="C333" s="57">
        <v>317</v>
      </c>
      <c r="D333" s="143">
        <f t="shared" si="24"/>
        <v>0</v>
      </c>
      <c r="E333" s="143">
        <f t="shared" si="23"/>
        <v>0</v>
      </c>
      <c r="F333" s="143">
        <f t="shared" si="22"/>
        <v>0</v>
      </c>
      <c r="G333" s="143">
        <f t="shared" si="20"/>
        <v>0</v>
      </c>
      <c r="H333" s="144">
        <f t="shared" si="21"/>
        <v>0</v>
      </c>
    </row>
    <row r="334" spans="2:9">
      <c r="B334" s="39"/>
      <c r="C334" s="57">
        <v>318</v>
      </c>
      <c r="D334" s="143">
        <f t="shared" si="24"/>
        <v>0</v>
      </c>
      <c r="E334" s="143">
        <f t="shared" si="23"/>
        <v>0</v>
      </c>
      <c r="F334" s="143">
        <f t="shared" si="22"/>
        <v>0</v>
      </c>
      <c r="G334" s="143">
        <f t="shared" si="20"/>
        <v>0</v>
      </c>
      <c r="H334" s="144">
        <f t="shared" si="21"/>
        <v>0</v>
      </c>
    </row>
    <row r="335" spans="2:9">
      <c r="B335" s="39"/>
      <c r="C335" s="57">
        <v>319</v>
      </c>
      <c r="D335" s="143">
        <f t="shared" si="24"/>
        <v>0</v>
      </c>
      <c r="E335" s="143">
        <f t="shared" si="23"/>
        <v>0</v>
      </c>
      <c r="F335" s="143">
        <f t="shared" si="22"/>
        <v>0</v>
      </c>
      <c r="G335" s="143">
        <f t="shared" si="20"/>
        <v>0</v>
      </c>
      <c r="H335" s="144">
        <f t="shared" si="21"/>
        <v>0</v>
      </c>
    </row>
    <row r="336" spans="2:9">
      <c r="B336" s="39"/>
      <c r="C336" s="57">
        <v>320</v>
      </c>
      <c r="D336" s="143">
        <f t="shared" si="24"/>
        <v>0</v>
      </c>
      <c r="E336" s="143">
        <f t="shared" si="23"/>
        <v>0</v>
      </c>
      <c r="F336" s="143">
        <f t="shared" si="22"/>
        <v>0</v>
      </c>
      <c r="G336" s="143">
        <f t="shared" si="20"/>
        <v>0</v>
      </c>
      <c r="H336" s="144">
        <f t="shared" si="21"/>
        <v>0</v>
      </c>
    </row>
    <row r="337" spans="2:9">
      <c r="B337" s="39"/>
      <c r="C337" s="57">
        <v>321</v>
      </c>
      <c r="D337" s="143">
        <f t="shared" si="24"/>
        <v>0</v>
      </c>
      <c r="E337" s="143">
        <f t="shared" si="23"/>
        <v>0</v>
      </c>
      <c r="F337" s="143">
        <f t="shared" si="22"/>
        <v>0</v>
      </c>
      <c r="G337" s="143">
        <f t="shared" ref="G337:G376" si="25">E337-F337</f>
        <v>0</v>
      </c>
      <c r="H337" s="144">
        <f t="shared" ref="H337:H376" si="26">D337-G337</f>
        <v>0</v>
      </c>
    </row>
    <row r="338" spans="2:9">
      <c r="B338" s="39"/>
      <c r="C338" s="57">
        <v>322</v>
      </c>
      <c r="D338" s="143">
        <f t="shared" si="24"/>
        <v>0</v>
      </c>
      <c r="E338" s="143">
        <f t="shared" si="23"/>
        <v>0</v>
      </c>
      <c r="F338" s="143">
        <f t="shared" ref="F338:F376" si="27">IF(C338&gt;$C$10,0,($C$6/12)*H337)</f>
        <v>0</v>
      </c>
      <c r="G338" s="143">
        <f t="shared" si="25"/>
        <v>0</v>
      </c>
      <c r="H338" s="144">
        <f t="shared" si="26"/>
        <v>0</v>
      </c>
    </row>
    <row r="339" spans="2:9">
      <c r="B339" s="39"/>
      <c r="C339" s="57">
        <v>323</v>
      </c>
      <c r="D339" s="143">
        <f t="shared" si="24"/>
        <v>0</v>
      </c>
      <c r="E339" s="143">
        <f t="shared" si="23"/>
        <v>0</v>
      </c>
      <c r="F339" s="143">
        <f t="shared" si="27"/>
        <v>0</v>
      </c>
      <c r="G339" s="143">
        <f t="shared" si="25"/>
        <v>0</v>
      </c>
      <c r="H339" s="144">
        <f t="shared" si="26"/>
        <v>0</v>
      </c>
    </row>
    <row r="340" spans="2:9">
      <c r="B340" s="45">
        <v>27</v>
      </c>
      <c r="C340" s="146">
        <v>324</v>
      </c>
      <c r="D340" s="156">
        <f t="shared" si="24"/>
        <v>0</v>
      </c>
      <c r="E340" s="156">
        <f t="shared" si="23"/>
        <v>0</v>
      </c>
      <c r="F340" s="156">
        <f t="shared" si="27"/>
        <v>0</v>
      </c>
      <c r="G340" s="156">
        <f t="shared" si="25"/>
        <v>0</v>
      </c>
      <c r="H340" s="157">
        <f t="shared" si="26"/>
        <v>0</v>
      </c>
      <c r="I340" s="147">
        <f>+SUM(G329:G340)+SUM(F329:F340)</f>
        <v>0</v>
      </c>
    </row>
    <row r="341" spans="2:9">
      <c r="B341" s="186"/>
      <c r="C341" s="187">
        <v>325</v>
      </c>
      <c r="D341" s="188">
        <f t="shared" si="24"/>
        <v>0</v>
      </c>
      <c r="E341" s="188">
        <f t="shared" ref="E341:E376" si="28">IF(C341&gt;$C$10,0,IF(C341&lt;=$C$8,F341,-PMT($C$6/12,$C$9,$C$5,0,0)))</f>
        <v>0</v>
      </c>
      <c r="F341" s="188">
        <f t="shared" si="27"/>
        <v>0</v>
      </c>
      <c r="G341" s="188">
        <f t="shared" si="25"/>
        <v>0</v>
      </c>
      <c r="H341" s="189">
        <f t="shared" si="26"/>
        <v>0</v>
      </c>
    </row>
    <row r="342" spans="2:9">
      <c r="B342" s="39"/>
      <c r="C342" s="57">
        <v>326</v>
      </c>
      <c r="D342" s="143">
        <f t="shared" ref="D342:D376" si="29">IF(C342&gt;$C$10,0,H341)</f>
        <v>0</v>
      </c>
      <c r="E342" s="143">
        <f t="shared" si="28"/>
        <v>0</v>
      </c>
      <c r="F342" s="143">
        <f t="shared" si="27"/>
        <v>0</v>
      </c>
      <c r="G342" s="143">
        <f t="shared" si="25"/>
        <v>0</v>
      </c>
      <c r="H342" s="144">
        <f t="shared" si="26"/>
        <v>0</v>
      </c>
    </row>
    <row r="343" spans="2:9">
      <c r="B343" s="39"/>
      <c r="C343" s="57">
        <v>327</v>
      </c>
      <c r="D343" s="143">
        <f t="shared" si="29"/>
        <v>0</v>
      </c>
      <c r="E343" s="143">
        <f t="shared" si="28"/>
        <v>0</v>
      </c>
      <c r="F343" s="143">
        <f t="shared" si="27"/>
        <v>0</v>
      </c>
      <c r="G343" s="143">
        <f t="shared" si="25"/>
        <v>0</v>
      </c>
      <c r="H343" s="144">
        <f t="shared" si="26"/>
        <v>0</v>
      </c>
    </row>
    <row r="344" spans="2:9">
      <c r="B344" s="39"/>
      <c r="C344" s="57">
        <v>328</v>
      </c>
      <c r="D344" s="143">
        <f t="shared" si="29"/>
        <v>0</v>
      </c>
      <c r="E344" s="143">
        <f t="shared" si="28"/>
        <v>0</v>
      </c>
      <c r="F344" s="143">
        <f t="shared" si="27"/>
        <v>0</v>
      </c>
      <c r="G344" s="143">
        <f t="shared" si="25"/>
        <v>0</v>
      </c>
      <c r="H344" s="144">
        <f t="shared" si="26"/>
        <v>0</v>
      </c>
    </row>
    <row r="345" spans="2:9">
      <c r="B345" s="39"/>
      <c r="C345" s="57">
        <v>329</v>
      </c>
      <c r="D345" s="143">
        <f t="shared" si="29"/>
        <v>0</v>
      </c>
      <c r="E345" s="143">
        <f t="shared" si="28"/>
        <v>0</v>
      </c>
      <c r="F345" s="143">
        <f t="shared" si="27"/>
        <v>0</v>
      </c>
      <c r="G345" s="143">
        <f t="shared" si="25"/>
        <v>0</v>
      </c>
      <c r="H345" s="144">
        <f t="shared" si="26"/>
        <v>0</v>
      </c>
    </row>
    <row r="346" spans="2:9">
      <c r="B346" s="39"/>
      <c r="C346" s="57">
        <v>330</v>
      </c>
      <c r="D346" s="143">
        <f t="shared" si="29"/>
        <v>0</v>
      </c>
      <c r="E346" s="143">
        <f t="shared" si="28"/>
        <v>0</v>
      </c>
      <c r="F346" s="143">
        <f t="shared" si="27"/>
        <v>0</v>
      </c>
      <c r="G346" s="143">
        <f t="shared" si="25"/>
        <v>0</v>
      </c>
      <c r="H346" s="144">
        <f t="shared" si="26"/>
        <v>0</v>
      </c>
    </row>
    <row r="347" spans="2:9">
      <c r="B347" s="39"/>
      <c r="C347" s="57">
        <v>331</v>
      </c>
      <c r="D347" s="143">
        <f t="shared" si="29"/>
        <v>0</v>
      </c>
      <c r="E347" s="143">
        <f t="shared" si="28"/>
        <v>0</v>
      </c>
      <c r="F347" s="143">
        <f t="shared" si="27"/>
        <v>0</v>
      </c>
      <c r="G347" s="143">
        <f t="shared" si="25"/>
        <v>0</v>
      </c>
      <c r="H347" s="144">
        <f t="shared" si="26"/>
        <v>0</v>
      </c>
    </row>
    <row r="348" spans="2:9">
      <c r="B348" s="39"/>
      <c r="C348" s="57">
        <v>332</v>
      </c>
      <c r="D348" s="143">
        <f t="shared" si="29"/>
        <v>0</v>
      </c>
      <c r="E348" s="143">
        <f t="shared" si="28"/>
        <v>0</v>
      </c>
      <c r="F348" s="143">
        <f t="shared" si="27"/>
        <v>0</v>
      </c>
      <c r="G348" s="143">
        <f t="shared" si="25"/>
        <v>0</v>
      </c>
      <c r="H348" s="144">
        <f t="shared" si="26"/>
        <v>0</v>
      </c>
    </row>
    <row r="349" spans="2:9">
      <c r="B349" s="39"/>
      <c r="C349" s="57">
        <v>333</v>
      </c>
      <c r="D349" s="143">
        <f t="shared" si="29"/>
        <v>0</v>
      </c>
      <c r="E349" s="143">
        <f t="shared" si="28"/>
        <v>0</v>
      </c>
      <c r="F349" s="143">
        <f t="shared" si="27"/>
        <v>0</v>
      </c>
      <c r="G349" s="143">
        <f t="shared" si="25"/>
        <v>0</v>
      </c>
      <c r="H349" s="144">
        <f t="shared" si="26"/>
        <v>0</v>
      </c>
    </row>
    <row r="350" spans="2:9">
      <c r="B350" s="39"/>
      <c r="C350" s="57">
        <v>334</v>
      </c>
      <c r="D350" s="143">
        <f t="shared" si="29"/>
        <v>0</v>
      </c>
      <c r="E350" s="143">
        <f t="shared" si="28"/>
        <v>0</v>
      </c>
      <c r="F350" s="143">
        <f t="shared" si="27"/>
        <v>0</v>
      </c>
      <c r="G350" s="143">
        <f t="shared" si="25"/>
        <v>0</v>
      </c>
      <c r="H350" s="144">
        <f t="shared" si="26"/>
        <v>0</v>
      </c>
    </row>
    <row r="351" spans="2:9">
      <c r="B351" s="39"/>
      <c r="C351" s="57">
        <v>335</v>
      </c>
      <c r="D351" s="143">
        <f t="shared" si="29"/>
        <v>0</v>
      </c>
      <c r="E351" s="143">
        <f t="shared" si="28"/>
        <v>0</v>
      </c>
      <c r="F351" s="143">
        <f t="shared" si="27"/>
        <v>0</v>
      </c>
      <c r="G351" s="143">
        <f t="shared" si="25"/>
        <v>0</v>
      </c>
      <c r="H351" s="144">
        <f t="shared" si="26"/>
        <v>0</v>
      </c>
    </row>
    <row r="352" spans="2:9">
      <c r="B352" s="45">
        <v>28</v>
      </c>
      <c r="C352" s="146">
        <v>336</v>
      </c>
      <c r="D352" s="156">
        <f t="shared" si="29"/>
        <v>0</v>
      </c>
      <c r="E352" s="156">
        <f t="shared" si="28"/>
        <v>0</v>
      </c>
      <c r="F352" s="156">
        <f t="shared" si="27"/>
        <v>0</v>
      </c>
      <c r="G352" s="156">
        <f t="shared" si="25"/>
        <v>0</v>
      </c>
      <c r="H352" s="157">
        <f t="shared" si="26"/>
        <v>0</v>
      </c>
      <c r="I352" s="147">
        <f>+SUM(G341:G352)+SUM(F341:F352)</f>
        <v>0</v>
      </c>
    </row>
    <row r="353" spans="2:9">
      <c r="B353" s="186"/>
      <c r="C353" s="187">
        <v>337</v>
      </c>
      <c r="D353" s="188">
        <f t="shared" si="29"/>
        <v>0</v>
      </c>
      <c r="E353" s="188">
        <f t="shared" si="28"/>
        <v>0</v>
      </c>
      <c r="F353" s="188">
        <f t="shared" si="27"/>
        <v>0</v>
      </c>
      <c r="G353" s="188">
        <f t="shared" si="25"/>
        <v>0</v>
      </c>
      <c r="H353" s="189">
        <f t="shared" si="26"/>
        <v>0</v>
      </c>
    </row>
    <row r="354" spans="2:9">
      <c r="B354" s="39"/>
      <c r="C354" s="57">
        <v>338</v>
      </c>
      <c r="D354" s="143">
        <f t="shared" si="29"/>
        <v>0</v>
      </c>
      <c r="E354" s="143">
        <f t="shared" si="28"/>
        <v>0</v>
      </c>
      <c r="F354" s="143">
        <f t="shared" si="27"/>
        <v>0</v>
      </c>
      <c r="G354" s="143">
        <f t="shared" si="25"/>
        <v>0</v>
      </c>
      <c r="H354" s="144">
        <f t="shared" si="26"/>
        <v>0</v>
      </c>
    </row>
    <row r="355" spans="2:9">
      <c r="B355" s="39"/>
      <c r="C355" s="57">
        <v>339</v>
      </c>
      <c r="D355" s="143">
        <f t="shared" si="29"/>
        <v>0</v>
      </c>
      <c r="E355" s="143">
        <f t="shared" si="28"/>
        <v>0</v>
      </c>
      <c r="F355" s="143">
        <f t="shared" si="27"/>
        <v>0</v>
      </c>
      <c r="G355" s="143">
        <f t="shared" si="25"/>
        <v>0</v>
      </c>
      <c r="H355" s="144">
        <f t="shared" si="26"/>
        <v>0</v>
      </c>
    </row>
    <row r="356" spans="2:9">
      <c r="B356" s="39"/>
      <c r="C356" s="57">
        <v>340</v>
      </c>
      <c r="D356" s="143">
        <f t="shared" si="29"/>
        <v>0</v>
      </c>
      <c r="E356" s="143">
        <f t="shared" si="28"/>
        <v>0</v>
      </c>
      <c r="F356" s="143">
        <f t="shared" si="27"/>
        <v>0</v>
      </c>
      <c r="G356" s="143">
        <f t="shared" si="25"/>
        <v>0</v>
      </c>
      <c r="H356" s="144">
        <f t="shared" si="26"/>
        <v>0</v>
      </c>
    </row>
    <row r="357" spans="2:9">
      <c r="B357" s="39"/>
      <c r="C357" s="57">
        <v>341</v>
      </c>
      <c r="D357" s="143">
        <f t="shared" si="29"/>
        <v>0</v>
      </c>
      <c r="E357" s="143">
        <f t="shared" si="28"/>
        <v>0</v>
      </c>
      <c r="F357" s="143">
        <f t="shared" si="27"/>
        <v>0</v>
      </c>
      <c r="G357" s="143">
        <f t="shared" si="25"/>
        <v>0</v>
      </c>
      <c r="H357" s="144">
        <f t="shared" si="26"/>
        <v>0</v>
      </c>
    </row>
    <row r="358" spans="2:9">
      <c r="B358" s="39"/>
      <c r="C358" s="57">
        <v>342</v>
      </c>
      <c r="D358" s="143">
        <f t="shared" si="29"/>
        <v>0</v>
      </c>
      <c r="E358" s="143">
        <f t="shared" si="28"/>
        <v>0</v>
      </c>
      <c r="F358" s="143">
        <f t="shared" si="27"/>
        <v>0</v>
      </c>
      <c r="G358" s="143">
        <f t="shared" si="25"/>
        <v>0</v>
      </c>
      <c r="H358" s="144">
        <f t="shared" si="26"/>
        <v>0</v>
      </c>
    </row>
    <row r="359" spans="2:9">
      <c r="B359" s="39"/>
      <c r="C359" s="57">
        <v>343</v>
      </c>
      <c r="D359" s="143">
        <f t="shared" si="29"/>
        <v>0</v>
      </c>
      <c r="E359" s="143">
        <f t="shared" si="28"/>
        <v>0</v>
      </c>
      <c r="F359" s="143">
        <f t="shared" si="27"/>
        <v>0</v>
      </c>
      <c r="G359" s="143">
        <f t="shared" si="25"/>
        <v>0</v>
      </c>
      <c r="H359" s="144">
        <f t="shared" si="26"/>
        <v>0</v>
      </c>
    </row>
    <row r="360" spans="2:9">
      <c r="B360" s="39"/>
      <c r="C360" s="57">
        <v>344</v>
      </c>
      <c r="D360" s="143">
        <f t="shared" si="29"/>
        <v>0</v>
      </c>
      <c r="E360" s="143">
        <f t="shared" si="28"/>
        <v>0</v>
      </c>
      <c r="F360" s="143">
        <f t="shared" si="27"/>
        <v>0</v>
      </c>
      <c r="G360" s="143">
        <f t="shared" si="25"/>
        <v>0</v>
      </c>
      <c r="H360" s="144">
        <f t="shared" si="26"/>
        <v>0</v>
      </c>
    </row>
    <row r="361" spans="2:9">
      <c r="B361" s="39"/>
      <c r="C361" s="57">
        <v>345</v>
      </c>
      <c r="D361" s="143">
        <f t="shared" si="29"/>
        <v>0</v>
      </c>
      <c r="E361" s="143">
        <f t="shared" si="28"/>
        <v>0</v>
      </c>
      <c r="F361" s="143">
        <f t="shared" si="27"/>
        <v>0</v>
      </c>
      <c r="G361" s="143">
        <f t="shared" si="25"/>
        <v>0</v>
      </c>
      <c r="H361" s="144">
        <f t="shared" si="26"/>
        <v>0</v>
      </c>
    </row>
    <row r="362" spans="2:9">
      <c r="B362" s="39"/>
      <c r="C362" s="57">
        <v>346</v>
      </c>
      <c r="D362" s="143">
        <f t="shared" si="29"/>
        <v>0</v>
      </c>
      <c r="E362" s="143">
        <f t="shared" si="28"/>
        <v>0</v>
      </c>
      <c r="F362" s="143">
        <f t="shared" si="27"/>
        <v>0</v>
      </c>
      <c r="G362" s="143">
        <f t="shared" si="25"/>
        <v>0</v>
      </c>
      <c r="H362" s="144">
        <f t="shared" si="26"/>
        <v>0</v>
      </c>
    </row>
    <row r="363" spans="2:9">
      <c r="B363" s="39"/>
      <c r="C363" s="57">
        <v>347</v>
      </c>
      <c r="D363" s="143">
        <f t="shared" si="29"/>
        <v>0</v>
      </c>
      <c r="E363" s="143">
        <f t="shared" si="28"/>
        <v>0</v>
      </c>
      <c r="F363" s="143">
        <f t="shared" si="27"/>
        <v>0</v>
      </c>
      <c r="G363" s="143">
        <f t="shared" si="25"/>
        <v>0</v>
      </c>
      <c r="H363" s="144">
        <f t="shared" si="26"/>
        <v>0</v>
      </c>
    </row>
    <row r="364" spans="2:9">
      <c r="B364" s="45">
        <v>29</v>
      </c>
      <c r="C364" s="146">
        <v>348</v>
      </c>
      <c r="D364" s="156">
        <f t="shared" si="29"/>
        <v>0</v>
      </c>
      <c r="E364" s="156">
        <f t="shared" si="28"/>
        <v>0</v>
      </c>
      <c r="F364" s="156">
        <f t="shared" si="27"/>
        <v>0</v>
      </c>
      <c r="G364" s="156">
        <f t="shared" si="25"/>
        <v>0</v>
      </c>
      <c r="H364" s="157">
        <f t="shared" si="26"/>
        <v>0</v>
      </c>
      <c r="I364" s="147">
        <f>+SUM(G353:G364)+SUM(F353:F364)</f>
        <v>0</v>
      </c>
    </row>
    <row r="365" spans="2:9">
      <c r="B365" s="39"/>
      <c r="C365" s="57">
        <v>349</v>
      </c>
      <c r="D365" s="143">
        <f t="shared" si="29"/>
        <v>0</v>
      </c>
      <c r="E365" s="143">
        <f t="shared" si="28"/>
        <v>0</v>
      </c>
      <c r="F365" s="143">
        <f t="shared" si="27"/>
        <v>0</v>
      </c>
      <c r="G365" s="143">
        <f t="shared" si="25"/>
        <v>0</v>
      </c>
      <c r="H365" s="144">
        <f t="shared" si="26"/>
        <v>0</v>
      </c>
    </row>
    <row r="366" spans="2:9">
      <c r="B366" s="39"/>
      <c r="C366" s="57">
        <v>350</v>
      </c>
      <c r="D366" s="143">
        <f t="shared" si="29"/>
        <v>0</v>
      </c>
      <c r="E366" s="143">
        <f t="shared" si="28"/>
        <v>0</v>
      </c>
      <c r="F366" s="143">
        <f t="shared" si="27"/>
        <v>0</v>
      </c>
      <c r="G366" s="143">
        <f t="shared" si="25"/>
        <v>0</v>
      </c>
      <c r="H366" s="144">
        <f t="shared" si="26"/>
        <v>0</v>
      </c>
    </row>
    <row r="367" spans="2:9">
      <c r="B367" s="39"/>
      <c r="C367" s="57">
        <v>351</v>
      </c>
      <c r="D367" s="143">
        <f t="shared" si="29"/>
        <v>0</v>
      </c>
      <c r="E367" s="143">
        <f t="shared" si="28"/>
        <v>0</v>
      </c>
      <c r="F367" s="143">
        <f t="shared" si="27"/>
        <v>0</v>
      </c>
      <c r="G367" s="143">
        <f t="shared" si="25"/>
        <v>0</v>
      </c>
      <c r="H367" s="144">
        <f t="shared" si="26"/>
        <v>0</v>
      </c>
    </row>
    <row r="368" spans="2:9">
      <c r="B368" s="39"/>
      <c r="C368" s="57">
        <v>352</v>
      </c>
      <c r="D368" s="143">
        <f t="shared" si="29"/>
        <v>0</v>
      </c>
      <c r="E368" s="143">
        <f t="shared" si="28"/>
        <v>0</v>
      </c>
      <c r="F368" s="143">
        <f t="shared" si="27"/>
        <v>0</v>
      </c>
      <c r="G368" s="143">
        <f t="shared" si="25"/>
        <v>0</v>
      </c>
      <c r="H368" s="144">
        <f t="shared" si="26"/>
        <v>0</v>
      </c>
    </row>
    <row r="369" spans="2:9">
      <c r="B369" s="39"/>
      <c r="C369" s="57">
        <v>353</v>
      </c>
      <c r="D369" s="143">
        <f t="shared" si="29"/>
        <v>0</v>
      </c>
      <c r="E369" s="143">
        <f t="shared" si="28"/>
        <v>0</v>
      </c>
      <c r="F369" s="143">
        <f t="shared" si="27"/>
        <v>0</v>
      </c>
      <c r="G369" s="143">
        <f t="shared" si="25"/>
        <v>0</v>
      </c>
      <c r="H369" s="144">
        <f t="shared" si="26"/>
        <v>0</v>
      </c>
    </row>
    <row r="370" spans="2:9">
      <c r="B370" s="39"/>
      <c r="C370" s="57">
        <v>354</v>
      </c>
      <c r="D370" s="143">
        <f t="shared" si="29"/>
        <v>0</v>
      </c>
      <c r="E370" s="143">
        <f t="shared" si="28"/>
        <v>0</v>
      </c>
      <c r="F370" s="143">
        <f t="shared" si="27"/>
        <v>0</v>
      </c>
      <c r="G370" s="143">
        <f t="shared" si="25"/>
        <v>0</v>
      </c>
      <c r="H370" s="144">
        <f t="shared" si="26"/>
        <v>0</v>
      </c>
    </row>
    <row r="371" spans="2:9">
      <c r="B371" s="39"/>
      <c r="C371" s="57">
        <v>355</v>
      </c>
      <c r="D371" s="143">
        <f t="shared" si="29"/>
        <v>0</v>
      </c>
      <c r="E371" s="143">
        <f t="shared" si="28"/>
        <v>0</v>
      </c>
      <c r="F371" s="143">
        <f t="shared" si="27"/>
        <v>0</v>
      </c>
      <c r="G371" s="143">
        <f t="shared" si="25"/>
        <v>0</v>
      </c>
      <c r="H371" s="144">
        <f t="shared" si="26"/>
        <v>0</v>
      </c>
    </row>
    <row r="372" spans="2:9">
      <c r="B372" s="39"/>
      <c r="C372" s="57">
        <v>356</v>
      </c>
      <c r="D372" s="143">
        <f t="shared" si="29"/>
        <v>0</v>
      </c>
      <c r="E372" s="143">
        <f t="shared" si="28"/>
        <v>0</v>
      </c>
      <c r="F372" s="143">
        <f t="shared" si="27"/>
        <v>0</v>
      </c>
      <c r="G372" s="143">
        <f t="shared" si="25"/>
        <v>0</v>
      </c>
      <c r="H372" s="144">
        <f t="shared" si="26"/>
        <v>0</v>
      </c>
    </row>
    <row r="373" spans="2:9">
      <c r="B373" s="39"/>
      <c r="C373" s="57">
        <v>357</v>
      </c>
      <c r="D373" s="143">
        <f t="shared" si="29"/>
        <v>0</v>
      </c>
      <c r="E373" s="143">
        <f t="shared" si="28"/>
        <v>0</v>
      </c>
      <c r="F373" s="143">
        <f t="shared" si="27"/>
        <v>0</v>
      </c>
      <c r="G373" s="143">
        <f t="shared" si="25"/>
        <v>0</v>
      </c>
      <c r="H373" s="144">
        <f t="shared" si="26"/>
        <v>0</v>
      </c>
    </row>
    <row r="374" spans="2:9">
      <c r="B374" s="39"/>
      <c r="C374" s="57">
        <v>358</v>
      </c>
      <c r="D374" s="143">
        <f t="shared" si="29"/>
        <v>0</v>
      </c>
      <c r="E374" s="143">
        <f t="shared" si="28"/>
        <v>0</v>
      </c>
      <c r="F374" s="143">
        <f t="shared" si="27"/>
        <v>0</v>
      </c>
      <c r="G374" s="143">
        <f t="shared" si="25"/>
        <v>0</v>
      </c>
      <c r="H374" s="144">
        <f t="shared" si="26"/>
        <v>0</v>
      </c>
    </row>
    <row r="375" spans="2:9">
      <c r="B375" s="39"/>
      <c r="C375" s="57">
        <v>359</v>
      </c>
      <c r="D375" s="143">
        <f t="shared" si="29"/>
        <v>0</v>
      </c>
      <c r="E375" s="143">
        <f t="shared" si="28"/>
        <v>0</v>
      </c>
      <c r="F375" s="143">
        <f t="shared" si="27"/>
        <v>0</v>
      </c>
      <c r="G375" s="143">
        <f t="shared" si="25"/>
        <v>0</v>
      </c>
      <c r="H375" s="144">
        <f t="shared" si="26"/>
        <v>0</v>
      </c>
    </row>
    <row r="376" spans="2:9" ht="16" thickBot="1">
      <c r="B376" s="148">
        <v>30</v>
      </c>
      <c r="C376" s="149">
        <v>360</v>
      </c>
      <c r="D376" s="150">
        <f t="shared" si="29"/>
        <v>0</v>
      </c>
      <c r="E376" s="150">
        <f t="shared" si="28"/>
        <v>0</v>
      </c>
      <c r="F376" s="150">
        <f t="shared" si="27"/>
        <v>0</v>
      </c>
      <c r="G376" s="150">
        <f t="shared" si="25"/>
        <v>0</v>
      </c>
      <c r="H376" s="151">
        <f t="shared" si="26"/>
        <v>0</v>
      </c>
      <c r="I376" s="147">
        <f>+SUM(G365:G376)+SUM(F365:F376)</f>
        <v>0</v>
      </c>
    </row>
  </sheetData>
  <sheetProtection sheet="1" objects="1" scenarios="1" formatCells="0" sort="0" autoFilter="0" pivotTables="0"/>
  <mergeCells count="3">
    <mergeCell ref="B4:C4"/>
    <mergeCell ref="D14:F14"/>
    <mergeCell ref="E4:F4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51B589-B282-4964-AEB1-CB46C788E1E3}">
  <sheetPr codeName="Sheet7">
    <tabColor rgb="FFB4C4C1"/>
  </sheetPr>
  <dimension ref="B1:E22"/>
  <sheetViews>
    <sheetView showGridLines="0" workbookViewId="0">
      <selection activeCell="H19" sqref="H19"/>
    </sheetView>
  </sheetViews>
  <sheetFormatPr baseColWidth="10" defaultColWidth="8.83203125" defaultRowHeight="15"/>
  <cols>
    <col min="2" max="2" width="41.5" bestFit="1" customWidth="1"/>
    <col min="3" max="3" width="8.1640625" customWidth="1"/>
    <col min="4" max="4" width="17.5" customWidth="1"/>
  </cols>
  <sheetData>
    <row r="1" spans="2:4" ht="16" thickBot="1"/>
    <row r="2" spans="2:4">
      <c r="B2" s="344" t="s">
        <v>206</v>
      </c>
      <c r="C2" s="345"/>
      <c r="D2" s="346"/>
    </row>
    <row r="3" spans="2:4">
      <c r="B3" s="7" t="s">
        <v>207</v>
      </c>
      <c r="D3" s="8">
        <f>Costs!F43</f>
        <v>0</v>
      </c>
    </row>
    <row r="4" spans="2:4">
      <c r="B4" s="7" t="s">
        <v>145</v>
      </c>
      <c r="D4" s="8">
        <f>'Deal Summary'!D16</f>
        <v>20000</v>
      </c>
    </row>
    <row r="5" spans="2:4">
      <c r="B5" s="7" t="s">
        <v>208</v>
      </c>
      <c r="D5" s="8">
        <f>Costs!N10+Costs!N14</f>
        <v>0</v>
      </c>
    </row>
    <row r="6" spans="2:4">
      <c r="B6" s="7" t="s">
        <v>209</v>
      </c>
      <c r="D6" s="8">
        <f>'Deal Summary'!D18</f>
        <v>110898.29</v>
      </c>
    </row>
    <row r="7" spans="2:4">
      <c r="B7" s="7" t="s">
        <v>210</v>
      </c>
      <c r="D7" s="8">
        <f>'Deal Summary'!D18</f>
        <v>110898.29</v>
      </c>
    </row>
    <row r="8" spans="2:4">
      <c r="B8" s="7" t="s">
        <v>211</v>
      </c>
      <c r="D8" s="8">
        <f>'Deal Summary'!D29*0.15</f>
        <v>294151.88740826782</v>
      </c>
    </row>
    <row r="9" spans="2:4">
      <c r="B9" s="7"/>
      <c r="D9" s="8"/>
    </row>
    <row r="10" spans="2:4">
      <c r="B10" s="7"/>
      <c r="D10" s="8"/>
    </row>
    <row r="11" spans="2:4">
      <c r="B11" s="7"/>
      <c r="D11" s="10"/>
    </row>
    <row r="12" spans="2:4" ht="16" thickBot="1">
      <c r="B12" s="347" t="s">
        <v>212</v>
      </c>
      <c r="C12" s="90"/>
      <c r="D12" s="348">
        <f>SUM(D3:D11)</f>
        <v>535948.46740826778</v>
      </c>
    </row>
    <row r="13" spans="2:4" ht="16" thickBot="1"/>
    <row r="14" spans="2:4">
      <c r="B14" s="26" t="s">
        <v>213</v>
      </c>
      <c r="C14" s="349">
        <v>0.25</v>
      </c>
      <c r="D14" s="350">
        <f>IF(D12&gt;250000, MIN(D12*C14, 700000), 0)</f>
        <v>133987.11685206695</v>
      </c>
    </row>
    <row r="15" spans="2:4">
      <c r="B15" s="7" t="s">
        <v>214</v>
      </c>
      <c r="C15" s="13">
        <v>0.2</v>
      </c>
      <c r="D15" s="8">
        <f>+$D$12*C15</f>
        <v>107189.69348165356</v>
      </c>
    </row>
    <row r="16" spans="2:4">
      <c r="B16" s="24" t="s">
        <v>215</v>
      </c>
      <c r="C16" s="351">
        <v>0.1</v>
      </c>
      <c r="D16" s="19">
        <f>+D12*C16</f>
        <v>53594.846740826782</v>
      </c>
    </row>
    <row r="17" spans="2:5" ht="16" thickBot="1">
      <c r="B17" s="16" t="s">
        <v>216</v>
      </c>
      <c r="C17" s="231"/>
      <c r="D17" s="124">
        <f>SUM(D15:D16)</f>
        <v>160784.54022248034</v>
      </c>
    </row>
    <row r="18" spans="2:5" ht="16" thickBot="1"/>
    <row r="19" spans="2:5">
      <c r="B19" s="26" t="s">
        <v>217</v>
      </c>
      <c r="C19" s="349">
        <v>0.68</v>
      </c>
      <c r="D19" s="350">
        <f>IF(E19=TRUE,D14*C19,0)</f>
        <v>0</v>
      </c>
      <c r="E19" s="394" t="b">
        <v>0</v>
      </c>
    </row>
    <row r="20" spans="2:5">
      <c r="B20" s="7" t="s">
        <v>218</v>
      </c>
      <c r="C20" s="13">
        <v>0.68</v>
      </c>
      <c r="D20" s="8">
        <f>IF(E20=TRUE,D15*C20,0)</f>
        <v>0</v>
      </c>
      <c r="E20" s="394" t="b">
        <v>0</v>
      </c>
    </row>
    <row r="21" spans="2:5">
      <c r="B21" s="24" t="s">
        <v>219</v>
      </c>
      <c r="C21" s="351">
        <v>0.68</v>
      </c>
      <c r="D21" s="19">
        <f>IF(E21=TRUE,D16*C21,0)</f>
        <v>0</v>
      </c>
      <c r="E21" s="394" t="b">
        <v>0</v>
      </c>
    </row>
    <row r="22" spans="2:5" ht="16" thickBot="1">
      <c r="B22" s="29" t="s">
        <v>220</v>
      </c>
      <c r="C22" s="115"/>
      <c r="D22" s="30">
        <f>SUM(D19:D21)</f>
        <v>0</v>
      </c>
    </row>
  </sheetData>
  <sheetProtection sheet="1" objects="1" scenarios="1" formatCells="0" sort="0" autoFilter="0" pivotTables="0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6A0F71-BC42-4D02-AFEB-78B6804D67E7}">
  <sheetPr codeName="Sheet9">
    <tabColor theme="4" tint="0.79998168889431442"/>
  </sheetPr>
  <dimension ref="C2:D12"/>
  <sheetViews>
    <sheetView showGridLines="0" workbookViewId="0">
      <selection activeCell="C3" sqref="C3:D24"/>
    </sheetView>
  </sheetViews>
  <sheetFormatPr baseColWidth="10" defaultColWidth="8.83203125" defaultRowHeight="15"/>
  <cols>
    <col min="3" max="3" width="18.5" bestFit="1" customWidth="1"/>
  </cols>
  <sheetData>
    <row r="2" spans="3:4" ht="16" thickBot="1"/>
    <row r="3" spans="3:4">
      <c r="C3" s="428" t="s">
        <v>234</v>
      </c>
      <c r="D3" s="429"/>
    </row>
    <row r="4" spans="3:4">
      <c r="C4" s="7" t="s">
        <v>235</v>
      </c>
      <c r="D4" s="395"/>
    </row>
    <row r="5" spans="3:4">
      <c r="C5" s="7" t="s">
        <v>236</v>
      </c>
      <c r="D5" s="395"/>
    </row>
    <row r="6" spans="3:4">
      <c r="C6" s="7" t="s">
        <v>237</v>
      </c>
      <c r="D6" s="395"/>
    </row>
    <row r="7" spans="3:4">
      <c r="C7" s="7" t="s">
        <v>238</v>
      </c>
      <c r="D7" s="395"/>
    </row>
    <row r="8" spans="3:4">
      <c r="C8" s="7" t="s">
        <v>239</v>
      </c>
      <c r="D8" s="395"/>
    </row>
    <row r="9" spans="3:4">
      <c r="C9" s="7" t="s">
        <v>240</v>
      </c>
      <c r="D9" s="395"/>
    </row>
    <row r="10" spans="3:4">
      <c r="C10" s="7" t="s">
        <v>241</v>
      </c>
      <c r="D10" s="395"/>
    </row>
    <row r="11" spans="3:4">
      <c r="C11" s="7" t="s">
        <v>78</v>
      </c>
      <c r="D11" s="395"/>
    </row>
    <row r="12" spans="3:4">
      <c r="C12" t="s">
        <v>242</v>
      </c>
      <c r="D12" s="396"/>
    </row>
  </sheetData>
  <sheetProtection sheet="1" objects="1" scenarios="1" formatCells="0" sort="0" autoFilter="0" pivotTables="0"/>
  <mergeCells count="1">
    <mergeCell ref="C3:D3"/>
  </mergeCell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FF1A09-4880-40EA-A7F2-63D04FE20182}">
  <sheetPr codeName="Sheet8">
    <tabColor theme="0" tint="-0.14999847407452621"/>
  </sheetPr>
  <dimension ref="C1:T376"/>
  <sheetViews>
    <sheetView showGridLines="0" topLeftCell="A38" zoomScale="80" zoomScaleNormal="80" workbookViewId="0">
      <selection activeCell="K33" sqref="K33"/>
    </sheetView>
  </sheetViews>
  <sheetFormatPr baseColWidth="10" defaultColWidth="8.83203125" defaultRowHeight="15"/>
  <cols>
    <col min="3" max="3" width="30.1640625" bestFit="1" customWidth="1"/>
    <col min="4" max="5" width="19.1640625" bestFit="1" customWidth="1"/>
    <col min="6" max="7" width="17.5" bestFit="1" customWidth="1"/>
    <col min="8" max="8" width="17.1640625" bestFit="1" customWidth="1"/>
    <col min="9" max="9" width="21.6640625" customWidth="1"/>
    <col min="10" max="10" width="16.33203125" customWidth="1"/>
    <col min="11" max="11" width="14.33203125" bestFit="1" customWidth="1"/>
    <col min="12" max="12" width="12.5" bestFit="1" customWidth="1"/>
    <col min="13" max="13" width="12" bestFit="1" customWidth="1"/>
    <col min="14" max="14" width="12.33203125" bestFit="1" customWidth="1"/>
    <col min="15" max="15" width="10.1640625" bestFit="1" customWidth="1"/>
    <col min="16" max="16" width="14.33203125" bestFit="1" customWidth="1"/>
    <col min="18" max="18" width="10.1640625" bestFit="1" customWidth="1"/>
    <col min="20" max="20" width="11.5" bestFit="1" customWidth="1"/>
  </cols>
  <sheetData>
    <row r="1" spans="3:11">
      <c r="C1" s="51"/>
    </row>
    <row r="2" spans="3:11">
      <c r="C2" s="51"/>
    </row>
    <row r="3" spans="3:11" ht="16" thickBot="1"/>
    <row r="4" spans="3:11">
      <c r="C4" s="469" t="s">
        <v>76</v>
      </c>
      <c r="D4" s="470"/>
      <c r="F4" s="125" t="s">
        <v>2</v>
      </c>
      <c r="G4" s="126"/>
    </row>
    <row r="5" spans="3:11">
      <c r="C5" s="127" t="s">
        <v>77</v>
      </c>
      <c r="D5" s="128">
        <f>+Financing!H76</f>
        <v>1319847.3397034674</v>
      </c>
      <c r="F5" s="127" t="s">
        <v>78</v>
      </c>
      <c r="G5" s="129">
        <f>+'Deal Summary'!D32</f>
        <v>2039453.0860306572</v>
      </c>
      <c r="J5" s="152"/>
    </row>
    <row r="6" spans="3:11">
      <c r="C6" s="127" t="s">
        <v>11</v>
      </c>
      <c r="D6" s="130">
        <v>0.06</v>
      </c>
      <c r="F6" s="127" t="s">
        <v>7</v>
      </c>
      <c r="G6" s="130">
        <f>+'Deal Summary'!G28</f>
        <v>0.7</v>
      </c>
      <c r="J6" s="152"/>
    </row>
    <row r="7" spans="3:11">
      <c r="C7" s="127" t="s">
        <v>79</v>
      </c>
      <c r="D7" s="131">
        <f>+'Deal Summary'!G31</f>
        <v>25</v>
      </c>
      <c r="F7" s="127" t="s">
        <v>80</v>
      </c>
      <c r="G7" s="129">
        <f>G5*(100%-G6)</f>
        <v>611835.92580919724</v>
      </c>
      <c r="J7" s="152"/>
      <c r="K7" s="14"/>
    </row>
    <row r="8" spans="3:11" ht="16" thickBot="1">
      <c r="C8" s="127" t="s">
        <v>81</v>
      </c>
      <c r="D8" s="132">
        <f>2*12</f>
        <v>24</v>
      </c>
      <c r="F8" s="133" t="s">
        <v>82</v>
      </c>
      <c r="G8" s="134">
        <f>G5-G7-I8</f>
        <v>1427617.1602214598</v>
      </c>
      <c r="I8" s="2"/>
      <c r="J8" s="152"/>
    </row>
    <row r="9" spans="3:11">
      <c r="C9" s="127" t="s">
        <v>83</v>
      </c>
      <c r="D9" s="135">
        <f>(D7*12)</f>
        <v>300</v>
      </c>
      <c r="J9" s="21"/>
    </row>
    <row r="10" spans="3:11">
      <c r="C10" s="127" t="s">
        <v>84</v>
      </c>
      <c r="D10" s="135">
        <f>D8+D9</f>
        <v>324</v>
      </c>
      <c r="J10" s="153"/>
    </row>
    <row r="11" spans="3:11">
      <c r="C11" s="127" t="s">
        <v>85</v>
      </c>
      <c r="D11" s="129">
        <f>PMT(D6/12,$D$7*12,$D$5,0,0)*-1</f>
        <v>8503.7949071786406</v>
      </c>
    </row>
    <row r="12" spans="3:11" ht="16" thickBot="1">
      <c r="C12" s="133" t="s">
        <v>86</v>
      </c>
      <c r="D12" s="134">
        <f>D11*12</f>
        <v>102045.53888614368</v>
      </c>
    </row>
    <row r="14" spans="3:11" ht="16" thickBot="1">
      <c r="C14" s="104"/>
      <c r="E14" s="468" t="s">
        <v>87</v>
      </c>
      <c r="F14" s="468"/>
      <c r="G14" s="468"/>
    </row>
    <row r="15" spans="3:11" ht="16" thickBot="1">
      <c r="C15" s="136" t="s">
        <v>88</v>
      </c>
      <c r="D15" s="137" t="s">
        <v>89</v>
      </c>
      <c r="E15" s="137" t="s">
        <v>90</v>
      </c>
      <c r="F15" s="137" t="s">
        <v>91</v>
      </c>
      <c r="G15" s="137" t="s">
        <v>92</v>
      </c>
      <c r="H15" s="137" t="s">
        <v>8</v>
      </c>
      <c r="I15" s="138" t="s">
        <v>93</v>
      </c>
    </row>
    <row r="16" spans="3:11">
      <c r="C16" s="139">
        <v>0</v>
      </c>
      <c r="D16" s="140">
        <v>0</v>
      </c>
      <c r="E16" s="141"/>
      <c r="F16" s="141"/>
      <c r="G16" s="141"/>
      <c r="H16" s="141"/>
      <c r="I16" s="142">
        <f>D5</f>
        <v>1319847.3397034674</v>
      </c>
      <c r="J16" s="2"/>
      <c r="K16" s="2"/>
    </row>
    <row r="17" spans="3:20">
      <c r="C17" s="39"/>
      <c r="D17" s="57">
        <v>1</v>
      </c>
      <c r="E17" s="143">
        <f>I16</f>
        <v>1319847.3397034674</v>
      </c>
      <c r="F17" s="143">
        <f>IF(D17&gt;$D$10,0,IF(D17&lt;=$D$8,G17,-PMT($D$6/12,$D$9,$E$17,0,0)))</f>
        <v>6599.2366985173376</v>
      </c>
      <c r="G17" s="143">
        <f>IF(D17&gt;$D$10,0,($D$6/12)*E17)</f>
        <v>6599.2366985173376</v>
      </c>
      <c r="H17" s="143">
        <f t="shared" ref="H17:H80" si="0">F17-G17</f>
        <v>0</v>
      </c>
      <c r="I17" s="144">
        <f t="shared" ref="I17:I80" si="1">E17-H17</f>
        <v>1319847.3397034674</v>
      </c>
      <c r="J17" s="21"/>
      <c r="K17" s="21"/>
      <c r="L17" s="2"/>
      <c r="M17" s="145"/>
      <c r="N17" s="21"/>
      <c r="O17" s="145"/>
      <c r="P17" s="2"/>
      <c r="R17" s="145"/>
    </row>
    <row r="18" spans="3:20">
      <c r="C18" s="39"/>
      <c r="D18" s="57">
        <v>2</v>
      </c>
      <c r="E18" s="143">
        <f>I17</f>
        <v>1319847.3397034674</v>
      </c>
      <c r="F18" s="143">
        <f>IF(D18&gt;$D$10,0,IF(D18&lt;=$D$8,G18,-PMT($D$6/12,$D$9,$D$5,0,0)))</f>
        <v>6599.2366985173376</v>
      </c>
      <c r="G18" s="143">
        <f t="shared" ref="G18:G81" si="2">IF(D18&gt;$D$10,0,($D$6/12)*I17)</f>
        <v>6599.2366985173376</v>
      </c>
      <c r="H18" s="143">
        <f t="shared" si="0"/>
        <v>0</v>
      </c>
      <c r="I18" s="144">
        <f t="shared" si="1"/>
        <v>1319847.3397034674</v>
      </c>
      <c r="J18" s="21"/>
      <c r="K18" s="21"/>
      <c r="L18" s="2"/>
      <c r="M18" s="145"/>
      <c r="N18" s="21"/>
      <c r="O18" s="145"/>
      <c r="P18" s="2"/>
      <c r="R18" s="145"/>
    </row>
    <row r="19" spans="3:20">
      <c r="C19" s="39"/>
      <c r="D19" s="57">
        <v>3</v>
      </c>
      <c r="E19" s="143">
        <f>I18</f>
        <v>1319847.3397034674</v>
      </c>
      <c r="F19" s="143">
        <f>IF(D19&gt;$D$10,0,IF(D19&lt;=$D$8,G19,-PMT($D$6/12,$D$9,$D$5,0,0)))</f>
        <v>6599.2366985173376</v>
      </c>
      <c r="G19" s="143">
        <f t="shared" si="2"/>
        <v>6599.2366985173376</v>
      </c>
      <c r="H19" s="143">
        <f t="shared" si="0"/>
        <v>0</v>
      </c>
      <c r="I19" s="144">
        <f t="shared" si="1"/>
        <v>1319847.3397034674</v>
      </c>
      <c r="L19" s="2"/>
      <c r="M19" s="145"/>
      <c r="N19" s="21"/>
      <c r="O19" s="145"/>
      <c r="P19" s="2"/>
      <c r="R19" s="145"/>
    </row>
    <row r="20" spans="3:20">
      <c r="C20" s="39"/>
      <c r="D20" s="57">
        <v>4</v>
      </c>
      <c r="E20" s="143">
        <f>I19</f>
        <v>1319847.3397034674</v>
      </c>
      <c r="F20" s="143">
        <f>IF(D20&gt;$D$10,0,IF(D20&lt;=$D$8,G20,-PMT($D$6/12,$D$9,$E$17,0,0)))</f>
        <v>6599.2366985173376</v>
      </c>
      <c r="G20" s="143">
        <f t="shared" si="2"/>
        <v>6599.2366985173376</v>
      </c>
      <c r="H20" s="143">
        <f t="shared" si="0"/>
        <v>0</v>
      </c>
      <c r="I20" s="144">
        <f t="shared" si="1"/>
        <v>1319847.3397034674</v>
      </c>
      <c r="L20" s="2"/>
      <c r="M20" s="145"/>
      <c r="N20" s="21"/>
      <c r="O20" s="145"/>
      <c r="P20" s="2"/>
      <c r="R20" s="145"/>
      <c r="T20" s="21"/>
    </row>
    <row r="21" spans="3:20">
      <c r="C21" s="39"/>
      <c r="D21" s="57">
        <v>5</v>
      </c>
      <c r="E21" s="143">
        <f>I20</f>
        <v>1319847.3397034674</v>
      </c>
      <c r="F21" s="143">
        <f t="shared" ref="F21:F84" si="3">IF(D21&gt;$D$10,0,IF(D21&lt;=$D$8,G21,-PMT($D$6/12,$D$9,$D$5,0,0)))</f>
        <v>6599.2366985173376</v>
      </c>
      <c r="G21" s="143">
        <f t="shared" si="2"/>
        <v>6599.2366985173376</v>
      </c>
      <c r="H21" s="143">
        <f t="shared" si="0"/>
        <v>0</v>
      </c>
      <c r="I21" s="144">
        <f t="shared" si="1"/>
        <v>1319847.3397034674</v>
      </c>
      <c r="L21" s="2"/>
      <c r="M21" s="145"/>
      <c r="N21" s="21"/>
      <c r="O21" s="145"/>
      <c r="P21" s="2"/>
      <c r="R21" s="145"/>
    </row>
    <row r="22" spans="3:20">
      <c r="C22" s="39"/>
      <c r="D22" s="57">
        <v>6</v>
      </c>
      <c r="E22" s="143">
        <f t="shared" ref="E22:E85" si="4">IF(D22&gt;$D$10,0,I21)</f>
        <v>1319847.3397034674</v>
      </c>
      <c r="F22" s="143">
        <f t="shared" si="3"/>
        <v>6599.2366985173376</v>
      </c>
      <c r="G22" s="143">
        <f t="shared" si="2"/>
        <v>6599.2366985173376</v>
      </c>
      <c r="H22" s="143">
        <f t="shared" si="0"/>
        <v>0</v>
      </c>
      <c r="I22" s="144">
        <f t="shared" si="1"/>
        <v>1319847.3397034674</v>
      </c>
      <c r="L22" s="2"/>
      <c r="M22" s="145"/>
      <c r="N22" s="21"/>
      <c r="O22" s="145"/>
      <c r="P22" s="2"/>
      <c r="R22" s="145"/>
    </row>
    <row r="23" spans="3:20">
      <c r="C23" s="39"/>
      <c r="D23" s="57">
        <v>7</v>
      </c>
      <c r="E23" s="143">
        <f t="shared" si="4"/>
        <v>1319847.3397034674</v>
      </c>
      <c r="F23" s="143">
        <f t="shared" si="3"/>
        <v>6599.2366985173376</v>
      </c>
      <c r="G23" s="143">
        <f t="shared" si="2"/>
        <v>6599.2366985173376</v>
      </c>
      <c r="H23" s="143">
        <f t="shared" si="0"/>
        <v>0</v>
      </c>
      <c r="I23" s="144">
        <f t="shared" si="1"/>
        <v>1319847.3397034674</v>
      </c>
      <c r="L23" s="2"/>
      <c r="M23" s="145"/>
      <c r="N23" s="21"/>
      <c r="O23" s="145"/>
      <c r="P23" s="2"/>
      <c r="R23" s="145"/>
    </row>
    <row r="24" spans="3:20">
      <c r="C24" s="39"/>
      <c r="D24" s="57">
        <v>8</v>
      </c>
      <c r="E24" s="143">
        <f t="shared" si="4"/>
        <v>1319847.3397034674</v>
      </c>
      <c r="F24" s="143">
        <f t="shared" si="3"/>
        <v>6599.2366985173376</v>
      </c>
      <c r="G24" s="143">
        <f t="shared" si="2"/>
        <v>6599.2366985173376</v>
      </c>
      <c r="H24" s="143">
        <f t="shared" si="0"/>
        <v>0</v>
      </c>
      <c r="I24" s="144">
        <f t="shared" si="1"/>
        <v>1319847.3397034674</v>
      </c>
      <c r="L24" s="2"/>
      <c r="M24" s="145"/>
      <c r="N24" s="21"/>
      <c r="O24" s="145"/>
      <c r="P24" s="2"/>
      <c r="R24" s="145"/>
    </row>
    <row r="25" spans="3:20">
      <c r="C25" s="39"/>
      <c r="D25" s="57">
        <v>9</v>
      </c>
      <c r="E25" s="143">
        <f t="shared" si="4"/>
        <v>1319847.3397034674</v>
      </c>
      <c r="F25" s="143">
        <f t="shared" si="3"/>
        <v>6599.2366985173376</v>
      </c>
      <c r="G25" s="143">
        <f t="shared" si="2"/>
        <v>6599.2366985173376</v>
      </c>
      <c r="H25" s="143">
        <f t="shared" si="0"/>
        <v>0</v>
      </c>
      <c r="I25" s="144">
        <f t="shared" si="1"/>
        <v>1319847.3397034674</v>
      </c>
      <c r="L25" s="2"/>
      <c r="M25" s="145"/>
      <c r="N25" s="21"/>
      <c r="O25" s="145"/>
      <c r="P25" s="2"/>
      <c r="R25" s="145"/>
    </row>
    <row r="26" spans="3:20">
      <c r="C26" s="39"/>
      <c r="D26" s="57">
        <v>10</v>
      </c>
      <c r="E26" s="143">
        <f t="shared" si="4"/>
        <v>1319847.3397034674</v>
      </c>
      <c r="F26" s="143">
        <f t="shared" si="3"/>
        <v>6599.2366985173376</v>
      </c>
      <c r="G26" s="143">
        <f t="shared" si="2"/>
        <v>6599.2366985173376</v>
      </c>
      <c r="H26" s="143">
        <f t="shared" si="0"/>
        <v>0</v>
      </c>
      <c r="I26" s="144">
        <f t="shared" si="1"/>
        <v>1319847.3397034674</v>
      </c>
      <c r="L26" s="2"/>
      <c r="M26" s="145"/>
      <c r="N26" s="21"/>
      <c r="O26" s="145"/>
      <c r="P26" s="2"/>
      <c r="R26" s="145"/>
    </row>
    <row r="27" spans="3:20">
      <c r="C27" s="39"/>
      <c r="D27" s="57">
        <v>11</v>
      </c>
      <c r="E27" s="143">
        <f t="shared" si="4"/>
        <v>1319847.3397034674</v>
      </c>
      <c r="F27" s="143">
        <f t="shared" si="3"/>
        <v>6599.2366985173376</v>
      </c>
      <c r="G27" s="143">
        <f t="shared" si="2"/>
        <v>6599.2366985173376</v>
      </c>
      <c r="H27" s="143">
        <f t="shared" si="0"/>
        <v>0</v>
      </c>
      <c r="I27" s="144">
        <f t="shared" si="1"/>
        <v>1319847.3397034674</v>
      </c>
      <c r="L27" s="2"/>
      <c r="M27" s="145"/>
      <c r="N27" s="21"/>
      <c r="O27" s="145"/>
      <c r="P27" s="2"/>
      <c r="R27" s="145"/>
    </row>
    <row r="28" spans="3:20">
      <c r="C28" s="45">
        <v>1</v>
      </c>
      <c r="D28" s="146">
        <v>12</v>
      </c>
      <c r="E28" s="143">
        <f t="shared" si="4"/>
        <v>1319847.3397034674</v>
      </c>
      <c r="F28" s="143">
        <f t="shared" si="3"/>
        <v>6599.2366985173376</v>
      </c>
      <c r="G28" s="143">
        <f t="shared" si="2"/>
        <v>6599.2366985173376</v>
      </c>
      <c r="H28" s="143">
        <f t="shared" si="0"/>
        <v>0</v>
      </c>
      <c r="I28" s="144">
        <f t="shared" si="1"/>
        <v>1319847.3397034674</v>
      </c>
      <c r="J28" s="147">
        <f>+SUM(H17:H28)+SUM(G17:G28)</f>
        <v>79190.840382208058</v>
      </c>
      <c r="L28" s="2"/>
      <c r="M28" s="145"/>
      <c r="N28" s="21"/>
      <c r="O28" s="145"/>
      <c r="P28" s="2"/>
      <c r="R28" s="145"/>
    </row>
    <row r="29" spans="3:20">
      <c r="C29" s="39"/>
      <c r="D29" s="57">
        <v>13</v>
      </c>
      <c r="E29" s="143">
        <f t="shared" si="4"/>
        <v>1319847.3397034674</v>
      </c>
      <c r="F29" s="143">
        <f t="shared" si="3"/>
        <v>6599.2366985173376</v>
      </c>
      <c r="G29" s="143">
        <f t="shared" si="2"/>
        <v>6599.2366985173376</v>
      </c>
      <c r="H29" s="143">
        <f t="shared" si="0"/>
        <v>0</v>
      </c>
      <c r="I29" s="144">
        <f t="shared" si="1"/>
        <v>1319847.3397034674</v>
      </c>
      <c r="L29" s="2"/>
      <c r="M29" s="145"/>
      <c r="N29" s="21"/>
      <c r="O29" s="145"/>
      <c r="P29" s="2"/>
      <c r="R29" s="145"/>
    </row>
    <row r="30" spans="3:20">
      <c r="C30" s="39"/>
      <c r="D30" s="57">
        <v>14</v>
      </c>
      <c r="E30" s="143">
        <f t="shared" si="4"/>
        <v>1319847.3397034674</v>
      </c>
      <c r="F30" s="143">
        <f t="shared" si="3"/>
        <v>6599.2366985173376</v>
      </c>
      <c r="G30" s="143">
        <f t="shared" si="2"/>
        <v>6599.2366985173376</v>
      </c>
      <c r="H30" s="143">
        <f t="shared" si="0"/>
        <v>0</v>
      </c>
      <c r="I30" s="144">
        <f t="shared" si="1"/>
        <v>1319847.3397034674</v>
      </c>
      <c r="L30" s="2"/>
      <c r="M30" s="145"/>
      <c r="N30" s="21"/>
      <c r="O30" s="145"/>
      <c r="P30" s="2"/>
      <c r="R30" s="145"/>
    </row>
    <row r="31" spans="3:20">
      <c r="C31" s="39"/>
      <c r="D31" s="57">
        <v>15</v>
      </c>
      <c r="E31" s="143">
        <f t="shared" si="4"/>
        <v>1319847.3397034674</v>
      </c>
      <c r="F31" s="143">
        <f t="shared" si="3"/>
        <v>6599.2366985173376</v>
      </c>
      <c r="G31" s="143">
        <f t="shared" si="2"/>
        <v>6599.2366985173376</v>
      </c>
      <c r="H31" s="143">
        <f t="shared" si="0"/>
        <v>0</v>
      </c>
      <c r="I31" s="144">
        <f t="shared" si="1"/>
        <v>1319847.3397034674</v>
      </c>
      <c r="L31" s="2"/>
      <c r="M31" s="145"/>
      <c r="N31" s="21"/>
      <c r="O31" s="145"/>
      <c r="P31" s="2"/>
      <c r="R31" s="145"/>
    </row>
    <row r="32" spans="3:20">
      <c r="C32" s="39"/>
      <c r="D32" s="57">
        <v>16</v>
      </c>
      <c r="E32" s="143">
        <f t="shared" si="4"/>
        <v>1319847.3397034674</v>
      </c>
      <c r="F32" s="143">
        <f t="shared" si="3"/>
        <v>6599.2366985173376</v>
      </c>
      <c r="G32" s="143">
        <f t="shared" si="2"/>
        <v>6599.2366985173376</v>
      </c>
      <c r="H32" s="143">
        <f t="shared" si="0"/>
        <v>0</v>
      </c>
      <c r="I32" s="144">
        <f t="shared" si="1"/>
        <v>1319847.3397034674</v>
      </c>
      <c r="L32" s="2"/>
      <c r="M32" s="145"/>
      <c r="N32" s="21"/>
      <c r="O32" s="145"/>
      <c r="P32" s="2"/>
      <c r="R32" s="145"/>
    </row>
    <row r="33" spans="3:18">
      <c r="C33" s="39"/>
      <c r="D33" s="57">
        <v>17</v>
      </c>
      <c r="E33" s="143">
        <f t="shared" si="4"/>
        <v>1319847.3397034674</v>
      </c>
      <c r="F33" s="143">
        <f t="shared" si="3"/>
        <v>6599.2366985173376</v>
      </c>
      <c r="G33" s="143">
        <f t="shared" si="2"/>
        <v>6599.2366985173376</v>
      </c>
      <c r="H33" s="143">
        <f t="shared" si="0"/>
        <v>0</v>
      </c>
      <c r="I33" s="144">
        <f t="shared" si="1"/>
        <v>1319847.3397034674</v>
      </c>
      <c r="L33" s="2"/>
      <c r="M33" s="145"/>
      <c r="N33" s="21"/>
      <c r="O33" s="145"/>
      <c r="P33" s="2"/>
      <c r="R33" s="145"/>
    </row>
    <row r="34" spans="3:18">
      <c r="C34" s="39"/>
      <c r="D34" s="57">
        <v>18</v>
      </c>
      <c r="E34" s="143">
        <f t="shared" si="4"/>
        <v>1319847.3397034674</v>
      </c>
      <c r="F34" s="143">
        <f t="shared" si="3"/>
        <v>6599.2366985173376</v>
      </c>
      <c r="G34" s="143">
        <f t="shared" si="2"/>
        <v>6599.2366985173376</v>
      </c>
      <c r="H34" s="143">
        <f t="shared" si="0"/>
        <v>0</v>
      </c>
      <c r="I34" s="144">
        <f t="shared" si="1"/>
        <v>1319847.3397034674</v>
      </c>
      <c r="L34" s="2"/>
      <c r="M34" s="145"/>
      <c r="N34" s="21"/>
      <c r="O34" s="145"/>
      <c r="P34" s="2"/>
      <c r="R34" s="145"/>
    </row>
    <row r="35" spans="3:18">
      <c r="C35" s="39"/>
      <c r="D35" s="57">
        <v>19</v>
      </c>
      <c r="E35" s="143">
        <f t="shared" si="4"/>
        <v>1319847.3397034674</v>
      </c>
      <c r="F35" s="143">
        <f t="shared" si="3"/>
        <v>6599.2366985173376</v>
      </c>
      <c r="G35" s="143">
        <f t="shared" si="2"/>
        <v>6599.2366985173376</v>
      </c>
      <c r="H35" s="143">
        <f t="shared" si="0"/>
        <v>0</v>
      </c>
      <c r="I35" s="144">
        <f t="shared" si="1"/>
        <v>1319847.3397034674</v>
      </c>
      <c r="L35" s="2"/>
      <c r="M35" s="145"/>
      <c r="N35" s="21"/>
      <c r="O35" s="145"/>
      <c r="P35" s="2"/>
      <c r="R35" s="145"/>
    </row>
    <row r="36" spans="3:18">
      <c r="C36" s="39"/>
      <c r="D36" s="57">
        <v>20</v>
      </c>
      <c r="E36" s="143">
        <f t="shared" si="4"/>
        <v>1319847.3397034674</v>
      </c>
      <c r="F36" s="143">
        <f t="shared" si="3"/>
        <v>6599.2366985173376</v>
      </c>
      <c r="G36" s="143">
        <f t="shared" si="2"/>
        <v>6599.2366985173376</v>
      </c>
      <c r="H36" s="143">
        <f t="shared" si="0"/>
        <v>0</v>
      </c>
      <c r="I36" s="144">
        <f t="shared" si="1"/>
        <v>1319847.3397034674</v>
      </c>
      <c r="L36" s="2"/>
      <c r="M36" s="145"/>
      <c r="N36" s="21"/>
      <c r="O36" s="145"/>
      <c r="P36" s="2"/>
      <c r="R36" s="145"/>
    </row>
    <row r="37" spans="3:18">
      <c r="C37" s="39"/>
      <c r="D37" s="57">
        <v>21</v>
      </c>
      <c r="E37" s="143">
        <f t="shared" si="4"/>
        <v>1319847.3397034674</v>
      </c>
      <c r="F37" s="143">
        <f t="shared" si="3"/>
        <v>6599.2366985173376</v>
      </c>
      <c r="G37" s="143">
        <f t="shared" si="2"/>
        <v>6599.2366985173376</v>
      </c>
      <c r="H37" s="143">
        <f t="shared" si="0"/>
        <v>0</v>
      </c>
      <c r="I37" s="144">
        <f t="shared" si="1"/>
        <v>1319847.3397034674</v>
      </c>
      <c r="L37" s="2"/>
      <c r="M37" s="145"/>
      <c r="N37" s="21"/>
      <c r="O37" s="145"/>
      <c r="P37" s="2"/>
      <c r="R37" s="145"/>
    </row>
    <row r="38" spans="3:18">
      <c r="C38" s="39"/>
      <c r="D38" s="57">
        <v>22</v>
      </c>
      <c r="E38" s="143">
        <f t="shared" si="4"/>
        <v>1319847.3397034674</v>
      </c>
      <c r="F38" s="143">
        <f t="shared" si="3"/>
        <v>6599.2366985173376</v>
      </c>
      <c r="G38" s="143">
        <f t="shared" si="2"/>
        <v>6599.2366985173376</v>
      </c>
      <c r="H38" s="143">
        <f t="shared" si="0"/>
        <v>0</v>
      </c>
      <c r="I38" s="144">
        <f t="shared" si="1"/>
        <v>1319847.3397034674</v>
      </c>
      <c r="L38" s="2"/>
      <c r="M38" s="145"/>
      <c r="N38" s="21"/>
      <c r="O38" s="145"/>
      <c r="P38" s="2"/>
      <c r="R38" s="145"/>
    </row>
    <row r="39" spans="3:18">
      <c r="C39" s="39"/>
      <c r="D39" s="57">
        <v>23</v>
      </c>
      <c r="E39" s="143">
        <f t="shared" si="4"/>
        <v>1319847.3397034674</v>
      </c>
      <c r="F39" s="143">
        <f t="shared" si="3"/>
        <v>6599.2366985173376</v>
      </c>
      <c r="G39" s="143">
        <f t="shared" si="2"/>
        <v>6599.2366985173376</v>
      </c>
      <c r="H39" s="143">
        <f t="shared" si="0"/>
        <v>0</v>
      </c>
      <c r="I39" s="144">
        <f t="shared" si="1"/>
        <v>1319847.3397034674</v>
      </c>
      <c r="L39" s="2"/>
      <c r="M39" s="145"/>
      <c r="N39" s="21"/>
      <c r="O39" s="145"/>
      <c r="P39" s="2"/>
      <c r="R39" s="145"/>
    </row>
    <row r="40" spans="3:18">
      <c r="C40" s="45">
        <v>2</v>
      </c>
      <c r="D40" s="146">
        <v>24</v>
      </c>
      <c r="E40" s="143">
        <f t="shared" si="4"/>
        <v>1319847.3397034674</v>
      </c>
      <c r="F40" s="143">
        <f t="shared" si="3"/>
        <v>6599.2366985173376</v>
      </c>
      <c r="G40" s="143">
        <f t="shared" si="2"/>
        <v>6599.2366985173376</v>
      </c>
      <c r="H40" s="143">
        <f t="shared" si="0"/>
        <v>0</v>
      </c>
      <c r="I40" s="144">
        <f t="shared" si="1"/>
        <v>1319847.3397034674</v>
      </c>
      <c r="J40" s="147">
        <f>+SUM(H29:H40)+SUM(G29:G40)</f>
        <v>79190.840382208058</v>
      </c>
      <c r="L40" s="2"/>
      <c r="M40" s="145"/>
      <c r="N40" s="21"/>
      <c r="O40" s="145"/>
      <c r="P40" s="2"/>
      <c r="R40" s="145"/>
    </row>
    <row r="41" spans="3:18">
      <c r="C41" s="39"/>
      <c r="D41" s="57">
        <v>25</v>
      </c>
      <c r="E41" s="143">
        <f t="shared" si="4"/>
        <v>1319847.3397034674</v>
      </c>
      <c r="F41" s="143">
        <f t="shared" si="3"/>
        <v>8503.7949071786406</v>
      </c>
      <c r="G41" s="143">
        <f t="shared" si="2"/>
        <v>6599.2366985173376</v>
      </c>
      <c r="H41" s="143">
        <f t="shared" si="0"/>
        <v>1904.5582086613031</v>
      </c>
      <c r="I41" s="144">
        <f t="shared" si="1"/>
        <v>1317942.7814948061</v>
      </c>
      <c r="L41" s="2"/>
      <c r="M41" s="145"/>
      <c r="N41" s="21"/>
      <c r="O41" s="145"/>
      <c r="P41" s="2"/>
      <c r="R41" s="145"/>
    </row>
    <row r="42" spans="3:18">
      <c r="C42" s="39"/>
      <c r="D42" s="57">
        <v>26</v>
      </c>
      <c r="E42" s="143">
        <f t="shared" si="4"/>
        <v>1317942.7814948061</v>
      </c>
      <c r="F42" s="143">
        <f t="shared" si="3"/>
        <v>8503.7949071786406</v>
      </c>
      <c r="G42" s="143">
        <f t="shared" si="2"/>
        <v>6589.7139074740307</v>
      </c>
      <c r="H42" s="143">
        <f t="shared" si="0"/>
        <v>1914.0809997046099</v>
      </c>
      <c r="I42" s="144">
        <f t="shared" si="1"/>
        <v>1316028.7004951015</v>
      </c>
    </row>
    <row r="43" spans="3:18">
      <c r="C43" s="39"/>
      <c r="D43" s="57">
        <v>27</v>
      </c>
      <c r="E43" s="143">
        <f t="shared" si="4"/>
        <v>1316028.7004951015</v>
      </c>
      <c r="F43" s="143">
        <f t="shared" si="3"/>
        <v>8503.7949071786406</v>
      </c>
      <c r="G43" s="143">
        <f t="shared" si="2"/>
        <v>6580.1435024755074</v>
      </c>
      <c r="H43" s="143">
        <f t="shared" si="0"/>
        <v>1923.6514047031333</v>
      </c>
      <c r="I43" s="144">
        <f t="shared" si="1"/>
        <v>1314105.0490903985</v>
      </c>
    </row>
    <row r="44" spans="3:18">
      <c r="C44" s="39"/>
      <c r="D44" s="57">
        <v>28</v>
      </c>
      <c r="E44" s="143">
        <f t="shared" si="4"/>
        <v>1314105.0490903985</v>
      </c>
      <c r="F44" s="143">
        <f t="shared" si="3"/>
        <v>8503.7949071786406</v>
      </c>
      <c r="G44" s="143">
        <f t="shared" si="2"/>
        <v>6570.5252454519923</v>
      </c>
      <c r="H44" s="143">
        <f t="shared" si="0"/>
        <v>1933.2696617266483</v>
      </c>
      <c r="I44" s="144">
        <f t="shared" si="1"/>
        <v>1312171.7794286718</v>
      </c>
    </row>
    <row r="45" spans="3:18">
      <c r="C45" s="39"/>
      <c r="D45" s="57">
        <v>29</v>
      </c>
      <c r="E45" s="143">
        <f t="shared" si="4"/>
        <v>1312171.7794286718</v>
      </c>
      <c r="F45" s="143">
        <f t="shared" si="3"/>
        <v>8503.7949071786406</v>
      </c>
      <c r="G45" s="143">
        <f t="shared" si="2"/>
        <v>6560.8588971433592</v>
      </c>
      <c r="H45" s="143">
        <f t="shared" si="0"/>
        <v>1942.9360100352815</v>
      </c>
      <c r="I45" s="144">
        <f t="shared" si="1"/>
        <v>1310228.8434186366</v>
      </c>
    </row>
    <row r="46" spans="3:18">
      <c r="C46" s="39"/>
      <c r="D46" s="57">
        <v>30</v>
      </c>
      <c r="E46" s="143">
        <f t="shared" si="4"/>
        <v>1310228.8434186366</v>
      </c>
      <c r="F46" s="143">
        <f t="shared" si="3"/>
        <v>8503.7949071786406</v>
      </c>
      <c r="G46" s="143">
        <f t="shared" si="2"/>
        <v>6551.1442170931832</v>
      </c>
      <c r="H46" s="143">
        <f t="shared" si="0"/>
        <v>1952.6506900854574</v>
      </c>
      <c r="I46" s="144">
        <f t="shared" si="1"/>
        <v>1308276.1927285511</v>
      </c>
    </row>
    <row r="47" spans="3:18">
      <c r="C47" s="39"/>
      <c r="D47" s="57">
        <v>31</v>
      </c>
      <c r="E47" s="143">
        <f t="shared" si="4"/>
        <v>1308276.1927285511</v>
      </c>
      <c r="F47" s="143">
        <f t="shared" si="3"/>
        <v>8503.7949071786406</v>
      </c>
      <c r="G47" s="143">
        <f t="shared" si="2"/>
        <v>6541.3809636427559</v>
      </c>
      <c r="H47" s="143">
        <f t="shared" si="0"/>
        <v>1962.4139435358848</v>
      </c>
      <c r="I47" s="144">
        <f t="shared" si="1"/>
        <v>1306313.7787850152</v>
      </c>
    </row>
    <row r="48" spans="3:18">
      <c r="C48" s="39"/>
      <c r="D48" s="57">
        <v>32</v>
      </c>
      <c r="E48" s="143">
        <f t="shared" si="4"/>
        <v>1306313.7787850152</v>
      </c>
      <c r="F48" s="143">
        <f t="shared" si="3"/>
        <v>8503.7949071786406</v>
      </c>
      <c r="G48" s="143">
        <f t="shared" si="2"/>
        <v>6531.5688939250758</v>
      </c>
      <c r="H48" s="143">
        <f t="shared" si="0"/>
        <v>1972.2260132535648</v>
      </c>
      <c r="I48" s="144">
        <f t="shared" si="1"/>
        <v>1304341.5527717615</v>
      </c>
    </row>
    <row r="49" spans="3:10">
      <c r="C49" s="39"/>
      <c r="D49" s="57">
        <v>33</v>
      </c>
      <c r="E49" s="143">
        <f t="shared" si="4"/>
        <v>1304341.5527717615</v>
      </c>
      <c r="F49" s="143">
        <f t="shared" si="3"/>
        <v>8503.7949071786406</v>
      </c>
      <c r="G49" s="143">
        <f t="shared" si="2"/>
        <v>6521.707763858808</v>
      </c>
      <c r="H49" s="143">
        <f t="shared" si="0"/>
        <v>1982.0871433198326</v>
      </c>
      <c r="I49" s="144">
        <f t="shared" si="1"/>
        <v>1302359.4656284417</v>
      </c>
    </row>
    <row r="50" spans="3:10">
      <c r="C50" s="39"/>
      <c r="D50" s="57">
        <v>34</v>
      </c>
      <c r="E50" s="143">
        <f t="shared" si="4"/>
        <v>1302359.4656284417</v>
      </c>
      <c r="F50" s="143">
        <f t="shared" si="3"/>
        <v>8503.7949071786406</v>
      </c>
      <c r="G50" s="143">
        <f t="shared" si="2"/>
        <v>6511.7973281422082</v>
      </c>
      <c r="H50" s="143">
        <f t="shared" si="0"/>
        <v>1991.9975790364324</v>
      </c>
      <c r="I50" s="144">
        <f t="shared" si="1"/>
        <v>1300367.4680494051</v>
      </c>
    </row>
    <row r="51" spans="3:10">
      <c r="C51" s="39"/>
      <c r="D51" s="57">
        <v>35</v>
      </c>
      <c r="E51" s="143">
        <f t="shared" si="4"/>
        <v>1300367.4680494051</v>
      </c>
      <c r="F51" s="143">
        <f t="shared" si="3"/>
        <v>8503.7949071786406</v>
      </c>
      <c r="G51" s="143">
        <f t="shared" si="2"/>
        <v>6501.8373402470261</v>
      </c>
      <c r="H51" s="143">
        <f t="shared" si="0"/>
        <v>2001.9575669316146</v>
      </c>
      <c r="I51" s="144">
        <f t="shared" si="1"/>
        <v>1298365.5104824735</v>
      </c>
    </row>
    <row r="52" spans="3:10">
      <c r="C52" s="45">
        <v>3</v>
      </c>
      <c r="D52" s="146">
        <v>36</v>
      </c>
      <c r="E52" s="143">
        <f t="shared" si="4"/>
        <v>1298365.5104824735</v>
      </c>
      <c r="F52" s="143">
        <f t="shared" si="3"/>
        <v>8503.7949071786406</v>
      </c>
      <c r="G52" s="143">
        <f t="shared" si="2"/>
        <v>6491.8275524123674</v>
      </c>
      <c r="H52" s="143">
        <f t="shared" si="0"/>
        <v>2011.9673547662733</v>
      </c>
      <c r="I52" s="144">
        <f t="shared" si="1"/>
        <v>1296353.5431277072</v>
      </c>
      <c r="J52" s="147">
        <f>+SUM(H41:H52)+SUM(G41:G52)</f>
        <v>102045.53888614368</v>
      </c>
    </row>
    <row r="53" spans="3:10">
      <c r="C53" s="39"/>
      <c r="D53" s="57">
        <v>37</v>
      </c>
      <c r="E53" s="143">
        <f t="shared" si="4"/>
        <v>1296353.5431277072</v>
      </c>
      <c r="F53" s="143">
        <f t="shared" si="3"/>
        <v>8503.7949071786406</v>
      </c>
      <c r="G53" s="143">
        <f t="shared" si="2"/>
        <v>6481.7677156385362</v>
      </c>
      <c r="H53" s="143">
        <f t="shared" si="0"/>
        <v>2022.0271915401045</v>
      </c>
      <c r="I53" s="144">
        <f t="shared" si="1"/>
        <v>1294331.5159361672</v>
      </c>
    </row>
    <row r="54" spans="3:10">
      <c r="C54" s="39"/>
      <c r="D54" s="57">
        <v>38</v>
      </c>
      <c r="E54" s="143">
        <f t="shared" si="4"/>
        <v>1294331.5159361672</v>
      </c>
      <c r="F54" s="143">
        <f t="shared" si="3"/>
        <v>8503.7949071786406</v>
      </c>
      <c r="G54" s="143">
        <f t="shared" si="2"/>
        <v>6471.6575796808365</v>
      </c>
      <c r="H54" s="143">
        <f t="shared" si="0"/>
        <v>2032.1373274978041</v>
      </c>
      <c r="I54" s="144">
        <f t="shared" si="1"/>
        <v>1292299.3786086694</v>
      </c>
    </row>
    <row r="55" spans="3:10">
      <c r="C55" s="39"/>
      <c r="D55" s="57">
        <v>39</v>
      </c>
      <c r="E55" s="143">
        <f t="shared" si="4"/>
        <v>1292299.3786086694</v>
      </c>
      <c r="F55" s="143">
        <f t="shared" si="3"/>
        <v>8503.7949071786406</v>
      </c>
      <c r="G55" s="143">
        <f t="shared" si="2"/>
        <v>6461.496893043347</v>
      </c>
      <c r="H55" s="143">
        <f t="shared" si="0"/>
        <v>2042.2980141352937</v>
      </c>
      <c r="I55" s="144">
        <f t="shared" si="1"/>
        <v>1290257.0805945341</v>
      </c>
    </row>
    <row r="56" spans="3:10">
      <c r="C56" s="39"/>
      <c r="D56" s="57">
        <v>40</v>
      </c>
      <c r="E56" s="143">
        <f t="shared" si="4"/>
        <v>1290257.0805945341</v>
      </c>
      <c r="F56" s="143">
        <f t="shared" si="3"/>
        <v>8503.7949071786406</v>
      </c>
      <c r="G56" s="143">
        <f t="shared" si="2"/>
        <v>6451.2854029726705</v>
      </c>
      <c r="H56" s="143">
        <f t="shared" si="0"/>
        <v>2052.5095042059702</v>
      </c>
      <c r="I56" s="144">
        <f t="shared" si="1"/>
        <v>1288204.571090328</v>
      </c>
    </row>
    <row r="57" spans="3:10">
      <c r="C57" s="39"/>
      <c r="D57" s="57">
        <v>41</v>
      </c>
      <c r="E57" s="143">
        <f t="shared" si="4"/>
        <v>1288204.571090328</v>
      </c>
      <c r="F57" s="143">
        <f t="shared" si="3"/>
        <v>8503.7949071786406</v>
      </c>
      <c r="G57" s="143">
        <f t="shared" si="2"/>
        <v>6441.0228554516407</v>
      </c>
      <c r="H57" s="143">
        <f t="shared" si="0"/>
        <v>2062.772051727</v>
      </c>
      <c r="I57" s="144">
        <f t="shared" si="1"/>
        <v>1286141.7990386011</v>
      </c>
    </row>
    <row r="58" spans="3:10">
      <c r="C58" s="39"/>
      <c r="D58" s="57">
        <v>42</v>
      </c>
      <c r="E58" s="143">
        <f t="shared" si="4"/>
        <v>1286141.7990386011</v>
      </c>
      <c r="F58" s="143">
        <f t="shared" si="3"/>
        <v>8503.7949071786406</v>
      </c>
      <c r="G58" s="143">
        <f t="shared" si="2"/>
        <v>6430.7089951930056</v>
      </c>
      <c r="H58" s="143">
        <f t="shared" si="0"/>
        <v>2073.085911985635</v>
      </c>
      <c r="I58" s="144">
        <f t="shared" si="1"/>
        <v>1284068.7131266154</v>
      </c>
    </row>
    <row r="59" spans="3:10">
      <c r="C59" s="39"/>
      <c r="D59" s="57">
        <v>43</v>
      </c>
      <c r="E59" s="143">
        <f t="shared" si="4"/>
        <v>1284068.7131266154</v>
      </c>
      <c r="F59" s="143">
        <f t="shared" si="3"/>
        <v>8503.7949071786406</v>
      </c>
      <c r="G59" s="143">
        <f t="shared" si="2"/>
        <v>6420.3435656330767</v>
      </c>
      <c r="H59" s="143">
        <f t="shared" si="0"/>
        <v>2083.451341545564</v>
      </c>
      <c r="I59" s="144">
        <f t="shared" si="1"/>
        <v>1281985.2617850697</v>
      </c>
      <c r="J59" s="147"/>
    </row>
    <row r="60" spans="3:10">
      <c r="C60" s="39"/>
      <c r="D60" s="57">
        <v>44</v>
      </c>
      <c r="E60" s="143">
        <f t="shared" si="4"/>
        <v>1281985.2617850697</v>
      </c>
      <c r="F60" s="143">
        <f t="shared" si="3"/>
        <v>8503.7949071786406</v>
      </c>
      <c r="G60" s="143">
        <f t="shared" si="2"/>
        <v>6409.9263089253491</v>
      </c>
      <c r="H60" s="143">
        <f t="shared" si="0"/>
        <v>2093.8685982532916</v>
      </c>
      <c r="I60" s="144">
        <f t="shared" si="1"/>
        <v>1279891.3931868165</v>
      </c>
    </row>
    <row r="61" spans="3:10">
      <c r="C61" s="39"/>
      <c r="D61" s="57">
        <v>45</v>
      </c>
      <c r="E61" s="143">
        <f t="shared" si="4"/>
        <v>1279891.3931868165</v>
      </c>
      <c r="F61" s="143">
        <f t="shared" si="3"/>
        <v>8503.7949071786406</v>
      </c>
      <c r="G61" s="143">
        <f t="shared" si="2"/>
        <v>6399.4569659340823</v>
      </c>
      <c r="H61" s="143">
        <f t="shared" si="0"/>
        <v>2104.3379412445584</v>
      </c>
      <c r="I61" s="144">
        <f t="shared" si="1"/>
        <v>1277787.055245572</v>
      </c>
    </row>
    <row r="62" spans="3:10">
      <c r="C62" s="39"/>
      <c r="D62" s="57">
        <v>46</v>
      </c>
      <c r="E62" s="143">
        <f t="shared" si="4"/>
        <v>1277787.055245572</v>
      </c>
      <c r="F62" s="143">
        <f t="shared" si="3"/>
        <v>8503.7949071786406</v>
      </c>
      <c r="G62" s="143">
        <f t="shared" si="2"/>
        <v>6388.9352762278604</v>
      </c>
      <c r="H62" s="143">
        <f t="shared" si="0"/>
        <v>2114.8596309507802</v>
      </c>
      <c r="I62" s="144">
        <f t="shared" si="1"/>
        <v>1275672.1956146213</v>
      </c>
    </row>
    <row r="63" spans="3:10">
      <c r="C63" s="39"/>
      <c r="D63" s="57">
        <v>47</v>
      </c>
      <c r="E63" s="143">
        <f t="shared" si="4"/>
        <v>1275672.1956146213</v>
      </c>
      <c r="F63" s="143">
        <f t="shared" si="3"/>
        <v>8503.7949071786406</v>
      </c>
      <c r="G63" s="143">
        <f t="shared" si="2"/>
        <v>6378.3609780731067</v>
      </c>
      <c r="H63" s="143">
        <f t="shared" si="0"/>
        <v>2125.4339291055339</v>
      </c>
      <c r="I63" s="144">
        <f t="shared" si="1"/>
        <v>1273546.7616855158</v>
      </c>
    </row>
    <row r="64" spans="3:10">
      <c r="C64" s="45">
        <v>4</v>
      </c>
      <c r="D64" s="146">
        <v>48</v>
      </c>
      <c r="E64" s="143">
        <f t="shared" si="4"/>
        <v>1273546.7616855158</v>
      </c>
      <c r="F64" s="143">
        <f t="shared" si="3"/>
        <v>8503.7949071786406</v>
      </c>
      <c r="G64" s="143">
        <f t="shared" si="2"/>
        <v>6367.7338084275789</v>
      </c>
      <c r="H64" s="143">
        <f t="shared" si="0"/>
        <v>2136.0610987510618</v>
      </c>
      <c r="I64" s="144">
        <f t="shared" si="1"/>
        <v>1271410.7005867646</v>
      </c>
      <c r="J64" s="147">
        <f>+SUM(H53:H64)+SUM(G53:G64)</f>
        <v>102045.53888614369</v>
      </c>
    </row>
    <row r="65" spans="3:10">
      <c r="C65" s="39"/>
      <c r="D65" s="57">
        <v>49</v>
      </c>
      <c r="E65" s="143">
        <f t="shared" si="4"/>
        <v>1271410.7005867646</v>
      </c>
      <c r="F65" s="143">
        <f t="shared" si="3"/>
        <v>8503.7949071786406</v>
      </c>
      <c r="G65" s="143">
        <f t="shared" si="2"/>
        <v>6357.0535029338234</v>
      </c>
      <c r="H65" s="143">
        <f t="shared" si="0"/>
        <v>2146.7414042448172</v>
      </c>
      <c r="I65" s="144">
        <f t="shared" si="1"/>
        <v>1269263.9591825197</v>
      </c>
    </row>
    <row r="66" spans="3:10">
      <c r="C66" s="39"/>
      <c r="D66" s="57">
        <v>50</v>
      </c>
      <c r="E66" s="143">
        <f t="shared" si="4"/>
        <v>1269263.9591825197</v>
      </c>
      <c r="F66" s="143">
        <f t="shared" si="3"/>
        <v>8503.7949071786406</v>
      </c>
      <c r="G66" s="143">
        <f t="shared" si="2"/>
        <v>6346.3197959125982</v>
      </c>
      <c r="H66" s="143">
        <f t="shared" si="0"/>
        <v>2157.4751112660424</v>
      </c>
      <c r="I66" s="144">
        <f t="shared" si="1"/>
        <v>1267106.4840712536</v>
      </c>
    </row>
    <row r="67" spans="3:10">
      <c r="C67" s="39"/>
      <c r="D67" s="57">
        <v>51</v>
      </c>
      <c r="E67" s="143">
        <f t="shared" si="4"/>
        <v>1267106.4840712536</v>
      </c>
      <c r="F67" s="143">
        <f t="shared" si="3"/>
        <v>8503.7949071786406</v>
      </c>
      <c r="G67" s="143">
        <f t="shared" si="2"/>
        <v>6335.5324203562677</v>
      </c>
      <c r="H67" s="143">
        <f t="shared" si="0"/>
        <v>2168.2624868223729</v>
      </c>
      <c r="I67" s="144">
        <f t="shared" si="1"/>
        <v>1264938.2215844311</v>
      </c>
    </row>
    <row r="68" spans="3:10">
      <c r="C68" s="39"/>
      <c r="D68" s="57">
        <v>52</v>
      </c>
      <c r="E68" s="143">
        <f t="shared" si="4"/>
        <v>1264938.2215844311</v>
      </c>
      <c r="F68" s="143">
        <f t="shared" si="3"/>
        <v>8503.7949071786406</v>
      </c>
      <c r="G68" s="143">
        <f t="shared" si="2"/>
        <v>6324.6911079221554</v>
      </c>
      <c r="H68" s="143">
        <f t="shared" si="0"/>
        <v>2179.1037992564852</v>
      </c>
      <c r="I68" s="144">
        <f t="shared" si="1"/>
        <v>1262759.1177851746</v>
      </c>
    </row>
    <row r="69" spans="3:10">
      <c r="C69" s="39"/>
      <c r="D69" s="57">
        <v>53</v>
      </c>
      <c r="E69" s="143">
        <f t="shared" si="4"/>
        <v>1262759.1177851746</v>
      </c>
      <c r="F69" s="143">
        <f t="shared" si="3"/>
        <v>8503.7949071786406</v>
      </c>
      <c r="G69" s="143">
        <f t="shared" si="2"/>
        <v>6313.7955889258737</v>
      </c>
      <c r="H69" s="143">
        <f t="shared" si="0"/>
        <v>2189.9993182527669</v>
      </c>
      <c r="I69" s="144">
        <f t="shared" si="1"/>
        <v>1260569.1184669218</v>
      </c>
    </row>
    <row r="70" spans="3:10">
      <c r="C70" s="39"/>
      <c r="D70" s="57">
        <v>54</v>
      </c>
      <c r="E70" s="143">
        <f t="shared" si="4"/>
        <v>1260569.1184669218</v>
      </c>
      <c r="F70" s="143">
        <f t="shared" si="3"/>
        <v>8503.7949071786406</v>
      </c>
      <c r="G70" s="143">
        <f t="shared" si="2"/>
        <v>6302.8455923346091</v>
      </c>
      <c r="H70" s="143">
        <f t="shared" si="0"/>
        <v>2200.9493148440315</v>
      </c>
      <c r="I70" s="144">
        <f t="shared" si="1"/>
        <v>1258368.1691520778</v>
      </c>
      <c r="J70" s="147"/>
    </row>
    <row r="71" spans="3:10">
      <c r="C71" s="39"/>
      <c r="D71" s="57">
        <v>55</v>
      </c>
      <c r="E71" s="143">
        <f t="shared" si="4"/>
        <v>1258368.1691520778</v>
      </c>
      <c r="F71" s="143">
        <f t="shared" si="3"/>
        <v>8503.7949071786406</v>
      </c>
      <c r="G71" s="143">
        <f t="shared" si="2"/>
        <v>6291.8408457603891</v>
      </c>
      <c r="H71" s="143">
        <f t="shared" si="0"/>
        <v>2211.9540614182515</v>
      </c>
      <c r="I71" s="144">
        <f t="shared" si="1"/>
        <v>1256156.2150906594</v>
      </c>
      <c r="J71" s="147"/>
    </row>
    <row r="72" spans="3:10">
      <c r="C72" s="39"/>
      <c r="D72" s="57">
        <v>56</v>
      </c>
      <c r="E72" s="143">
        <f t="shared" si="4"/>
        <v>1256156.2150906594</v>
      </c>
      <c r="F72" s="143">
        <f t="shared" si="3"/>
        <v>8503.7949071786406</v>
      </c>
      <c r="G72" s="143">
        <f t="shared" si="2"/>
        <v>6280.7810754532975</v>
      </c>
      <c r="H72" s="143">
        <f t="shared" si="0"/>
        <v>2223.0138317253432</v>
      </c>
      <c r="I72" s="144">
        <f t="shared" si="1"/>
        <v>1253933.2012589341</v>
      </c>
    </row>
    <row r="73" spans="3:10">
      <c r="C73" s="39"/>
      <c r="D73" s="57">
        <v>57</v>
      </c>
      <c r="E73" s="143">
        <f t="shared" si="4"/>
        <v>1253933.2012589341</v>
      </c>
      <c r="F73" s="143">
        <f t="shared" si="3"/>
        <v>8503.7949071786406</v>
      </c>
      <c r="G73" s="143">
        <f t="shared" si="2"/>
        <v>6269.6660062946703</v>
      </c>
      <c r="H73" s="143">
        <f t="shared" si="0"/>
        <v>2234.1289008839703</v>
      </c>
      <c r="I73" s="144">
        <f t="shared" si="1"/>
        <v>1251699.0723580502</v>
      </c>
    </row>
    <row r="74" spans="3:10">
      <c r="C74" s="39"/>
      <c r="D74" s="57">
        <v>58</v>
      </c>
      <c r="E74" s="143">
        <f t="shared" si="4"/>
        <v>1251699.0723580502</v>
      </c>
      <c r="F74" s="143">
        <f t="shared" si="3"/>
        <v>8503.7949071786406</v>
      </c>
      <c r="G74" s="143">
        <f t="shared" si="2"/>
        <v>6258.4953617902511</v>
      </c>
      <c r="H74" s="143">
        <f t="shared" si="0"/>
        <v>2245.2995453883896</v>
      </c>
      <c r="I74" s="144">
        <f t="shared" si="1"/>
        <v>1249453.7728126617</v>
      </c>
    </row>
    <row r="75" spans="3:10">
      <c r="C75" s="39"/>
      <c r="D75" s="57">
        <v>59</v>
      </c>
      <c r="E75" s="143">
        <f t="shared" si="4"/>
        <v>1249453.7728126617</v>
      </c>
      <c r="F75" s="143">
        <f t="shared" si="3"/>
        <v>8503.7949071786406</v>
      </c>
      <c r="G75" s="143">
        <f t="shared" si="2"/>
        <v>6247.2688640633087</v>
      </c>
      <c r="H75" s="143">
        <f t="shared" si="0"/>
        <v>2256.526043115332</v>
      </c>
      <c r="I75" s="144">
        <f t="shared" si="1"/>
        <v>1247197.2467695463</v>
      </c>
    </row>
    <row r="76" spans="3:10">
      <c r="C76" s="45">
        <v>5</v>
      </c>
      <c r="D76" s="146">
        <v>60</v>
      </c>
      <c r="E76" s="143">
        <f t="shared" si="4"/>
        <v>1247197.2467695463</v>
      </c>
      <c r="F76" s="143">
        <f t="shared" si="3"/>
        <v>8503.7949071786406</v>
      </c>
      <c r="G76" s="143">
        <f t="shared" si="2"/>
        <v>6235.9862338477315</v>
      </c>
      <c r="H76" s="143">
        <f t="shared" si="0"/>
        <v>2267.8086733309092</v>
      </c>
      <c r="I76" s="144">
        <f t="shared" si="1"/>
        <v>1244929.4380962155</v>
      </c>
      <c r="J76" s="147">
        <f>+SUM(H65:H76)+SUM(G65:G76)</f>
        <v>102045.53888614368</v>
      </c>
    </row>
    <row r="77" spans="3:10">
      <c r="C77" s="39"/>
      <c r="D77" s="57">
        <v>61</v>
      </c>
      <c r="E77" s="143">
        <f t="shared" si="4"/>
        <v>1244929.4380962155</v>
      </c>
      <c r="F77" s="143">
        <f t="shared" si="3"/>
        <v>8503.7949071786406</v>
      </c>
      <c r="G77" s="143">
        <f t="shared" si="2"/>
        <v>6224.6471904810778</v>
      </c>
      <c r="H77" s="143">
        <f t="shared" si="0"/>
        <v>2279.1477166975628</v>
      </c>
      <c r="I77" s="144">
        <f t="shared" si="1"/>
        <v>1242650.2903795179</v>
      </c>
    </row>
    <row r="78" spans="3:10">
      <c r="C78" s="39"/>
      <c r="D78" s="57">
        <v>62</v>
      </c>
      <c r="E78" s="143">
        <f t="shared" si="4"/>
        <v>1242650.2903795179</v>
      </c>
      <c r="F78" s="143">
        <f t="shared" si="3"/>
        <v>8503.7949071786406</v>
      </c>
      <c r="G78" s="143">
        <f t="shared" si="2"/>
        <v>6213.2514518975895</v>
      </c>
      <c r="H78" s="143">
        <f t="shared" si="0"/>
        <v>2290.5434552810511</v>
      </c>
      <c r="I78" s="144">
        <f t="shared" si="1"/>
        <v>1240359.7469242369</v>
      </c>
    </row>
    <row r="79" spans="3:10">
      <c r="C79" s="39"/>
      <c r="D79" s="57">
        <v>63</v>
      </c>
      <c r="E79" s="143">
        <f t="shared" si="4"/>
        <v>1240359.7469242369</v>
      </c>
      <c r="F79" s="143">
        <f t="shared" si="3"/>
        <v>8503.7949071786406</v>
      </c>
      <c r="G79" s="143">
        <f t="shared" si="2"/>
        <v>6201.7987346211848</v>
      </c>
      <c r="H79" s="143">
        <f t="shared" si="0"/>
        <v>2301.9961725574558</v>
      </c>
      <c r="I79" s="144">
        <f t="shared" si="1"/>
        <v>1238057.7507516795</v>
      </c>
    </row>
    <row r="80" spans="3:10">
      <c r="C80" s="39"/>
      <c r="D80" s="57">
        <v>64</v>
      </c>
      <c r="E80" s="143">
        <f t="shared" si="4"/>
        <v>1238057.7507516795</v>
      </c>
      <c r="F80" s="143">
        <f t="shared" si="3"/>
        <v>8503.7949071786406</v>
      </c>
      <c r="G80" s="143">
        <f t="shared" si="2"/>
        <v>6190.2887537583974</v>
      </c>
      <c r="H80" s="143">
        <f t="shared" si="0"/>
        <v>2313.5061534202432</v>
      </c>
      <c r="I80" s="144">
        <f t="shared" si="1"/>
        <v>1235744.2445982592</v>
      </c>
    </row>
    <row r="81" spans="3:10">
      <c r="C81" s="39"/>
      <c r="D81" s="57">
        <v>65</v>
      </c>
      <c r="E81" s="143">
        <f t="shared" si="4"/>
        <v>1235744.2445982592</v>
      </c>
      <c r="F81" s="143">
        <f t="shared" si="3"/>
        <v>8503.7949071786406</v>
      </c>
      <c r="G81" s="143">
        <f t="shared" si="2"/>
        <v>6178.7212229912966</v>
      </c>
      <c r="H81" s="143">
        <f t="shared" ref="H81:H144" si="5">F81-G81</f>
        <v>2325.073684187344</v>
      </c>
      <c r="I81" s="144">
        <f t="shared" ref="I81:I144" si="6">E81-H81</f>
        <v>1233419.1709140718</v>
      </c>
    </row>
    <row r="82" spans="3:10">
      <c r="C82" s="39"/>
      <c r="D82" s="57">
        <v>66</v>
      </c>
      <c r="E82" s="143">
        <f t="shared" si="4"/>
        <v>1233419.1709140718</v>
      </c>
      <c r="F82" s="143">
        <f t="shared" si="3"/>
        <v>8503.7949071786406</v>
      </c>
      <c r="G82" s="143">
        <f t="shared" ref="G82:G145" si="7">IF(D82&gt;$D$10,0,($D$6/12)*I81)</f>
        <v>6167.0958545703597</v>
      </c>
      <c r="H82" s="143">
        <f t="shared" si="5"/>
        <v>2336.6990526082809</v>
      </c>
      <c r="I82" s="144">
        <f t="shared" si="6"/>
        <v>1231082.4718614635</v>
      </c>
    </row>
    <row r="83" spans="3:10">
      <c r="C83" s="39"/>
      <c r="D83" s="57">
        <v>67</v>
      </c>
      <c r="E83" s="143">
        <f t="shared" si="4"/>
        <v>1231082.4718614635</v>
      </c>
      <c r="F83" s="143">
        <f t="shared" si="3"/>
        <v>8503.7949071786406</v>
      </c>
      <c r="G83" s="143">
        <f t="shared" si="7"/>
        <v>6155.4123593073173</v>
      </c>
      <c r="H83" s="143">
        <f t="shared" si="5"/>
        <v>2348.3825478713234</v>
      </c>
      <c r="I83" s="144">
        <f t="shared" si="6"/>
        <v>1228734.0893135923</v>
      </c>
      <c r="J83" s="147"/>
    </row>
    <row r="84" spans="3:10">
      <c r="C84" s="39"/>
      <c r="D84" s="57">
        <v>68</v>
      </c>
      <c r="E84" s="143">
        <f t="shared" si="4"/>
        <v>1228734.0893135923</v>
      </c>
      <c r="F84" s="143">
        <f t="shared" si="3"/>
        <v>8503.7949071786406</v>
      </c>
      <c r="G84" s="143">
        <f t="shared" si="7"/>
        <v>6143.6704465679613</v>
      </c>
      <c r="H84" s="143">
        <f t="shared" si="5"/>
        <v>2360.1244606106793</v>
      </c>
      <c r="I84" s="144">
        <f t="shared" si="6"/>
        <v>1226373.9648529815</v>
      </c>
    </row>
    <row r="85" spans="3:10">
      <c r="C85" s="39"/>
      <c r="D85" s="57">
        <v>69</v>
      </c>
      <c r="E85" s="143">
        <f t="shared" si="4"/>
        <v>1226373.9648529815</v>
      </c>
      <c r="F85" s="143">
        <f t="shared" ref="F85:F148" si="8">IF(D85&gt;$D$10,0,IF(D85&lt;=$D$8,G85,-PMT($D$6/12,$D$9,$D$5,0,0)))</f>
        <v>8503.7949071786406</v>
      </c>
      <c r="G85" s="143">
        <f t="shared" si="7"/>
        <v>6131.8698242649079</v>
      </c>
      <c r="H85" s="143">
        <f t="shared" si="5"/>
        <v>2371.9250829137327</v>
      </c>
      <c r="I85" s="144">
        <f t="shared" si="6"/>
        <v>1224002.0397700677</v>
      </c>
    </row>
    <row r="86" spans="3:10">
      <c r="C86" s="39"/>
      <c r="D86" s="57">
        <v>70</v>
      </c>
      <c r="E86" s="143">
        <f t="shared" ref="E86:E149" si="9">IF(D86&gt;$D$10,0,I85)</f>
        <v>1224002.0397700677</v>
      </c>
      <c r="F86" s="143">
        <f t="shared" si="8"/>
        <v>8503.7949071786406</v>
      </c>
      <c r="G86" s="143">
        <f t="shared" si="7"/>
        <v>6120.0101988503384</v>
      </c>
      <c r="H86" s="143">
        <f t="shared" si="5"/>
        <v>2383.7847083283023</v>
      </c>
      <c r="I86" s="144">
        <f t="shared" si="6"/>
        <v>1221618.2550617394</v>
      </c>
    </row>
    <row r="87" spans="3:10">
      <c r="C87" s="39"/>
      <c r="D87" s="57">
        <v>71</v>
      </c>
      <c r="E87" s="143">
        <f t="shared" si="9"/>
        <v>1221618.2550617394</v>
      </c>
      <c r="F87" s="143">
        <f t="shared" si="8"/>
        <v>8503.7949071786406</v>
      </c>
      <c r="G87" s="143">
        <f t="shared" si="7"/>
        <v>6108.0912753086968</v>
      </c>
      <c r="H87" s="143">
        <f t="shared" si="5"/>
        <v>2395.7036318699438</v>
      </c>
      <c r="I87" s="144">
        <f t="shared" si="6"/>
        <v>1219222.5514298694</v>
      </c>
    </row>
    <row r="88" spans="3:10">
      <c r="C88" s="45">
        <v>6</v>
      </c>
      <c r="D88" s="146">
        <v>72</v>
      </c>
      <c r="E88" s="143">
        <f t="shared" si="9"/>
        <v>1219222.5514298694</v>
      </c>
      <c r="F88" s="143">
        <f t="shared" si="8"/>
        <v>8503.7949071786406</v>
      </c>
      <c r="G88" s="143">
        <f t="shared" si="7"/>
        <v>6096.1127571493471</v>
      </c>
      <c r="H88" s="143">
        <f t="shared" si="5"/>
        <v>2407.6821500292936</v>
      </c>
      <c r="I88" s="144">
        <f t="shared" si="6"/>
        <v>1216814.86927984</v>
      </c>
      <c r="J88" s="147">
        <f>+SUM(H77:H88)+SUM(G77:G88)</f>
        <v>102045.53888614368</v>
      </c>
    </row>
    <row r="89" spans="3:10">
      <c r="C89" s="39"/>
      <c r="D89" s="57">
        <v>73</v>
      </c>
      <c r="E89" s="143">
        <f t="shared" si="9"/>
        <v>1216814.86927984</v>
      </c>
      <c r="F89" s="143">
        <f t="shared" si="8"/>
        <v>8503.7949071786406</v>
      </c>
      <c r="G89" s="143">
        <f t="shared" si="7"/>
        <v>6084.0743463992003</v>
      </c>
      <c r="H89" s="143">
        <f t="shared" si="5"/>
        <v>2419.7205607794403</v>
      </c>
      <c r="I89" s="144">
        <f t="shared" si="6"/>
        <v>1214395.1487190607</v>
      </c>
    </row>
    <row r="90" spans="3:10">
      <c r="C90" s="39"/>
      <c r="D90" s="57">
        <v>74</v>
      </c>
      <c r="E90" s="143">
        <f t="shared" si="9"/>
        <v>1214395.1487190607</v>
      </c>
      <c r="F90" s="143">
        <f t="shared" si="8"/>
        <v>8503.7949071786406</v>
      </c>
      <c r="G90" s="143">
        <f t="shared" si="7"/>
        <v>6071.9757435953034</v>
      </c>
      <c r="H90" s="143">
        <f t="shared" si="5"/>
        <v>2431.8191635833373</v>
      </c>
      <c r="I90" s="144">
        <f t="shared" si="6"/>
        <v>1211963.3295554772</v>
      </c>
    </row>
    <row r="91" spans="3:10">
      <c r="C91" s="39"/>
      <c r="D91" s="57">
        <v>75</v>
      </c>
      <c r="E91" s="143">
        <f t="shared" si="9"/>
        <v>1211963.3295554772</v>
      </c>
      <c r="F91" s="143">
        <f t="shared" si="8"/>
        <v>8503.7949071786406</v>
      </c>
      <c r="G91" s="143">
        <f t="shared" si="7"/>
        <v>6059.8166477773866</v>
      </c>
      <c r="H91" s="143">
        <f t="shared" si="5"/>
        <v>2443.978259401254</v>
      </c>
      <c r="I91" s="144">
        <f t="shared" si="6"/>
        <v>1209519.3512960761</v>
      </c>
    </row>
    <row r="92" spans="3:10">
      <c r="C92" s="39"/>
      <c r="D92" s="57">
        <v>76</v>
      </c>
      <c r="E92" s="143">
        <f t="shared" si="9"/>
        <v>1209519.3512960761</v>
      </c>
      <c r="F92" s="143">
        <f t="shared" si="8"/>
        <v>8503.7949071786406</v>
      </c>
      <c r="G92" s="143">
        <f t="shared" si="7"/>
        <v>6047.5967564803805</v>
      </c>
      <c r="H92" s="143">
        <f t="shared" si="5"/>
        <v>2456.1981506982602</v>
      </c>
      <c r="I92" s="144">
        <f t="shared" si="6"/>
        <v>1207063.1531453778</v>
      </c>
    </row>
    <row r="93" spans="3:10">
      <c r="C93" s="39"/>
      <c r="D93" s="57">
        <v>77</v>
      </c>
      <c r="E93" s="143">
        <f t="shared" si="9"/>
        <v>1207063.1531453778</v>
      </c>
      <c r="F93" s="143">
        <f t="shared" si="8"/>
        <v>8503.7949071786406</v>
      </c>
      <c r="G93" s="143">
        <f t="shared" si="7"/>
        <v>6035.3157657268885</v>
      </c>
      <c r="H93" s="143">
        <f t="shared" si="5"/>
        <v>2468.4791414517522</v>
      </c>
      <c r="I93" s="144">
        <f t="shared" si="6"/>
        <v>1204594.6740039261</v>
      </c>
    </row>
    <row r="94" spans="3:10">
      <c r="C94" s="39"/>
      <c r="D94" s="57">
        <v>78</v>
      </c>
      <c r="E94" s="143">
        <f t="shared" si="9"/>
        <v>1204594.6740039261</v>
      </c>
      <c r="F94" s="143">
        <f t="shared" si="8"/>
        <v>8503.7949071786406</v>
      </c>
      <c r="G94" s="143">
        <f t="shared" si="7"/>
        <v>6022.9733700196302</v>
      </c>
      <c r="H94" s="143">
        <f t="shared" si="5"/>
        <v>2480.8215371590104</v>
      </c>
      <c r="I94" s="144">
        <f t="shared" si="6"/>
        <v>1202113.8524667672</v>
      </c>
    </row>
    <row r="95" spans="3:10">
      <c r="C95" s="39"/>
      <c r="D95" s="57">
        <v>79</v>
      </c>
      <c r="E95" s="143">
        <f t="shared" si="9"/>
        <v>1202113.8524667672</v>
      </c>
      <c r="F95" s="143">
        <f t="shared" si="8"/>
        <v>8503.7949071786406</v>
      </c>
      <c r="G95" s="143">
        <f t="shared" si="7"/>
        <v>6010.5692623338364</v>
      </c>
      <c r="H95" s="143">
        <f t="shared" si="5"/>
        <v>2493.2256448448043</v>
      </c>
      <c r="I95" s="144">
        <f t="shared" si="6"/>
        <v>1199620.6268219224</v>
      </c>
      <c r="J95" s="147"/>
    </row>
    <row r="96" spans="3:10">
      <c r="C96" s="39"/>
      <c r="D96" s="57">
        <v>80</v>
      </c>
      <c r="E96" s="143">
        <f t="shared" si="9"/>
        <v>1199620.6268219224</v>
      </c>
      <c r="F96" s="143">
        <f t="shared" si="8"/>
        <v>8503.7949071786406</v>
      </c>
      <c r="G96" s="143">
        <f t="shared" si="7"/>
        <v>5998.1031341096123</v>
      </c>
      <c r="H96" s="143">
        <f t="shared" si="5"/>
        <v>2505.6917730690284</v>
      </c>
      <c r="I96" s="144">
        <f t="shared" si="6"/>
        <v>1197114.9350488533</v>
      </c>
    </row>
    <row r="97" spans="3:10">
      <c r="C97" s="39"/>
      <c r="D97" s="57">
        <v>81</v>
      </c>
      <c r="E97" s="143">
        <f t="shared" si="9"/>
        <v>1197114.9350488533</v>
      </c>
      <c r="F97" s="143">
        <f t="shared" si="8"/>
        <v>8503.7949071786406</v>
      </c>
      <c r="G97" s="143">
        <f t="shared" si="7"/>
        <v>5985.5746752442665</v>
      </c>
      <c r="H97" s="143">
        <f t="shared" si="5"/>
        <v>2518.2202319343742</v>
      </c>
      <c r="I97" s="144">
        <f t="shared" si="6"/>
        <v>1194596.7148169188</v>
      </c>
    </row>
    <row r="98" spans="3:10">
      <c r="C98" s="39"/>
      <c r="D98" s="57">
        <v>82</v>
      </c>
      <c r="E98" s="143">
        <f t="shared" si="9"/>
        <v>1194596.7148169188</v>
      </c>
      <c r="F98" s="143">
        <f t="shared" si="8"/>
        <v>8503.7949071786406</v>
      </c>
      <c r="G98" s="143">
        <f t="shared" si="7"/>
        <v>5972.9835740845947</v>
      </c>
      <c r="H98" s="143">
        <f t="shared" si="5"/>
        <v>2530.8113330940459</v>
      </c>
      <c r="I98" s="144">
        <f t="shared" si="6"/>
        <v>1192065.9034838248</v>
      </c>
    </row>
    <row r="99" spans="3:10">
      <c r="C99" s="39"/>
      <c r="D99" s="57">
        <v>83</v>
      </c>
      <c r="E99" s="143">
        <f t="shared" si="9"/>
        <v>1192065.9034838248</v>
      </c>
      <c r="F99" s="143">
        <f t="shared" si="8"/>
        <v>8503.7949071786406</v>
      </c>
      <c r="G99" s="143">
        <f t="shared" si="7"/>
        <v>5960.3295174191244</v>
      </c>
      <c r="H99" s="143">
        <f t="shared" si="5"/>
        <v>2543.4653897595163</v>
      </c>
      <c r="I99" s="144">
        <f t="shared" si="6"/>
        <v>1189522.4380940653</v>
      </c>
    </row>
    <row r="100" spans="3:10">
      <c r="C100" s="45">
        <v>7</v>
      </c>
      <c r="D100" s="146">
        <v>84</v>
      </c>
      <c r="E100" s="143">
        <f t="shared" si="9"/>
        <v>1189522.4380940653</v>
      </c>
      <c r="F100" s="143">
        <f t="shared" si="8"/>
        <v>8503.7949071786406</v>
      </c>
      <c r="G100" s="143">
        <f t="shared" si="7"/>
        <v>5947.6121904703268</v>
      </c>
      <c r="H100" s="143">
        <f t="shared" si="5"/>
        <v>2556.1827167083138</v>
      </c>
      <c r="I100" s="144">
        <f t="shared" si="6"/>
        <v>1186966.2553773569</v>
      </c>
      <c r="J100" s="147">
        <f>+SUM(H89:H100)+SUM(G89:G100)</f>
        <v>102045.53888614368</v>
      </c>
    </row>
    <row r="101" spans="3:10">
      <c r="C101" s="39"/>
      <c r="D101" s="57">
        <v>85</v>
      </c>
      <c r="E101" s="143">
        <f t="shared" si="9"/>
        <v>1186966.2553773569</v>
      </c>
      <c r="F101" s="143">
        <f t="shared" si="8"/>
        <v>8503.7949071786406</v>
      </c>
      <c r="G101" s="143">
        <f t="shared" si="7"/>
        <v>5934.8312768867845</v>
      </c>
      <c r="H101" s="143">
        <f t="shared" si="5"/>
        <v>2568.9636302918561</v>
      </c>
      <c r="I101" s="144">
        <f t="shared" si="6"/>
        <v>1184397.291747065</v>
      </c>
    </row>
    <row r="102" spans="3:10">
      <c r="C102" s="39"/>
      <c r="D102" s="57">
        <v>86</v>
      </c>
      <c r="E102" s="143">
        <f t="shared" si="9"/>
        <v>1184397.291747065</v>
      </c>
      <c r="F102" s="143">
        <f t="shared" si="8"/>
        <v>8503.7949071786406</v>
      </c>
      <c r="G102" s="143">
        <f t="shared" si="7"/>
        <v>5921.986458735325</v>
      </c>
      <c r="H102" s="143">
        <f t="shared" si="5"/>
        <v>2581.8084484433157</v>
      </c>
      <c r="I102" s="144">
        <f t="shared" si="6"/>
        <v>1181815.4832986216</v>
      </c>
    </row>
    <row r="103" spans="3:10">
      <c r="C103" s="39"/>
      <c r="D103" s="57">
        <v>87</v>
      </c>
      <c r="E103" s="143">
        <f t="shared" si="9"/>
        <v>1181815.4832986216</v>
      </c>
      <c r="F103" s="143">
        <f t="shared" si="8"/>
        <v>8503.7949071786406</v>
      </c>
      <c r="G103" s="143">
        <f t="shared" si="7"/>
        <v>5909.0774164931081</v>
      </c>
      <c r="H103" s="143">
        <f t="shared" si="5"/>
        <v>2594.7174906855325</v>
      </c>
      <c r="I103" s="144">
        <f t="shared" si="6"/>
        <v>1179220.765807936</v>
      </c>
    </row>
    <row r="104" spans="3:10">
      <c r="C104" s="39"/>
      <c r="D104" s="57">
        <v>88</v>
      </c>
      <c r="E104" s="143">
        <f t="shared" si="9"/>
        <v>1179220.765807936</v>
      </c>
      <c r="F104" s="143">
        <f t="shared" si="8"/>
        <v>8503.7949071786406</v>
      </c>
      <c r="G104" s="143">
        <f t="shared" si="7"/>
        <v>5896.10382903968</v>
      </c>
      <c r="H104" s="143">
        <f t="shared" si="5"/>
        <v>2607.6910781389606</v>
      </c>
      <c r="I104" s="144">
        <f t="shared" si="6"/>
        <v>1176613.074729797</v>
      </c>
    </row>
    <row r="105" spans="3:10">
      <c r="C105" s="39"/>
      <c r="D105" s="57">
        <v>89</v>
      </c>
      <c r="E105" s="143">
        <f t="shared" si="9"/>
        <v>1176613.074729797</v>
      </c>
      <c r="F105" s="143">
        <f t="shared" si="8"/>
        <v>8503.7949071786406</v>
      </c>
      <c r="G105" s="143">
        <f t="shared" si="7"/>
        <v>5883.0653736489849</v>
      </c>
      <c r="H105" s="143">
        <f t="shared" si="5"/>
        <v>2620.7295335296558</v>
      </c>
      <c r="I105" s="144">
        <f t="shared" si="6"/>
        <v>1173992.3451962674</v>
      </c>
    </row>
    <row r="106" spans="3:10">
      <c r="C106" s="39"/>
      <c r="D106" s="57">
        <v>90</v>
      </c>
      <c r="E106" s="143">
        <f t="shared" si="9"/>
        <v>1173992.3451962674</v>
      </c>
      <c r="F106" s="143">
        <f t="shared" si="8"/>
        <v>8503.7949071786406</v>
      </c>
      <c r="G106" s="143">
        <f t="shared" si="7"/>
        <v>5869.9617259813367</v>
      </c>
      <c r="H106" s="143">
        <f t="shared" si="5"/>
        <v>2633.8331811973039</v>
      </c>
      <c r="I106" s="144">
        <f t="shared" si="6"/>
        <v>1171358.5120150701</v>
      </c>
    </row>
    <row r="107" spans="3:10">
      <c r="C107" s="39"/>
      <c r="D107" s="57">
        <v>91</v>
      </c>
      <c r="E107" s="143">
        <f t="shared" si="9"/>
        <v>1171358.5120150701</v>
      </c>
      <c r="F107" s="143">
        <f t="shared" si="8"/>
        <v>8503.7949071786406</v>
      </c>
      <c r="G107" s="143">
        <f t="shared" si="7"/>
        <v>5856.7925600753506</v>
      </c>
      <c r="H107" s="143">
        <f t="shared" si="5"/>
        <v>2647.00234710329</v>
      </c>
      <c r="I107" s="144">
        <f t="shared" si="6"/>
        <v>1168711.5096679667</v>
      </c>
    </row>
    <row r="108" spans="3:10">
      <c r="C108" s="39"/>
      <c r="D108" s="57">
        <v>92</v>
      </c>
      <c r="E108" s="143">
        <f t="shared" si="9"/>
        <v>1168711.5096679667</v>
      </c>
      <c r="F108" s="143">
        <f t="shared" si="8"/>
        <v>8503.7949071786406</v>
      </c>
      <c r="G108" s="143">
        <f t="shared" si="7"/>
        <v>5843.5575483398343</v>
      </c>
      <c r="H108" s="143">
        <f t="shared" si="5"/>
        <v>2660.2373588388064</v>
      </c>
      <c r="I108" s="144">
        <f t="shared" si="6"/>
        <v>1166051.272309128</v>
      </c>
    </row>
    <row r="109" spans="3:10">
      <c r="C109" s="39"/>
      <c r="D109" s="57">
        <v>93</v>
      </c>
      <c r="E109" s="143">
        <f t="shared" si="9"/>
        <v>1166051.272309128</v>
      </c>
      <c r="F109" s="143">
        <f t="shared" si="8"/>
        <v>8503.7949071786406</v>
      </c>
      <c r="G109" s="143">
        <f t="shared" si="7"/>
        <v>5830.2563615456402</v>
      </c>
      <c r="H109" s="143">
        <f t="shared" si="5"/>
        <v>2673.5385456330005</v>
      </c>
      <c r="I109" s="144">
        <f t="shared" si="6"/>
        <v>1163377.733763495</v>
      </c>
    </row>
    <row r="110" spans="3:10">
      <c r="C110" s="39"/>
      <c r="D110" s="57">
        <v>94</v>
      </c>
      <c r="E110" s="143">
        <f t="shared" si="9"/>
        <v>1163377.733763495</v>
      </c>
      <c r="F110" s="143">
        <f t="shared" si="8"/>
        <v>8503.7949071786406</v>
      </c>
      <c r="G110" s="143">
        <f t="shared" si="7"/>
        <v>5816.8886688174753</v>
      </c>
      <c r="H110" s="143">
        <f t="shared" si="5"/>
        <v>2686.9062383611654</v>
      </c>
      <c r="I110" s="144">
        <f t="shared" si="6"/>
        <v>1160690.8275251337</v>
      </c>
    </row>
    <row r="111" spans="3:10">
      <c r="C111" s="39"/>
      <c r="D111" s="57">
        <v>95</v>
      </c>
      <c r="E111" s="143">
        <f t="shared" si="9"/>
        <v>1160690.8275251337</v>
      </c>
      <c r="F111" s="143">
        <f t="shared" si="8"/>
        <v>8503.7949071786406</v>
      </c>
      <c r="G111" s="143">
        <f t="shared" si="7"/>
        <v>5803.4541376256684</v>
      </c>
      <c r="H111" s="143">
        <f t="shared" si="5"/>
        <v>2700.3407695529722</v>
      </c>
      <c r="I111" s="144">
        <f t="shared" si="6"/>
        <v>1157990.4867555809</v>
      </c>
    </row>
    <row r="112" spans="3:10">
      <c r="C112" s="45">
        <v>8</v>
      </c>
      <c r="D112" s="146">
        <v>96</v>
      </c>
      <c r="E112" s="143">
        <f t="shared" si="9"/>
        <v>1157990.4867555809</v>
      </c>
      <c r="F112" s="143">
        <f t="shared" si="8"/>
        <v>8503.7949071786406</v>
      </c>
      <c r="G112" s="143">
        <f t="shared" si="7"/>
        <v>5789.9524337779048</v>
      </c>
      <c r="H112" s="143">
        <f t="shared" si="5"/>
        <v>2713.8424734007358</v>
      </c>
      <c r="I112" s="144">
        <f t="shared" si="6"/>
        <v>1155276.6442821801</v>
      </c>
      <c r="J112" s="147">
        <f>+SUM(H101:H112)+SUM(G101:G112)</f>
        <v>102045.53888614368</v>
      </c>
    </row>
    <row r="113" spans="3:10">
      <c r="C113" s="39"/>
      <c r="D113" s="57">
        <v>97</v>
      </c>
      <c r="E113" s="143">
        <f t="shared" si="9"/>
        <v>1155276.6442821801</v>
      </c>
      <c r="F113" s="143">
        <f t="shared" si="8"/>
        <v>8503.7949071786406</v>
      </c>
      <c r="G113" s="143">
        <f t="shared" si="7"/>
        <v>5776.3832214109007</v>
      </c>
      <c r="H113" s="143">
        <f t="shared" si="5"/>
        <v>2727.41168576774</v>
      </c>
      <c r="I113" s="144">
        <f t="shared" si="6"/>
        <v>1152549.2325964123</v>
      </c>
    </row>
    <row r="114" spans="3:10">
      <c r="C114" s="39"/>
      <c r="D114" s="57">
        <v>98</v>
      </c>
      <c r="E114" s="143">
        <f t="shared" si="9"/>
        <v>1152549.2325964123</v>
      </c>
      <c r="F114" s="143">
        <f t="shared" si="8"/>
        <v>8503.7949071786406</v>
      </c>
      <c r="G114" s="143">
        <f t="shared" si="7"/>
        <v>5762.7461629820618</v>
      </c>
      <c r="H114" s="143">
        <f t="shared" si="5"/>
        <v>2741.0487441965788</v>
      </c>
      <c r="I114" s="144">
        <f t="shared" si="6"/>
        <v>1149808.1838522158</v>
      </c>
    </row>
    <row r="115" spans="3:10">
      <c r="C115" s="39"/>
      <c r="D115" s="57">
        <v>99</v>
      </c>
      <c r="E115" s="143">
        <f t="shared" si="9"/>
        <v>1149808.1838522158</v>
      </c>
      <c r="F115" s="143">
        <f t="shared" si="8"/>
        <v>8503.7949071786406</v>
      </c>
      <c r="G115" s="143">
        <f t="shared" si="7"/>
        <v>5749.0409192610787</v>
      </c>
      <c r="H115" s="143">
        <f t="shared" si="5"/>
        <v>2754.753987917562</v>
      </c>
      <c r="I115" s="144">
        <f t="shared" si="6"/>
        <v>1147053.4298642981</v>
      </c>
    </row>
    <row r="116" spans="3:10">
      <c r="C116" s="39"/>
      <c r="D116" s="57">
        <v>100</v>
      </c>
      <c r="E116" s="143">
        <f t="shared" si="9"/>
        <v>1147053.4298642981</v>
      </c>
      <c r="F116" s="143">
        <f t="shared" si="8"/>
        <v>8503.7949071786406</v>
      </c>
      <c r="G116" s="143">
        <f t="shared" si="7"/>
        <v>5735.2671493214903</v>
      </c>
      <c r="H116" s="143">
        <f t="shared" si="5"/>
        <v>2768.5277578571504</v>
      </c>
      <c r="I116" s="144">
        <f t="shared" si="6"/>
        <v>1144284.9021064409</v>
      </c>
    </row>
    <row r="117" spans="3:10">
      <c r="C117" s="39"/>
      <c r="D117" s="57">
        <v>101</v>
      </c>
      <c r="E117" s="143">
        <f t="shared" si="9"/>
        <v>1144284.9021064409</v>
      </c>
      <c r="F117" s="143">
        <f t="shared" si="8"/>
        <v>8503.7949071786406</v>
      </c>
      <c r="G117" s="143">
        <f t="shared" si="7"/>
        <v>5721.4245105322043</v>
      </c>
      <c r="H117" s="143">
        <f t="shared" si="5"/>
        <v>2782.3703966464363</v>
      </c>
      <c r="I117" s="144">
        <f t="shared" si="6"/>
        <v>1141502.5317097944</v>
      </c>
    </row>
    <row r="118" spans="3:10">
      <c r="C118" s="39"/>
      <c r="D118" s="57">
        <v>102</v>
      </c>
      <c r="E118" s="143">
        <f t="shared" si="9"/>
        <v>1141502.5317097944</v>
      </c>
      <c r="F118" s="143">
        <f t="shared" si="8"/>
        <v>8503.7949071786406</v>
      </c>
      <c r="G118" s="143">
        <f t="shared" si="7"/>
        <v>5707.5126585489725</v>
      </c>
      <c r="H118" s="143">
        <f t="shared" si="5"/>
        <v>2796.2822486296682</v>
      </c>
      <c r="I118" s="144">
        <f t="shared" si="6"/>
        <v>1138706.2494611647</v>
      </c>
    </row>
    <row r="119" spans="3:10">
      <c r="C119" s="39"/>
      <c r="D119" s="57">
        <v>103</v>
      </c>
      <c r="E119" s="143">
        <f t="shared" si="9"/>
        <v>1138706.2494611647</v>
      </c>
      <c r="F119" s="143">
        <f t="shared" si="8"/>
        <v>8503.7949071786406</v>
      </c>
      <c r="G119" s="143">
        <f t="shared" si="7"/>
        <v>5693.5312473058239</v>
      </c>
      <c r="H119" s="143">
        <f t="shared" si="5"/>
        <v>2810.2636598728168</v>
      </c>
      <c r="I119" s="144">
        <f t="shared" si="6"/>
        <v>1135895.9858012919</v>
      </c>
    </row>
    <row r="120" spans="3:10">
      <c r="C120" s="39"/>
      <c r="D120" s="57">
        <v>104</v>
      </c>
      <c r="E120" s="143">
        <f t="shared" si="9"/>
        <v>1135895.9858012919</v>
      </c>
      <c r="F120" s="143">
        <f t="shared" si="8"/>
        <v>8503.7949071786406</v>
      </c>
      <c r="G120" s="143">
        <f t="shared" si="7"/>
        <v>5679.4799290064593</v>
      </c>
      <c r="H120" s="143">
        <f t="shared" si="5"/>
        <v>2824.3149781721813</v>
      </c>
      <c r="I120" s="144">
        <f t="shared" si="6"/>
        <v>1133071.6708231198</v>
      </c>
    </row>
    <row r="121" spans="3:10">
      <c r="C121" s="39"/>
      <c r="D121" s="57">
        <v>105</v>
      </c>
      <c r="E121" s="143">
        <f t="shared" si="9"/>
        <v>1133071.6708231198</v>
      </c>
      <c r="F121" s="143">
        <f t="shared" si="8"/>
        <v>8503.7949071786406</v>
      </c>
      <c r="G121" s="143">
        <f t="shared" si="7"/>
        <v>5665.3583541155995</v>
      </c>
      <c r="H121" s="143">
        <f t="shared" si="5"/>
        <v>2838.4365530630412</v>
      </c>
      <c r="I121" s="144">
        <f t="shared" si="6"/>
        <v>1130233.2342700567</v>
      </c>
    </row>
    <row r="122" spans="3:10">
      <c r="C122" s="39"/>
      <c r="D122" s="57">
        <v>106</v>
      </c>
      <c r="E122" s="143">
        <f t="shared" si="9"/>
        <v>1130233.2342700567</v>
      </c>
      <c r="F122" s="143">
        <f t="shared" si="8"/>
        <v>8503.7949071786406</v>
      </c>
      <c r="G122" s="143">
        <f t="shared" si="7"/>
        <v>5651.1661713502835</v>
      </c>
      <c r="H122" s="143">
        <f t="shared" si="5"/>
        <v>2852.6287358283571</v>
      </c>
      <c r="I122" s="144">
        <f t="shared" si="6"/>
        <v>1127380.6055342283</v>
      </c>
    </row>
    <row r="123" spans="3:10">
      <c r="C123" s="39"/>
      <c r="D123" s="57">
        <v>107</v>
      </c>
      <c r="E123" s="143">
        <f t="shared" si="9"/>
        <v>1127380.6055342283</v>
      </c>
      <c r="F123" s="143">
        <f t="shared" si="8"/>
        <v>8503.7949071786406</v>
      </c>
      <c r="G123" s="143">
        <f t="shared" si="7"/>
        <v>5636.903027671141</v>
      </c>
      <c r="H123" s="143">
        <f t="shared" si="5"/>
        <v>2866.8918795074997</v>
      </c>
      <c r="I123" s="144">
        <f t="shared" si="6"/>
        <v>1124513.7136547207</v>
      </c>
    </row>
    <row r="124" spans="3:10">
      <c r="C124" s="45">
        <v>9</v>
      </c>
      <c r="D124" s="146">
        <v>108</v>
      </c>
      <c r="E124" s="143">
        <f t="shared" si="9"/>
        <v>1124513.7136547207</v>
      </c>
      <c r="F124" s="143">
        <f t="shared" si="8"/>
        <v>8503.7949071786406</v>
      </c>
      <c r="G124" s="143">
        <f t="shared" si="7"/>
        <v>5622.5685682736039</v>
      </c>
      <c r="H124" s="143">
        <f t="shared" si="5"/>
        <v>2881.2263389050368</v>
      </c>
      <c r="I124" s="144">
        <f t="shared" si="6"/>
        <v>1121632.4873158156</v>
      </c>
      <c r="J124" s="147">
        <f>+SUM(H113:H124)+SUM(G113:G124)</f>
        <v>102045.53888614369</v>
      </c>
    </row>
    <row r="125" spans="3:10">
      <c r="C125" s="39"/>
      <c r="D125" s="57">
        <v>109</v>
      </c>
      <c r="E125" s="143">
        <f t="shared" si="9"/>
        <v>1121632.4873158156</v>
      </c>
      <c r="F125" s="143">
        <f t="shared" si="8"/>
        <v>8503.7949071786406</v>
      </c>
      <c r="G125" s="143">
        <f t="shared" si="7"/>
        <v>5608.1624365790785</v>
      </c>
      <c r="H125" s="143">
        <f t="shared" si="5"/>
        <v>2895.6324705995621</v>
      </c>
      <c r="I125" s="144">
        <f t="shared" si="6"/>
        <v>1118736.854845216</v>
      </c>
    </row>
    <row r="126" spans="3:10">
      <c r="C126" s="39"/>
      <c r="D126" s="57">
        <v>110</v>
      </c>
      <c r="E126" s="143">
        <f t="shared" si="9"/>
        <v>1118736.854845216</v>
      </c>
      <c r="F126" s="143">
        <f t="shared" si="8"/>
        <v>8503.7949071786406</v>
      </c>
      <c r="G126" s="143">
        <f t="shared" si="7"/>
        <v>5593.6842742260806</v>
      </c>
      <c r="H126" s="143">
        <f t="shared" si="5"/>
        <v>2910.1106329525601</v>
      </c>
      <c r="I126" s="144">
        <f t="shared" si="6"/>
        <v>1115826.7442122635</v>
      </c>
    </row>
    <row r="127" spans="3:10">
      <c r="C127" s="39"/>
      <c r="D127" s="57">
        <v>111</v>
      </c>
      <c r="E127" s="143">
        <f t="shared" si="9"/>
        <v>1115826.7442122635</v>
      </c>
      <c r="F127" s="143">
        <f t="shared" si="8"/>
        <v>8503.7949071786406</v>
      </c>
      <c r="G127" s="143">
        <f t="shared" si="7"/>
        <v>5579.1337210613174</v>
      </c>
      <c r="H127" s="143">
        <f t="shared" si="5"/>
        <v>2924.6611861173233</v>
      </c>
      <c r="I127" s="144">
        <f t="shared" si="6"/>
        <v>1112902.0830261463</v>
      </c>
    </row>
    <row r="128" spans="3:10">
      <c r="C128" s="39"/>
      <c r="D128" s="57">
        <v>112</v>
      </c>
      <c r="E128" s="143">
        <f t="shared" si="9"/>
        <v>1112902.0830261463</v>
      </c>
      <c r="F128" s="143">
        <f t="shared" si="8"/>
        <v>8503.7949071786406</v>
      </c>
      <c r="G128" s="143">
        <f t="shared" si="7"/>
        <v>5564.5104151307314</v>
      </c>
      <c r="H128" s="143">
        <f t="shared" si="5"/>
        <v>2939.2844920479092</v>
      </c>
      <c r="I128" s="144">
        <f t="shared" si="6"/>
        <v>1109962.7985340983</v>
      </c>
    </row>
    <row r="129" spans="3:10">
      <c r="C129" s="39"/>
      <c r="D129" s="57">
        <v>113</v>
      </c>
      <c r="E129" s="143">
        <f t="shared" si="9"/>
        <v>1109962.7985340983</v>
      </c>
      <c r="F129" s="143">
        <f t="shared" si="8"/>
        <v>8503.7949071786406</v>
      </c>
      <c r="G129" s="143">
        <f t="shared" si="7"/>
        <v>5549.8139926704916</v>
      </c>
      <c r="H129" s="143">
        <f t="shared" si="5"/>
        <v>2953.980914508149</v>
      </c>
      <c r="I129" s="144">
        <f t="shared" si="6"/>
        <v>1107008.8176195901</v>
      </c>
    </row>
    <row r="130" spans="3:10">
      <c r="C130" s="39"/>
      <c r="D130" s="57">
        <v>114</v>
      </c>
      <c r="E130" s="143">
        <f t="shared" si="9"/>
        <v>1107008.8176195901</v>
      </c>
      <c r="F130" s="143">
        <f t="shared" si="8"/>
        <v>8503.7949071786406</v>
      </c>
      <c r="G130" s="143">
        <f t="shared" si="7"/>
        <v>5535.0440880979504</v>
      </c>
      <c r="H130" s="143">
        <f t="shared" si="5"/>
        <v>2968.7508190806902</v>
      </c>
      <c r="I130" s="144">
        <f t="shared" si="6"/>
        <v>1104040.0668005093</v>
      </c>
    </row>
    <row r="131" spans="3:10">
      <c r="C131" s="39"/>
      <c r="D131" s="57">
        <v>115</v>
      </c>
      <c r="E131" s="143">
        <f t="shared" si="9"/>
        <v>1104040.0668005093</v>
      </c>
      <c r="F131" s="143">
        <f t="shared" si="8"/>
        <v>8503.7949071786406</v>
      </c>
      <c r="G131" s="143">
        <f t="shared" si="7"/>
        <v>5520.2003340025467</v>
      </c>
      <c r="H131" s="143">
        <f t="shared" si="5"/>
        <v>2983.5945731760939</v>
      </c>
      <c r="I131" s="144">
        <f t="shared" si="6"/>
        <v>1101056.4722273333</v>
      </c>
    </row>
    <row r="132" spans="3:10">
      <c r="C132" s="39"/>
      <c r="D132" s="57">
        <v>116</v>
      </c>
      <c r="E132" s="143">
        <f t="shared" si="9"/>
        <v>1101056.4722273333</v>
      </c>
      <c r="F132" s="143">
        <f t="shared" si="8"/>
        <v>8503.7949071786406</v>
      </c>
      <c r="G132" s="143">
        <f t="shared" si="7"/>
        <v>5505.2823611366666</v>
      </c>
      <c r="H132" s="143">
        <f t="shared" si="5"/>
        <v>2998.512546041974</v>
      </c>
      <c r="I132" s="144">
        <f t="shared" si="6"/>
        <v>1098057.9596812914</v>
      </c>
    </row>
    <row r="133" spans="3:10">
      <c r="C133" s="39"/>
      <c r="D133" s="57">
        <v>117</v>
      </c>
      <c r="E133" s="143">
        <f t="shared" si="9"/>
        <v>1098057.9596812914</v>
      </c>
      <c r="F133" s="143">
        <f t="shared" si="8"/>
        <v>8503.7949071786406</v>
      </c>
      <c r="G133" s="143">
        <f t="shared" si="7"/>
        <v>5490.2897984064566</v>
      </c>
      <c r="H133" s="143">
        <f t="shared" si="5"/>
        <v>3013.505108772184</v>
      </c>
      <c r="I133" s="144">
        <f t="shared" si="6"/>
        <v>1095044.4545725193</v>
      </c>
    </row>
    <row r="134" spans="3:10">
      <c r="C134" s="39"/>
      <c r="D134" s="57">
        <v>118</v>
      </c>
      <c r="E134" s="143">
        <f t="shared" si="9"/>
        <v>1095044.4545725193</v>
      </c>
      <c r="F134" s="143">
        <f t="shared" si="8"/>
        <v>8503.7949071786406</v>
      </c>
      <c r="G134" s="143">
        <f t="shared" si="7"/>
        <v>5475.2222728625966</v>
      </c>
      <c r="H134" s="143">
        <f t="shared" si="5"/>
        <v>3028.5726343160441</v>
      </c>
      <c r="I134" s="144">
        <f t="shared" si="6"/>
        <v>1092015.8819382032</v>
      </c>
    </row>
    <row r="135" spans="3:10">
      <c r="C135" s="39"/>
      <c r="D135" s="57">
        <v>119</v>
      </c>
      <c r="E135" s="143">
        <f t="shared" si="9"/>
        <v>1092015.8819382032</v>
      </c>
      <c r="F135" s="143">
        <f t="shared" si="8"/>
        <v>8503.7949071786406</v>
      </c>
      <c r="G135" s="143">
        <f t="shared" si="7"/>
        <v>5460.0794096910167</v>
      </c>
      <c r="H135" s="143">
        <f t="shared" si="5"/>
        <v>3043.7154974876239</v>
      </c>
      <c r="I135" s="144">
        <f t="shared" si="6"/>
        <v>1088972.1664407155</v>
      </c>
    </row>
    <row r="136" spans="3:10">
      <c r="C136" s="45">
        <v>10</v>
      </c>
      <c r="D136" s="146">
        <v>120</v>
      </c>
      <c r="E136" s="143">
        <f t="shared" si="9"/>
        <v>1088972.1664407155</v>
      </c>
      <c r="F136" s="143">
        <f t="shared" si="8"/>
        <v>8503.7949071786406</v>
      </c>
      <c r="G136" s="143">
        <f t="shared" si="7"/>
        <v>5444.860832203578</v>
      </c>
      <c r="H136" s="143">
        <f t="shared" si="5"/>
        <v>3058.9340749750627</v>
      </c>
      <c r="I136" s="144">
        <f t="shared" si="6"/>
        <v>1085913.2323657405</v>
      </c>
      <c r="J136" s="147">
        <f>+SUM(H125:H136)+SUM(G125:G136)</f>
        <v>102045.53888614369</v>
      </c>
    </row>
    <row r="137" spans="3:10">
      <c r="C137" s="39"/>
      <c r="D137" s="57">
        <v>121</v>
      </c>
      <c r="E137" s="143">
        <f t="shared" si="9"/>
        <v>1085913.2323657405</v>
      </c>
      <c r="F137" s="143">
        <f t="shared" si="8"/>
        <v>8503.7949071786406</v>
      </c>
      <c r="G137" s="143">
        <f t="shared" si="7"/>
        <v>5429.5661618287022</v>
      </c>
      <c r="H137" s="143">
        <f t="shared" si="5"/>
        <v>3074.2287453499384</v>
      </c>
      <c r="I137" s="144">
        <f t="shared" si="6"/>
        <v>1082839.0036203905</v>
      </c>
    </row>
    <row r="138" spans="3:10">
      <c r="C138" s="39"/>
      <c r="D138" s="57">
        <v>122</v>
      </c>
      <c r="E138" s="143">
        <f t="shared" si="9"/>
        <v>1082839.0036203905</v>
      </c>
      <c r="F138" s="143">
        <f t="shared" si="8"/>
        <v>8503.7949071786406</v>
      </c>
      <c r="G138" s="143">
        <f t="shared" si="7"/>
        <v>5414.1950181019529</v>
      </c>
      <c r="H138" s="143">
        <f t="shared" si="5"/>
        <v>3089.5998890766878</v>
      </c>
      <c r="I138" s="144">
        <f t="shared" si="6"/>
        <v>1079749.4037313138</v>
      </c>
    </row>
    <row r="139" spans="3:10">
      <c r="C139" s="39"/>
      <c r="D139" s="57">
        <v>123</v>
      </c>
      <c r="E139" s="143">
        <f t="shared" si="9"/>
        <v>1079749.4037313138</v>
      </c>
      <c r="F139" s="143">
        <f t="shared" si="8"/>
        <v>8503.7949071786406</v>
      </c>
      <c r="G139" s="143">
        <f t="shared" si="7"/>
        <v>5398.7470186565688</v>
      </c>
      <c r="H139" s="143">
        <f t="shared" si="5"/>
        <v>3105.0478885220718</v>
      </c>
      <c r="I139" s="144">
        <f t="shared" si="6"/>
        <v>1076644.3558427917</v>
      </c>
    </row>
    <row r="140" spans="3:10">
      <c r="C140" s="39"/>
      <c r="D140" s="57">
        <v>124</v>
      </c>
      <c r="E140" s="143">
        <f t="shared" si="9"/>
        <v>1076644.3558427917</v>
      </c>
      <c r="F140" s="143">
        <f t="shared" si="8"/>
        <v>8503.7949071786406</v>
      </c>
      <c r="G140" s="143">
        <f t="shared" si="7"/>
        <v>5383.2217792139591</v>
      </c>
      <c r="H140" s="143">
        <f t="shared" si="5"/>
        <v>3120.5731279646816</v>
      </c>
      <c r="I140" s="144">
        <f t="shared" si="6"/>
        <v>1073523.782714827</v>
      </c>
    </row>
    <row r="141" spans="3:10">
      <c r="C141" s="39"/>
      <c r="D141" s="57">
        <v>125</v>
      </c>
      <c r="E141" s="143">
        <f t="shared" si="9"/>
        <v>1073523.782714827</v>
      </c>
      <c r="F141" s="143">
        <f t="shared" si="8"/>
        <v>8503.7949071786406</v>
      </c>
      <c r="G141" s="143">
        <f t="shared" si="7"/>
        <v>5367.6189135741351</v>
      </c>
      <c r="H141" s="143">
        <f t="shared" si="5"/>
        <v>3136.1759936045055</v>
      </c>
      <c r="I141" s="144">
        <f t="shared" si="6"/>
        <v>1070387.6067212224</v>
      </c>
    </row>
    <row r="142" spans="3:10">
      <c r="C142" s="39"/>
      <c r="D142" s="57">
        <v>126</v>
      </c>
      <c r="E142" s="143">
        <f t="shared" si="9"/>
        <v>1070387.6067212224</v>
      </c>
      <c r="F142" s="143">
        <f t="shared" si="8"/>
        <v>8503.7949071786406</v>
      </c>
      <c r="G142" s="143">
        <f t="shared" si="7"/>
        <v>5351.9380336061122</v>
      </c>
      <c r="H142" s="143">
        <f t="shared" si="5"/>
        <v>3151.8568735725285</v>
      </c>
      <c r="I142" s="144">
        <f t="shared" si="6"/>
        <v>1067235.7498476498</v>
      </c>
    </row>
    <row r="143" spans="3:10">
      <c r="C143" s="39"/>
      <c r="D143" s="57">
        <v>127</v>
      </c>
      <c r="E143" s="143">
        <f t="shared" si="9"/>
        <v>1067235.7498476498</v>
      </c>
      <c r="F143" s="143">
        <f t="shared" si="8"/>
        <v>8503.7949071786406</v>
      </c>
      <c r="G143" s="143">
        <f t="shared" si="7"/>
        <v>5336.1787492382491</v>
      </c>
      <c r="H143" s="143">
        <f t="shared" si="5"/>
        <v>3167.6161579403915</v>
      </c>
      <c r="I143" s="144">
        <f t="shared" si="6"/>
        <v>1064068.1336897095</v>
      </c>
    </row>
    <row r="144" spans="3:10">
      <c r="C144" s="39"/>
      <c r="D144" s="57">
        <v>128</v>
      </c>
      <c r="E144" s="143">
        <f t="shared" si="9"/>
        <v>1064068.1336897095</v>
      </c>
      <c r="F144" s="143">
        <f t="shared" si="8"/>
        <v>8503.7949071786406</v>
      </c>
      <c r="G144" s="143">
        <f t="shared" si="7"/>
        <v>5320.3406684485471</v>
      </c>
      <c r="H144" s="143">
        <f t="shared" si="5"/>
        <v>3183.4542387300935</v>
      </c>
      <c r="I144" s="144">
        <f t="shared" si="6"/>
        <v>1060884.6794509795</v>
      </c>
    </row>
    <row r="145" spans="3:10">
      <c r="C145" s="39"/>
      <c r="D145" s="57">
        <v>129</v>
      </c>
      <c r="E145" s="143">
        <f t="shared" si="9"/>
        <v>1060884.6794509795</v>
      </c>
      <c r="F145" s="143">
        <f t="shared" si="8"/>
        <v>8503.7949071786406</v>
      </c>
      <c r="G145" s="143">
        <f t="shared" si="7"/>
        <v>5304.4233972548973</v>
      </c>
      <c r="H145" s="143">
        <f t="shared" ref="H145:H208" si="10">F145-G145</f>
        <v>3199.3715099237434</v>
      </c>
      <c r="I145" s="144">
        <f t="shared" ref="I145:I208" si="11">E145-H145</f>
        <v>1057685.3079410556</v>
      </c>
    </row>
    <row r="146" spans="3:10">
      <c r="C146" s="39"/>
      <c r="D146" s="57">
        <v>130</v>
      </c>
      <c r="E146" s="143">
        <f t="shared" si="9"/>
        <v>1057685.3079410556</v>
      </c>
      <c r="F146" s="143">
        <f t="shared" si="8"/>
        <v>8503.7949071786406</v>
      </c>
      <c r="G146" s="143">
        <f t="shared" ref="G146:G209" si="12">IF(D146&gt;$D$10,0,($D$6/12)*I145)</f>
        <v>5288.4265397052786</v>
      </c>
      <c r="H146" s="143">
        <f t="shared" si="10"/>
        <v>3215.368367473362</v>
      </c>
      <c r="I146" s="144">
        <f t="shared" si="11"/>
        <v>1054469.9395735823</v>
      </c>
    </row>
    <row r="147" spans="3:10">
      <c r="C147" s="39"/>
      <c r="D147" s="57">
        <v>131</v>
      </c>
      <c r="E147" s="143">
        <f t="shared" si="9"/>
        <v>1054469.9395735823</v>
      </c>
      <c r="F147" s="143">
        <f t="shared" si="8"/>
        <v>8503.7949071786406</v>
      </c>
      <c r="G147" s="143">
        <f t="shared" si="12"/>
        <v>5272.3496978679113</v>
      </c>
      <c r="H147" s="143">
        <f t="shared" si="10"/>
        <v>3231.4452093107293</v>
      </c>
      <c r="I147" s="144">
        <f t="shared" si="11"/>
        <v>1051238.4943642716</v>
      </c>
    </row>
    <row r="148" spans="3:10">
      <c r="C148" s="45">
        <v>11</v>
      </c>
      <c r="D148" s="146">
        <v>132</v>
      </c>
      <c r="E148" s="143">
        <f t="shared" si="9"/>
        <v>1051238.4943642716</v>
      </c>
      <c r="F148" s="143">
        <f t="shared" si="8"/>
        <v>8503.7949071786406</v>
      </c>
      <c r="G148" s="143">
        <f t="shared" si="12"/>
        <v>5256.1924718213586</v>
      </c>
      <c r="H148" s="143">
        <f t="shared" si="10"/>
        <v>3247.602435357282</v>
      </c>
      <c r="I148" s="144">
        <f t="shared" si="11"/>
        <v>1047990.8919289144</v>
      </c>
      <c r="J148" s="147">
        <f>+SUM(H137:H148)+SUM(G137:G148)</f>
        <v>102045.53888614368</v>
      </c>
    </row>
    <row r="149" spans="3:10">
      <c r="C149" s="39"/>
      <c r="D149" s="57">
        <v>133</v>
      </c>
      <c r="E149" s="143">
        <f t="shared" si="9"/>
        <v>1047990.8919289144</v>
      </c>
      <c r="F149" s="143">
        <f t="shared" ref="F149:F212" si="13">IF(D149&gt;$D$10,0,IF(D149&lt;=$D$8,G149,-PMT($D$6/12,$D$9,$D$5,0,0)))</f>
        <v>8503.7949071786406</v>
      </c>
      <c r="G149" s="143">
        <f t="shared" si="12"/>
        <v>5239.9544596445721</v>
      </c>
      <c r="H149" s="143">
        <f t="shared" si="10"/>
        <v>3263.8404475340685</v>
      </c>
      <c r="I149" s="144">
        <f t="shared" si="11"/>
        <v>1044727.0514813802</v>
      </c>
    </row>
    <row r="150" spans="3:10">
      <c r="C150" s="39"/>
      <c r="D150" s="57">
        <v>134</v>
      </c>
      <c r="E150" s="143">
        <f t="shared" ref="E150:E213" si="14">IF(D150&gt;$D$10,0,I149)</f>
        <v>1044727.0514813802</v>
      </c>
      <c r="F150" s="143">
        <f t="shared" si="13"/>
        <v>8503.7949071786406</v>
      </c>
      <c r="G150" s="143">
        <f t="shared" si="12"/>
        <v>5223.6352574069015</v>
      </c>
      <c r="H150" s="143">
        <f t="shared" si="10"/>
        <v>3280.1596497717392</v>
      </c>
      <c r="I150" s="144">
        <f t="shared" si="11"/>
        <v>1041446.8918316085</v>
      </c>
    </row>
    <row r="151" spans="3:10">
      <c r="C151" s="39"/>
      <c r="D151" s="57">
        <v>135</v>
      </c>
      <c r="E151" s="143">
        <f t="shared" si="14"/>
        <v>1041446.8918316085</v>
      </c>
      <c r="F151" s="143">
        <f t="shared" si="13"/>
        <v>8503.7949071786406</v>
      </c>
      <c r="G151" s="143">
        <f t="shared" si="12"/>
        <v>5207.2344591580422</v>
      </c>
      <c r="H151" s="143">
        <f t="shared" si="10"/>
        <v>3296.5604480205984</v>
      </c>
      <c r="I151" s="144">
        <f t="shared" si="11"/>
        <v>1038150.3313835879</v>
      </c>
    </row>
    <row r="152" spans="3:10">
      <c r="C152" s="39"/>
      <c r="D152" s="57">
        <v>136</v>
      </c>
      <c r="E152" s="143">
        <f t="shared" si="14"/>
        <v>1038150.3313835879</v>
      </c>
      <c r="F152" s="143">
        <f t="shared" si="13"/>
        <v>8503.7949071786406</v>
      </c>
      <c r="G152" s="143">
        <f t="shared" si="12"/>
        <v>5190.7516569179397</v>
      </c>
      <c r="H152" s="143">
        <f t="shared" si="10"/>
        <v>3313.0432502607009</v>
      </c>
      <c r="I152" s="144">
        <f t="shared" si="11"/>
        <v>1034837.2881333272</v>
      </c>
    </row>
    <row r="153" spans="3:10">
      <c r="C153" s="39"/>
      <c r="D153" s="57">
        <v>137</v>
      </c>
      <c r="E153" s="143">
        <f t="shared" si="14"/>
        <v>1034837.2881333272</v>
      </c>
      <c r="F153" s="143">
        <f t="shared" si="13"/>
        <v>8503.7949071786406</v>
      </c>
      <c r="G153" s="143">
        <f t="shared" si="12"/>
        <v>5174.1864406666355</v>
      </c>
      <c r="H153" s="143">
        <f t="shared" si="10"/>
        <v>3329.6084665120052</v>
      </c>
      <c r="I153" s="144">
        <f t="shared" si="11"/>
        <v>1031507.6796668151</v>
      </c>
    </row>
    <row r="154" spans="3:10">
      <c r="C154" s="39"/>
      <c r="D154" s="57">
        <v>138</v>
      </c>
      <c r="E154" s="143">
        <f t="shared" si="14"/>
        <v>1031507.6796668151</v>
      </c>
      <c r="F154" s="143">
        <f t="shared" si="13"/>
        <v>8503.7949071786406</v>
      </c>
      <c r="G154" s="143">
        <f t="shared" si="12"/>
        <v>5157.5383983340753</v>
      </c>
      <c r="H154" s="143">
        <f t="shared" si="10"/>
        <v>3346.2565088445654</v>
      </c>
      <c r="I154" s="144">
        <f t="shared" si="11"/>
        <v>1028161.4231579705</v>
      </c>
    </row>
    <row r="155" spans="3:10">
      <c r="C155" s="39"/>
      <c r="D155" s="57">
        <v>139</v>
      </c>
      <c r="E155" s="143">
        <f t="shared" si="14"/>
        <v>1028161.4231579705</v>
      </c>
      <c r="F155" s="143">
        <f t="shared" si="13"/>
        <v>8503.7949071786406</v>
      </c>
      <c r="G155" s="143">
        <f t="shared" si="12"/>
        <v>5140.807115789853</v>
      </c>
      <c r="H155" s="143">
        <f t="shared" si="10"/>
        <v>3362.9877913887876</v>
      </c>
      <c r="I155" s="144">
        <f t="shared" si="11"/>
        <v>1024798.4353665818</v>
      </c>
    </row>
    <row r="156" spans="3:10">
      <c r="C156" s="39"/>
      <c r="D156" s="57">
        <v>140</v>
      </c>
      <c r="E156" s="143">
        <f t="shared" si="14"/>
        <v>1024798.4353665818</v>
      </c>
      <c r="F156" s="143">
        <f t="shared" si="13"/>
        <v>8503.7949071786406</v>
      </c>
      <c r="G156" s="143">
        <f t="shared" si="12"/>
        <v>5123.9921768329086</v>
      </c>
      <c r="H156" s="143">
        <f t="shared" si="10"/>
        <v>3379.802730345732</v>
      </c>
      <c r="I156" s="144">
        <f t="shared" si="11"/>
        <v>1021418.632636236</v>
      </c>
    </row>
    <row r="157" spans="3:10">
      <c r="C157" s="39"/>
      <c r="D157" s="57">
        <v>141</v>
      </c>
      <c r="E157" s="143">
        <f t="shared" si="14"/>
        <v>1021418.632636236</v>
      </c>
      <c r="F157" s="143">
        <f t="shared" si="13"/>
        <v>8503.7949071786406</v>
      </c>
      <c r="G157" s="143">
        <f t="shared" si="12"/>
        <v>5107.09316318118</v>
      </c>
      <c r="H157" s="143">
        <f t="shared" si="10"/>
        <v>3396.7017439974607</v>
      </c>
      <c r="I157" s="144">
        <f t="shared" si="11"/>
        <v>1018021.9308922385</v>
      </c>
    </row>
    <row r="158" spans="3:10">
      <c r="C158" s="39"/>
      <c r="D158" s="57">
        <v>142</v>
      </c>
      <c r="E158" s="143">
        <f t="shared" si="14"/>
        <v>1018021.9308922385</v>
      </c>
      <c r="F158" s="143">
        <f t="shared" si="13"/>
        <v>8503.7949071786406</v>
      </c>
      <c r="G158" s="143">
        <f t="shared" si="12"/>
        <v>5090.1096544611928</v>
      </c>
      <c r="H158" s="143">
        <f t="shared" si="10"/>
        <v>3413.6852527174478</v>
      </c>
      <c r="I158" s="144">
        <f t="shared" si="11"/>
        <v>1014608.245639521</v>
      </c>
    </row>
    <row r="159" spans="3:10">
      <c r="C159" s="39"/>
      <c r="D159" s="57">
        <v>143</v>
      </c>
      <c r="E159" s="143">
        <f t="shared" si="14"/>
        <v>1014608.245639521</v>
      </c>
      <c r="F159" s="143">
        <f t="shared" si="13"/>
        <v>8503.7949071786406</v>
      </c>
      <c r="G159" s="143">
        <f t="shared" si="12"/>
        <v>5073.0412281976051</v>
      </c>
      <c r="H159" s="143">
        <f t="shared" si="10"/>
        <v>3430.7536789810356</v>
      </c>
      <c r="I159" s="144">
        <f t="shared" si="11"/>
        <v>1011177.4919605401</v>
      </c>
    </row>
    <row r="160" spans="3:10">
      <c r="C160" s="45">
        <v>12</v>
      </c>
      <c r="D160" s="146">
        <v>144</v>
      </c>
      <c r="E160" s="143">
        <f t="shared" si="14"/>
        <v>1011177.4919605401</v>
      </c>
      <c r="F160" s="143">
        <f t="shared" si="13"/>
        <v>8503.7949071786406</v>
      </c>
      <c r="G160" s="143">
        <f t="shared" si="12"/>
        <v>5055.8874598027005</v>
      </c>
      <c r="H160" s="143">
        <f t="shared" si="10"/>
        <v>3447.9074473759401</v>
      </c>
      <c r="I160" s="144">
        <f t="shared" si="11"/>
        <v>1007729.5845131641</v>
      </c>
    </row>
    <row r="161" spans="3:9">
      <c r="C161" s="39"/>
      <c r="D161" s="57">
        <v>145</v>
      </c>
      <c r="E161" s="143">
        <f t="shared" si="14"/>
        <v>1007729.5845131641</v>
      </c>
      <c r="F161" s="143">
        <f t="shared" si="13"/>
        <v>8503.7949071786406</v>
      </c>
      <c r="G161" s="143">
        <f t="shared" si="12"/>
        <v>5038.6479225658204</v>
      </c>
      <c r="H161" s="143">
        <f t="shared" si="10"/>
        <v>3465.1469846128202</v>
      </c>
      <c r="I161" s="144">
        <f t="shared" si="11"/>
        <v>1004264.4375285513</v>
      </c>
    </row>
    <row r="162" spans="3:9">
      <c r="C162" s="39"/>
      <c r="D162" s="57">
        <v>146</v>
      </c>
      <c r="E162" s="143">
        <f t="shared" si="14"/>
        <v>1004264.4375285513</v>
      </c>
      <c r="F162" s="143">
        <f t="shared" si="13"/>
        <v>8503.7949071786406</v>
      </c>
      <c r="G162" s="143">
        <f t="shared" si="12"/>
        <v>5021.3221876427569</v>
      </c>
      <c r="H162" s="143">
        <f t="shared" si="10"/>
        <v>3482.4727195358837</v>
      </c>
      <c r="I162" s="144">
        <f t="shared" si="11"/>
        <v>1000781.9648090154</v>
      </c>
    </row>
    <row r="163" spans="3:9">
      <c r="C163" s="39"/>
      <c r="D163" s="57">
        <v>147</v>
      </c>
      <c r="E163" s="143">
        <f t="shared" si="14"/>
        <v>1000781.9648090154</v>
      </c>
      <c r="F163" s="143">
        <f t="shared" si="13"/>
        <v>8503.7949071786406</v>
      </c>
      <c r="G163" s="143">
        <f t="shared" si="12"/>
        <v>5003.9098240450767</v>
      </c>
      <c r="H163" s="143">
        <f t="shared" si="10"/>
        <v>3499.885083133564</v>
      </c>
      <c r="I163" s="144">
        <f t="shared" si="11"/>
        <v>997282.07972588181</v>
      </c>
    </row>
    <row r="164" spans="3:9">
      <c r="C164" s="39"/>
      <c r="D164" s="57">
        <v>148</v>
      </c>
      <c r="E164" s="143">
        <f t="shared" si="14"/>
        <v>997282.07972588181</v>
      </c>
      <c r="F164" s="143">
        <f t="shared" si="13"/>
        <v>8503.7949071786406</v>
      </c>
      <c r="G164" s="143">
        <f t="shared" si="12"/>
        <v>4986.4103986294094</v>
      </c>
      <c r="H164" s="143">
        <f t="shared" si="10"/>
        <v>3517.3845085492312</v>
      </c>
      <c r="I164" s="144">
        <f t="shared" si="11"/>
        <v>993764.69521733257</v>
      </c>
    </row>
    <row r="165" spans="3:9">
      <c r="C165" s="39"/>
      <c r="D165" s="57">
        <v>149</v>
      </c>
      <c r="E165" s="143">
        <f t="shared" si="14"/>
        <v>993764.69521733257</v>
      </c>
      <c r="F165" s="143">
        <f t="shared" si="13"/>
        <v>8503.7949071786406</v>
      </c>
      <c r="G165" s="143">
        <f t="shared" si="12"/>
        <v>4968.8234760866626</v>
      </c>
      <c r="H165" s="143">
        <f t="shared" si="10"/>
        <v>3534.971431091978</v>
      </c>
      <c r="I165" s="144">
        <f t="shared" si="11"/>
        <v>990229.72378624056</v>
      </c>
    </row>
    <row r="166" spans="3:9">
      <c r="C166" s="39"/>
      <c r="D166" s="57">
        <v>150</v>
      </c>
      <c r="E166" s="143">
        <f t="shared" si="14"/>
        <v>990229.72378624056</v>
      </c>
      <c r="F166" s="143">
        <f t="shared" si="13"/>
        <v>8503.7949071786406</v>
      </c>
      <c r="G166" s="143">
        <f t="shared" si="12"/>
        <v>4951.1486189312027</v>
      </c>
      <c r="H166" s="143">
        <f t="shared" si="10"/>
        <v>3552.646288247438</v>
      </c>
      <c r="I166" s="144">
        <f t="shared" si="11"/>
        <v>986677.07749799313</v>
      </c>
    </row>
    <row r="167" spans="3:9">
      <c r="C167" s="39"/>
      <c r="D167" s="57">
        <v>151</v>
      </c>
      <c r="E167" s="143">
        <f t="shared" si="14"/>
        <v>986677.07749799313</v>
      </c>
      <c r="F167" s="143">
        <f t="shared" si="13"/>
        <v>8503.7949071786406</v>
      </c>
      <c r="G167" s="143">
        <f t="shared" si="12"/>
        <v>4933.385387489966</v>
      </c>
      <c r="H167" s="143">
        <f t="shared" si="10"/>
        <v>3570.4095196886747</v>
      </c>
      <c r="I167" s="144">
        <f t="shared" si="11"/>
        <v>983106.66797830444</v>
      </c>
    </row>
    <row r="168" spans="3:9">
      <c r="C168" s="39"/>
      <c r="D168" s="57">
        <v>152</v>
      </c>
      <c r="E168" s="143">
        <f t="shared" si="14"/>
        <v>983106.66797830444</v>
      </c>
      <c r="F168" s="143">
        <f t="shared" si="13"/>
        <v>8503.7949071786406</v>
      </c>
      <c r="G168" s="143">
        <f t="shared" si="12"/>
        <v>4915.5333398915227</v>
      </c>
      <c r="H168" s="143">
        <f t="shared" si="10"/>
        <v>3588.2615672871179</v>
      </c>
      <c r="I168" s="144">
        <f t="shared" si="11"/>
        <v>979518.40641101729</v>
      </c>
    </row>
    <row r="169" spans="3:9">
      <c r="C169" s="39"/>
      <c r="D169" s="57">
        <v>153</v>
      </c>
      <c r="E169" s="143">
        <f t="shared" si="14"/>
        <v>979518.40641101729</v>
      </c>
      <c r="F169" s="143">
        <f t="shared" si="13"/>
        <v>8503.7949071786406</v>
      </c>
      <c r="G169" s="143">
        <f t="shared" si="12"/>
        <v>4897.5920320550867</v>
      </c>
      <c r="H169" s="143">
        <f t="shared" si="10"/>
        <v>3606.2028751235539</v>
      </c>
      <c r="I169" s="144">
        <f t="shared" si="11"/>
        <v>975912.2035358937</v>
      </c>
    </row>
    <row r="170" spans="3:9">
      <c r="C170" s="39"/>
      <c r="D170" s="57">
        <v>154</v>
      </c>
      <c r="E170" s="143">
        <f t="shared" si="14"/>
        <v>975912.2035358937</v>
      </c>
      <c r="F170" s="143">
        <f t="shared" si="13"/>
        <v>8503.7949071786406</v>
      </c>
      <c r="G170" s="143">
        <f t="shared" si="12"/>
        <v>4879.5610176794689</v>
      </c>
      <c r="H170" s="143">
        <f t="shared" si="10"/>
        <v>3624.2338894991717</v>
      </c>
      <c r="I170" s="144">
        <f t="shared" si="11"/>
        <v>972287.96964639449</v>
      </c>
    </row>
    <row r="171" spans="3:9">
      <c r="C171" s="39"/>
      <c r="D171" s="57">
        <v>155</v>
      </c>
      <c r="E171" s="143">
        <f t="shared" si="14"/>
        <v>972287.96964639449</v>
      </c>
      <c r="F171" s="143">
        <f t="shared" si="13"/>
        <v>8503.7949071786406</v>
      </c>
      <c r="G171" s="143">
        <f t="shared" si="12"/>
        <v>4861.439848231973</v>
      </c>
      <c r="H171" s="143">
        <f t="shared" si="10"/>
        <v>3642.3550589466677</v>
      </c>
      <c r="I171" s="144">
        <f t="shared" si="11"/>
        <v>968645.61458744784</v>
      </c>
    </row>
    <row r="172" spans="3:9">
      <c r="C172" s="45">
        <v>13</v>
      </c>
      <c r="D172" s="146">
        <v>156</v>
      </c>
      <c r="E172" s="143">
        <f t="shared" si="14"/>
        <v>968645.61458744784</v>
      </c>
      <c r="F172" s="143">
        <f t="shared" si="13"/>
        <v>8503.7949071786406</v>
      </c>
      <c r="G172" s="143">
        <f t="shared" si="12"/>
        <v>4843.2280729372396</v>
      </c>
      <c r="H172" s="143">
        <f t="shared" si="10"/>
        <v>3660.566834241401</v>
      </c>
      <c r="I172" s="144">
        <f t="shared" si="11"/>
        <v>964985.04775320645</v>
      </c>
    </row>
    <row r="173" spans="3:9">
      <c r="C173" s="39"/>
      <c r="D173" s="57">
        <v>157</v>
      </c>
      <c r="E173" s="143">
        <f t="shared" si="14"/>
        <v>964985.04775320645</v>
      </c>
      <c r="F173" s="143">
        <f t="shared" si="13"/>
        <v>8503.7949071786406</v>
      </c>
      <c r="G173" s="143">
        <f t="shared" si="12"/>
        <v>4824.9252387660326</v>
      </c>
      <c r="H173" s="143">
        <f t="shared" si="10"/>
        <v>3678.869668412608</v>
      </c>
      <c r="I173" s="144">
        <f t="shared" si="11"/>
        <v>961306.17808479385</v>
      </c>
    </row>
    <row r="174" spans="3:9">
      <c r="C174" s="39"/>
      <c r="D174" s="57">
        <v>158</v>
      </c>
      <c r="E174" s="143">
        <f t="shared" si="14"/>
        <v>961306.17808479385</v>
      </c>
      <c r="F174" s="143">
        <f t="shared" si="13"/>
        <v>8503.7949071786406</v>
      </c>
      <c r="G174" s="143">
        <f t="shared" si="12"/>
        <v>4806.5308904239691</v>
      </c>
      <c r="H174" s="143">
        <f t="shared" si="10"/>
        <v>3697.2640167546715</v>
      </c>
      <c r="I174" s="144">
        <f t="shared" si="11"/>
        <v>957608.91406803916</v>
      </c>
    </row>
    <row r="175" spans="3:9">
      <c r="C175" s="39"/>
      <c r="D175" s="57">
        <v>159</v>
      </c>
      <c r="E175" s="143">
        <f t="shared" si="14"/>
        <v>957608.91406803916</v>
      </c>
      <c r="F175" s="143">
        <f t="shared" si="13"/>
        <v>8503.7949071786406</v>
      </c>
      <c r="G175" s="143">
        <f t="shared" si="12"/>
        <v>4788.0445703401956</v>
      </c>
      <c r="H175" s="143">
        <f t="shared" si="10"/>
        <v>3715.750336838445</v>
      </c>
      <c r="I175" s="144">
        <f t="shared" si="11"/>
        <v>953893.16373120074</v>
      </c>
    </row>
    <row r="176" spans="3:9">
      <c r="C176" s="39"/>
      <c r="D176" s="57">
        <v>160</v>
      </c>
      <c r="E176" s="143">
        <f t="shared" si="14"/>
        <v>953893.16373120074</v>
      </c>
      <c r="F176" s="143">
        <f t="shared" si="13"/>
        <v>8503.7949071786406</v>
      </c>
      <c r="G176" s="143">
        <f t="shared" si="12"/>
        <v>4769.4658186560036</v>
      </c>
      <c r="H176" s="143">
        <f t="shared" si="10"/>
        <v>3734.329088522637</v>
      </c>
      <c r="I176" s="144">
        <f t="shared" si="11"/>
        <v>950158.83464267815</v>
      </c>
    </row>
    <row r="177" spans="3:9">
      <c r="C177" s="39"/>
      <c r="D177" s="57">
        <v>161</v>
      </c>
      <c r="E177" s="143">
        <f t="shared" si="14"/>
        <v>950158.83464267815</v>
      </c>
      <c r="F177" s="143">
        <f t="shared" si="13"/>
        <v>8503.7949071786406</v>
      </c>
      <c r="G177" s="143">
        <f t="shared" si="12"/>
        <v>4750.7941732133904</v>
      </c>
      <c r="H177" s="143">
        <f t="shared" si="10"/>
        <v>3753.0007339652502</v>
      </c>
      <c r="I177" s="144">
        <f t="shared" si="11"/>
        <v>946405.83390871296</v>
      </c>
    </row>
    <row r="178" spans="3:9">
      <c r="C178" s="39"/>
      <c r="D178" s="57">
        <v>162</v>
      </c>
      <c r="E178" s="143">
        <f t="shared" si="14"/>
        <v>946405.83390871296</v>
      </c>
      <c r="F178" s="143">
        <f t="shared" si="13"/>
        <v>8503.7949071786406</v>
      </c>
      <c r="G178" s="143">
        <f t="shared" si="12"/>
        <v>4732.0291695435653</v>
      </c>
      <c r="H178" s="143">
        <f t="shared" si="10"/>
        <v>3771.7657376350753</v>
      </c>
      <c r="I178" s="144">
        <f t="shared" si="11"/>
        <v>942634.06817107787</v>
      </c>
    </row>
    <row r="179" spans="3:9">
      <c r="C179" s="39"/>
      <c r="D179" s="57">
        <v>163</v>
      </c>
      <c r="E179" s="143">
        <f t="shared" si="14"/>
        <v>942634.06817107787</v>
      </c>
      <c r="F179" s="143">
        <f t="shared" si="13"/>
        <v>8503.7949071786406</v>
      </c>
      <c r="G179" s="143">
        <f t="shared" si="12"/>
        <v>4713.1703408553894</v>
      </c>
      <c r="H179" s="143">
        <f t="shared" si="10"/>
        <v>3790.6245663232512</v>
      </c>
      <c r="I179" s="144">
        <f t="shared" si="11"/>
        <v>938843.44360475463</v>
      </c>
    </row>
    <row r="180" spans="3:9">
      <c r="C180" s="39"/>
      <c r="D180" s="57">
        <v>164</v>
      </c>
      <c r="E180" s="143">
        <f t="shared" si="14"/>
        <v>938843.44360475463</v>
      </c>
      <c r="F180" s="143">
        <f t="shared" si="13"/>
        <v>8503.7949071786406</v>
      </c>
      <c r="G180" s="143">
        <f t="shared" si="12"/>
        <v>4694.2172180237731</v>
      </c>
      <c r="H180" s="143">
        <f t="shared" si="10"/>
        <v>3809.5776891548676</v>
      </c>
      <c r="I180" s="144">
        <f t="shared" si="11"/>
        <v>935033.86591559974</v>
      </c>
    </row>
    <row r="181" spans="3:9">
      <c r="C181" s="39"/>
      <c r="D181" s="57">
        <v>165</v>
      </c>
      <c r="E181" s="143">
        <f t="shared" si="14"/>
        <v>935033.86591559974</v>
      </c>
      <c r="F181" s="143">
        <f t="shared" si="13"/>
        <v>8503.7949071786406</v>
      </c>
      <c r="G181" s="143">
        <f t="shared" si="12"/>
        <v>4675.1693295779987</v>
      </c>
      <c r="H181" s="143">
        <f t="shared" si="10"/>
        <v>3828.6255776006419</v>
      </c>
      <c r="I181" s="144">
        <f t="shared" si="11"/>
        <v>931205.24033799907</v>
      </c>
    </row>
    <row r="182" spans="3:9">
      <c r="C182" s="39"/>
      <c r="D182" s="57">
        <v>166</v>
      </c>
      <c r="E182" s="143">
        <f t="shared" si="14"/>
        <v>931205.24033799907</v>
      </c>
      <c r="F182" s="143">
        <f t="shared" si="13"/>
        <v>8503.7949071786406</v>
      </c>
      <c r="G182" s="143">
        <f t="shared" si="12"/>
        <v>4656.0262016899951</v>
      </c>
      <c r="H182" s="143">
        <f t="shared" si="10"/>
        <v>3847.7687054886455</v>
      </c>
      <c r="I182" s="144">
        <f t="shared" si="11"/>
        <v>927357.47163251042</v>
      </c>
    </row>
    <row r="183" spans="3:9">
      <c r="C183" s="39"/>
      <c r="D183" s="57">
        <v>167</v>
      </c>
      <c r="E183" s="143">
        <f t="shared" si="14"/>
        <v>927357.47163251042</v>
      </c>
      <c r="F183" s="143">
        <f t="shared" si="13"/>
        <v>8503.7949071786406</v>
      </c>
      <c r="G183" s="143">
        <f t="shared" si="12"/>
        <v>4636.7873581625527</v>
      </c>
      <c r="H183" s="143">
        <f t="shared" si="10"/>
        <v>3867.007549016088</v>
      </c>
      <c r="I183" s="144">
        <f t="shared" si="11"/>
        <v>923490.46408349439</v>
      </c>
    </row>
    <row r="184" spans="3:9">
      <c r="C184" s="45">
        <v>14</v>
      </c>
      <c r="D184" s="146">
        <v>168</v>
      </c>
      <c r="E184" s="143">
        <f t="shared" si="14"/>
        <v>923490.46408349439</v>
      </c>
      <c r="F184" s="143">
        <f t="shared" si="13"/>
        <v>8503.7949071786406</v>
      </c>
      <c r="G184" s="143">
        <f t="shared" si="12"/>
        <v>4617.452320417472</v>
      </c>
      <c r="H184" s="143">
        <f t="shared" si="10"/>
        <v>3886.3425867611686</v>
      </c>
      <c r="I184" s="144">
        <f t="shared" si="11"/>
        <v>919604.12149673316</v>
      </c>
    </row>
    <row r="185" spans="3:9">
      <c r="C185" s="39"/>
      <c r="D185" s="57">
        <v>169</v>
      </c>
      <c r="E185" s="143">
        <f t="shared" si="14"/>
        <v>919604.12149673316</v>
      </c>
      <c r="F185" s="143">
        <f t="shared" si="13"/>
        <v>8503.7949071786406</v>
      </c>
      <c r="G185" s="143">
        <f t="shared" si="12"/>
        <v>4598.020607483666</v>
      </c>
      <c r="H185" s="143">
        <f t="shared" si="10"/>
        <v>3905.7742996949746</v>
      </c>
      <c r="I185" s="144">
        <f t="shared" si="11"/>
        <v>915698.34719703824</v>
      </c>
    </row>
    <row r="186" spans="3:9">
      <c r="C186" s="39"/>
      <c r="D186" s="57">
        <v>170</v>
      </c>
      <c r="E186" s="143">
        <f t="shared" si="14"/>
        <v>915698.34719703824</v>
      </c>
      <c r="F186" s="143">
        <f t="shared" si="13"/>
        <v>8503.7949071786406</v>
      </c>
      <c r="G186" s="143">
        <f t="shared" si="12"/>
        <v>4578.4917359851916</v>
      </c>
      <c r="H186" s="143">
        <f t="shared" si="10"/>
        <v>3925.3031711934491</v>
      </c>
      <c r="I186" s="144">
        <f t="shared" si="11"/>
        <v>911773.04402584478</v>
      </c>
    </row>
    <row r="187" spans="3:9">
      <c r="C187" s="39"/>
      <c r="D187" s="57">
        <v>171</v>
      </c>
      <c r="E187" s="143">
        <f t="shared" si="14"/>
        <v>911773.04402584478</v>
      </c>
      <c r="F187" s="143">
        <f t="shared" si="13"/>
        <v>8503.7949071786406</v>
      </c>
      <c r="G187" s="143">
        <f t="shared" si="12"/>
        <v>4558.8652201292243</v>
      </c>
      <c r="H187" s="143">
        <f t="shared" si="10"/>
        <v>3944.9296870494163</v>
      </c>
      <c r="I187" s="144">
        <f t="shared" si="11"/>
        <v>907828.11433879531</v>
      </c>
    </row>
    <row r="188" spans="3:9">
      <c r="C188" s="39"/>
      <c r="D188" s="57">
        <v>172</v>
      </c>
      <c r="E188" s="143">
        <f t="shared" si="14"/>
        <v>907828.11433879531</v>
      </c>
      <c r="F188" s="143">
        <f t="shared" si="13"/>
        <v>8503.7949071786406</v>
      </c>
      <c r="G188" s="143">
        <f t="shared" si="12"/>
        <v>4539.1405716939762</v>
      </c>
      <c r="H188" s="143">
        <f t="shared" si="10"/>
        <v>3964.6543354846644</v>
      </c>
      <c r="I188" s="144">
        <f t="shared" si="11"/>
        <v>903863.4600033107</v>
      </c>
    </row>
    <row r="189" spans="3:9">
      <c r="C189" s="39"/>
      <c r="D189" s="57">
        <v>173</v>
      </c>
      <c r="E189" s="143">
        <f t="shared" si="14"/>
        <v>903863.4600033107</v>
      </c>
      <c r="F189" s="143">
        <f t="shared" si="13"/>
        <v>8503.7949071786406</v>
      </c>
      <c r="G189" s="143">
        <f t="shared" si="12"/>
        <v>4519.3173000165534</v>
      </c>
      <c r="H189" s="143">
        <f t="shared" si="10"/>
        <v>3984.4776071620872</v>
      </c>
      <c r="I189" s="144">
        <f t="shared" si="11"/>
        <v>899878.98239614861</v>
      </c>
    </row>
    <row r="190" spans="3:9">
      <c r="C190" s="39"/>
      <c r="D190" s="57">
        <v>174</v>
      </c>
      <c r="E190" s="143">
        <f t="shared" si="14"/>
        <v>899878.98239614861</v>
      </c>
      <c r="F190" s="143">
        <f t="shared" si="13"/>
        <v>8503.7949071786406</v>
      </c>
      <c r="G190" s="143">
        <f t="shared" si="12"/>
        <v>4499.394911980743</v>
      </c>
      <c r="H190" s="143">
        <f t="shared" si="10"/>
        <v>4004.3999951978976</v>
      </c>
      <c r="I190" s="144">
        <f t="shared" si="11"/>
        <v>895874.58240095072</v>
      </c>
    </row>
    <row r="191" spans="3:9">
      <c r="C191" s="39"/>
      <c r="D191" s="57">
        <v>175</v>
      </c>
      <c r="E191" s="143">
        <f t="shared" si="14"/>
        <v>895874.58240095072</v>
      </c>
      <c r="F191" s="143">
        <f t="shared" si="13"/>
        <v>8503.7949071786406</v>
      </c>
      <c r="G191" s="143">
        <f t="shared" si="12"/>
        <v>4479.3729120047537</v>
      </c>
      <c r="H191" s="143">
        <f t="shared" si="10"/>
        <v>4024.4219951738869</v>
      </c>
      <c r="I191" s="144">
        <f t="shared" si="11"/>
        <v>891850.16040577681</v>
      </c>
    </row>
    <row r="192" spans="3:9">
      <c r="C192" s="39"/>
      <c r="D192" s="57">
        <v>176</v>
      </c>
      <c r="E192" s="143">
        <f t="shared" si="14"/>
        <v>891850.16040577681</v>
      </c>
      <c r="F192" s="143">
        <f t="shared" si="13"/>
        <v>8503.7949071786406</v>
      </c>
      <c r="G192" s="143">
        <f t="shared" si="12"/>
        <v>4459.2508020288842</v>
      </c>
      <c r="H192" s="143">
        <f t="shared" si="10"/>
        <v>4044.5441051497564</v>
      </c>
      <c r="I192" s="144">
        <f t="shared" si="11"/>
        <v>887805.61630062701</v>
      </c>
    </row>
    <row r="193" spans="3:9">
      <c r="C193" s="39"/>
      <c r="D193" s="57">
        <v>177</v>
      </c>
      <c r="E193" s="143">
        <f t="shared" si="14"/>
        <v>887805.61630062701</v>
      </c>
      <c r="F193" s="143">
        <f t="shared" si="13"/>
        <v>8503.7949071786406</v>
      </c>
      <c r="G193" s="143">
        <f t="shared" si="12"/>
        <v>4439.0280815031356</v>
      </c>
      <c r="H193" s="143">
        <f t="shared" si="10"/>
        <v>4064.7668256755051</v>
      </c>
      <c r="I193" s="144">
        <f t="shared" si="11"/>
        <v>883740.84947495151</v>
      </c>
    </row>
    <row r="194" spans="3:9">
      <c r="C194" s="39"/>
      <c r="D194" s="57">
        <v>178</v>
      </c>
      <c r="E194" s="143">
        <f t="shared" si="14"/>
        <v>883740.84947495151</v>
      </c>
      <c r="F194" s="143">
        <f t="shared" si="13"/>
        <v>8503.7949071786406</v>
      </c>
      <c r="G194" s="143">
        <f t="shared" si="12"/>
        <v>4418.7042473747579</v>
      </c>
      <c r="H194" s="143">
        <f t="shared" si="10"/>
        <v>4085.0906598038828</v>
      </c>
      <c r="I194" s="144">
        <f t="shared" si="11"/>
        <v>879655.75881514768</v>
      </c>
    </row>
    <row r="195" spans="3:9">
      <c r="C195" s="39"/>
      <c r="D195" s="57">
        <v>179</v>
      </c>
      <c r="E195" s="143">
        <f t="shared" si="14"/>
        <v>879655.75881514768</v>
      </c>
      <c r="F195" s="143">
        <f t="shared" si="13"/>
        <v>8503.7949071786406</v>
      </c>
      <c r="G195" s="143">
        <f t="shared" si="12"/>
        <v>4398.2787940757389</v>
      </c>
      <c r="H195" s="143">
        <f t="shared" si="10"/>
        <v>4105.5161131029017</v>
      </c>
      <c r="I195" s="144">
        <f t="shared" si="11"/>
        <v>875550.24270204478</v>
      </c>
    </row>
    <row r="196" spans="3:9">
      <c r="C196" s="45">
        <v>15</v>
      </c>
      <c r="D196" s="146">
        <v>180</v>
      </c>
      <c r="E196" s="143">
        <f t="shared" si="14"/>
        <v>875550.24270204478</v>
      </c>
      <c r="F196" s="143">
        <f t="shared" si="13"/>
        <v>8503.7949071786406</v>
      </c>
      <c r="G196" s="143">
        <f t="shared" si="12"/>
        <v>4377.7512135102243</v>
      </c>
      <c r="H196" s="143">
        <f t="shared" si="10"/>
        <v>4126.0436936684164</v>
      </c>
      <c r="I196" s="144">
        <f t="shared" si="11"/>
        <v>871424.19900837634</v>
      </c>
    </row>
    <row r="197" spans="3:9">
      <c r="C197" s="39"/>
      <c r="D197" s="57">
        <v>181</v>
      </c>
      <c r="E197" s="143">
        <f t="shared" si="14"/>
        <v>871424.19900837634</v>
      </c>
      <c r="F197" s="143">
        <f t="shared" si="13"/>
        <v>8503.7949071786406</v>
      </c>
      <c r="G197" s="143">
        <f t="shared" si="12"/>
        <v>4357.1209950418815</v>
      </c>
      <c r="H197" s="143">
        <f t="shared" si="10"/>
        <v>4146.6739121367591</v>
      </c>
      <c r="I197" s="144">
        <f t="shared" si="11"/>
        <v>867277.52509623952</v>
      </c>
    </row>
    <row r="198" spans="3:9">
      <c r="C198" s="39"/>
      <c r="D198" s="57">
        <v>182</v>
      </c>
      <c r="E198" s="143">
        <f t="shared" si="14"/>
        <v>867277.52509623952</v>
      </c>
      <c r="F198" s="143">
        <f t="shared" si="13"/>
        <v>8503.7949071786406</v>
      </c>
      <c r="G198" s="143">
        <f t="shared" si="12"/>
        <v>4336.3876254811976</v>
      </c>
      <c r="H198" s="143">
        <f t="shared" si="10"/>
        <v>4167.4072816974431</v>
      </c>
      <c r="I198" s="144">
        <f t="shared" si="11"/>
        <v>863110.11781454203</v>
      </c>
    </row>
    <row r="199" spans="3:9">
      <c r="C199" s="39"/>
      <c r="D199" s="57">
        <v>183</v>
      </c>
      <c r="E199" s="143">
        <f t="shared" si="14"/>
        <v>863110.11781454203</v>
      </c>
      <c r="F199" s="143">
        <f t="shared" si="13"/>
        <v>8503.7949071786406</v>
      </c>
      <c r="G199" s="143">
        <f t="shared" si="12"/>
        <v>4315.55058907271</v>
      </c>
      <c r="H199" s="143">
        <f t="shared" si="10"/>
        <v>4188.2443181059307</v>
      </c>
      <c r="I199" s="144">
        <f t="shared" si="11"/>
        <v>858921.87349643605</v>
      </c>
    </row>
    <row r="200" spans="3:9">
      <c r="C200" s="39"/>
      <c r="D200" s="57">
        <v>184</v>
      </c>
      <c r="E200" s="143">
        <f t="shared" si="14"/>
        <v>858921.87349643605</v>
      </c>
      <c r="F200" s="143">
        <f t="shared" si="13"/>
        <v>8503.7949071786406</v>
      </c>
      <c r="G200" s="143">
        <f t="shared" si="12"/>
        <v>4294.6093674821805</v>
      </c>
      <c r="H200" s="143">
        <f t="shared" si="10"/>
        <v>4209.1855396964602</v>
      </c>
      <c r="I200" s="144">
        <f t="shared" si="11"/>
        <v>854712.68795673957</v>
      </c>
    </row>
    <row r="201" spans="3:9">
      <c r="C201" s="39"/>
      <c r="D201" s="57">
        <v>185</v>
      </c>
      <c r="E201" s="143">
        <f t="shared" si="14"/>
        <v>854712.68795673957</v>
      </c>
      <c r="F201" s="143">
        <f t="shared" si="13"/>
        <v>8503.7949071786406</v>
      </c>
      <c r="G201" s="143">
        <f t="shared" si="12"/>
        <v>4273.5634397836975</v>
      </c>
      <c r="H201" s="143">
        <f t="shared" si="10"/>
        <v>4230.2314673949431</v>
      </c>
      <c r="I201" s="144">
        <f t="shared" si="11"/>
        <v>850482.45648934459</v>
      </c>
    </row>
    <row r="202" spans="3:9">
      <c r="C202" s="39"/>
      <c r="D202" s="57">
        <v>186</v>
      </c>
      <c r="E202" s="143">
        <f t="shared" si="14"/>
        <v>850482.45648934459</v>
      </c>
      <c r="F202" s="143">
        <f t="shared" si="13"/>
        <v>8503.7949071786406</v>
      </c>
      <c r="G202" s="143">
        <f t="shared" si="12"/>
        <v>4252.4122824467231</v>
      </c>
      <c r="H202" s="143">
        <f t="shared" si="10"/>
        <v>4251.3826247319175</v>
      </c>
      <c r="I202" s="144">
        <f t="shared" si="11"/>
        <v>846231.07386461273</v>
      </c>
    </row>
    <row r="203" spans="3:9">
      <c r="C203" s="39"/>
      <c r="D203" s="57">
        <v>187</v>
      </c>
      <c r="E203" s="143">
        <f t="shared" si="14"/>
        <v>846231.07386461273</v>
      </c>
      <c r="F203" s="143">
        <f t="shared" si="13"/>
        <v>8503.7949071786406</v>
      </c>
      <c r="G203" s="143">
        <f t="shared" si="12"/>
        <v>4231.1553693230635</v>
      </c>
      <c r="H203" s="143">
        <f t="shared" si="10"/>
        <v>4272.6395378555771</v>
      </c>
      <c r="I203" s="144">
        <f t="shared" si="11"/>
        <v>841958.43432675709</v>
      </c>
    </row>
    <row r="204" spans="3:9">
      <c r="C204" s="39"/>
      <c r="D204" s="57">
        <v>188</v>
      </c>
      <c r="E204" s="143">
        <f t="shared" si="14"/>
        <v>841958.43432675709</v>
      </c>
      <c r="F204" s="143">
        <f t="shared" si="13"/>
        <v>8503.7949071786406</v>
      </c>
      <c r="G204" s="143">
        <f t="shared" si="12"/>
        <v>4209.792171633786</v>
      </c>
      <c r="H204" s="143">
        <f t="shared" si="10"/>
        <v>4294.0027355448547</v>
      </c>
      <c r="I204" s="144">
        <f t="shared" si="11"/>
        <v>837664.43159121228</v>
      </c>
    </row>
    <row r="205" spans="3:9">
      <c r="C205" s="39"/>
      <c r="D205" s="57">
        <v>189</v>
      </c>
      <c r="E205" s="143">
        <f t="shared" si="14"/>
        <v>837664.43159121228</v>
      </c>
      <c r="F205" s="143">
        <f t="shared" si="13"/>
        <v>8503.7949071786406</v>
      </c>
      <c r="G205" s="143">
        <f t="shared" si="12"/>
        <v>4188.3221579560613</v>
      </c>
      <c r="H205" s="143">
        <f t="shared" si="10"/>
        <v>4315.4727492225793</v>
      </c>
      <c r="I205" s="144">
        <f t="shared" si="11"/>
        <v>833348.95884198975</v>
      </c>
    </row>
    <row r="206" spans="3:9">
      <c r="C206" s="39"/>
      <c r="D206" s="57">
        <v>190</v>
      </c>
      <c r="E206" s="143">
        <f t="shared" si="14"/>
        <v>833348.95884198975</v>
      </c>
      <c r="F206" s="143">
        <f t="shared" si="13"/>
        <v>8503.7949071786406</v>
      </c>
      <c r="G206" s="143">
        <f t="shared" si="12"/>
        <v>4166.7447942099489</v>
      </c>
      <c r="H206" s="143">
        <f t="shared" si="10"/>
        <v>4337.0501129686918</v>
      </c>
      <c r="I206" s="144">
        <f t="shared" si="11"/>
        <v>829011.90872902109</v>
      </c>
    </row>
    <row r="207" spans="3:9">
      <c r="C207" s="39"/>
      <c r="D207" s="57">
        <v>191</v>
      </c>
      <c r="E207" s="143">
        <f t="shared" si="14"/>
        <v>829011.90872902109</v>
      </c>
      <c r="F207" s="143">
        <f t="shared" si="13"/>
        <v>8503.7949071786406</v>
      </c>
      <c r="G207" s="143">
        <f t="shared" si="12"/>
        <v>4145.0595436451058</v>
      </c>
      <c r="H207" s="143">
        <f t="shared" si="10"/>
        <v>4358.7353635335348</v>
      </c>
      <c r="I207" s="144">
        <f t="shared" si="11"/>
        <v>824653.1733654876</v>
      </c>
    </row>
    <row r="208" spans="3:9">
      <c r="C208" s="45">
        <v>16</v>
      </c>
      <c r="D208" s="146">
        <v>192</v>
      </c>
      <c r="E208" s="143">
        <f t="shared" si="14"/>
        <v>824653.1733654876</v>
      </c>
      <c r="F208" s="143">
        <f t="shared" si="13"/>
        <v>8503.7949071786406</v>
      </c>
      <c r="G208" s="143">
        <f t="shared" si="12"/>
        <v>4123.265866827438</v>
      </c>
      <c r="H208" s="143">
        <f t="shared" si="10"/>
        <v>4380.5290403512026</v>
      </c>
      <c r="I208" s="144">
        <f t="shared" si="11"/>
        <v>820272.64432513644</v>
      </c>
    </row>
    <row r="209" spans="3:9">
      <c r="C209" s="39"/>
      <c r="D209" s="57">
        <v>193</v>
      </c>
      <c r="E209" s="143">
        <f t="shared" si="14"/>
        <v>820272.64432513644</v>
      </c>
      <c r="F209" s="143">
        <f t="shared" si="13"/>
        <v>8503.7949071786406</v>
      </c>
      <c r="G209" s="143">
        <f t="shared" si="12"/>
        <v>4101.3632216256819</v>
      </c>
      <c r="H209" s="143">
        <f t="shared" ref="H209:H272" si="15">F209-G209</f>
        <v>4402.4316855529587</v>
      </c>
      <c r="I209" s="144">
        <f t="shared" ref="I209:I272" si="16">E209-H209</f>
        <v>815870.21263958351</v>
      </c>
    </row>
    <row r="210" spans="3:9">
      <c r="C210" s="39"/>
      <c r="D210" s="57">
        <v>194</v>
      </c>
      <c r="E210" s="143">
        <f t="shared" si="14"/>
        <v>815870.21263958351</v>
      </c>
      <c r="F210" s="143">
        <f t="shared" si="13"/>
        <v>8503.7949071786406</v>
      </c>
      <c r="G210" s="143">
        <f t="shared" ref="G210:G273" si="17">IF(D210&gt;$D$10,0,($D$6/12)*I209)</f>
        <v>4079.3510631979175</v>
      </c>
      <c r="H210" s="143">
        <f t="shared" si="15"/>
        <v>4424.4438439807236</v>
      </c>
      <c r="I210" s="144">
        <f t="shared" si="16"/>
        <v>811445.76879560284</v>
      </c>
    </row>
    <row r="211" spans="3:9">
      <c r="C211" s="39"/>
      <c r="D211" s="57">
        <v>195</v>
      </c>
      <c r="E211" s="143">
        <f t="shared" si="14"/>
        <v>811445.76879560284</v>
      </c>
      <c r="F211" s="143">
        <f t="shared" si="13"/>
        <v>8503.7949071786406</v>
      </c>
      <c r="G211" s="143">
        <f t="shared" si="17"/>
        <v>4057.2288439780141</v>
      </c>
      <c r="H211" s="143">
        <f t="shared" si="15"/>
        <v>4446.5660632006266</v>
      </c>
      <c r="I211" s="144">
        <f t="shared" si="16"/>
        <v>806999.20273240225</v>
      </c>
    </row>
    <row r="212" spans="3:9">
      <c r="C212" s="39"/>
      <c r="D212" s="57">
        <v>196</v>
      </c>
      <c r="E212" s="143">
        <f t="shared" si="14"/>
        <v>806999.20273240225</v>
      </c>
      <c r="F212" s="143">
        <f t="shared" si="13"/>
        <v>8503.7949071786406</v>
      </c>
      <c r="G212" s="143">
        <f t="shared" si="17"/>
        <v>4034.9960136620111</v>
      </c>
      <c r="H212" s="143">
        <f t="shared" si="15"/>
        <v>4468.7988935166295</v>
      </c>
      <c r="I212" s="144">
        <f t="shared" si="16"/>
        <v>802530.4038388856</v>
      </c>
    </row>
    <row r="213" spans="3:9">
      <c r="C213" s="39"/>
      <c r="D213" s="57">
        <v>197</v>
      </c>
      <c r="E213" s="143">
        <f t="shared" si="14"/>
        <v>802530.4038388856</v>
      </c>
      <c r="F213" s="143">
        <f t="shared" ref="F213:F276" si="18">IF(D213&gt;$D$10,0,IF(D213&lt;=$D$8,G213,-PMT($D$6/12,$D$9,$D$5,0,0)))</f>
        <v>8503.7949071786406</v>
      </c>
      <c r="G213" s="143">
        <f t="shared" si="17"/>
        <v>4012.6520191944282</v>
      </c>
      <c r="H213" s="143">
        <f t="shared" si="15"/>
        <v>4491.1428879842124</v>
      </c>
      <c r="I213" s="144">
        <f t="shared" si="16"/>
        <v>798039.26095090143</v>
      </c>
    </row>
    <row r="214" spans="3:9">
      <c r="C214" s="39"/>
      <c r="D214" s="57">
        <v>198</v>
      </c>
      <c r="E214" s="143">
        <f t="shared" ref="E214:E277" si="19">IF(D214&gt;$D$10,0,I213)</f>
        <v>798039.26095090143</v>
      </c>
      <c r="F214" s="143">
        <f t="shared" si="18"/>
        <v>8503.7949071786406</v>
      </c>
      <c r="G214" s="143">
        <f t="shared" si="17"/>
        <v>3990.1963047545073</v>
      </c>
      <c r="H214" s="143">
        <f t="shared" si="15"/>
        <v>4513.5986024241338</v>
      </c>
      <c r="I214" s="144">
        <f t="shared" si="16"/>
        <v>793525.66234847729</v>
      </c>
    </row>
    <row r="215" spans="3:9">
      <c r="C215" s="39"/>
      <c r="D215" s="57">
        <v>199</v>
      </c>
      <c r="E215" s="143">
        <f t="shared" si="19"/>
        <v>793525.66234847729</v>
      </c>
      <c r="F215" s="143">
        <f t="shared" si="18"/>
        <v>8503.7949071786406</v>
      </c>
      <c r="G215" s="143">
        <f t="shared" si="17"/>
        <v>3967.6283117423864</v>
      </c>
      <c r="H215" s="143">
        <f t="shared" si="15"/>
        <v>4536.1665954362543</v>
      </c>
      <c r="I215" s="144">
        <f t="shared" si="16"/>
        <v>788989.495753041</v>
      </c>
    </row>
    <row r="216" spans="3:9">
      <c r="C216" s="39"/>
      <c r="D216" s="57">
        <v>200</v>
      </c>
      <c r="E216" s="143">
        <f t="shared" si="19"/>
        <v>788989.495753041</v>
      </c>
      <c r="F216" s="143">
        <f t="shared" si="18"/>
        <v>8503.7949071786406</v>
      </c>
      <c r="G216" s="143">
        <f t="shared" si="17"/>
        <v>3944.9474787652052</v>
      </c>
      <c r="H216" s="143">
        <f t="shared" si="15"/>
        <v>4558.8474284134354</v>
      </c>
      <c r="I216" s="144">
        <f t="shared" si="16"/>
        <v>784430.64832462755</v>
      </c>
    </row>
    <row r="217" spans="3:9">
      <c r="C217" s="39"/>
      <c r="D217" s="57">
        <v>201</v>
      </c>
      <c r="E217" s="143">
        <f t="shared" si="19"/>
        <v>784430.64832462755</v>
      </c>
      <c r="F217" s="143">
        <f t="shared" si="18"/>
        <v>8503.7949071786406</v>
      </c>
      <c r="G217" s="143">
        <f t="shared" si="17"/>
        <v>3922.153241623138</v>
      </c>
      <c r="H217" s="143">
        <f t="shared" si="15"/>
        <v>4581.6416655555022</v>
      </c>
      <c r="I217" s="144">
        <f t="shared" si="16"/>
        <v>779849.00665907201</v>
      </c>
    </row>
    <row r="218" spans="3:9">
      <c r="C218" s="39"/>
      <c r="D218" s="57">
        <v>202</v>
      </c>
      <c r="E218" s="143">
        <f t="shared" si="19"/>
        <v>779849.00665907201</v>
      </c>
      <c r="F218" s="143">
        <f t="shared" si="18"/>
        <v>8503.7949071786406</v>
      </c>
      <c r="G218" s="143">
        <f t="shared" si="17"/>
        <v>3899.2450332953599</v>
      </c>
      <c r="H218" s="143">
        <f t="shared" si="15"/>
        <v>4604.5498738832812</v>
      </c>
      <c r="I218" s="144">
        <f t="shared" si="16"/>
        <v>775244.45678518876</v>
      </c>
    </row>
    <row r="219" spans="3:9">
      <c r="C219" s="39"/>
      <c r="D219" s="57">
        <v>203</v>
      </c>
      <c r="E219" s="143">
        <f t="shared" si="19"/>
        <v>775244.45678518876</v>
      </c>
      <c r="F219" s="143">
        <f t="shared" si="18"/>
        <v>8503.7949071786406</v>
      </c>
      <c r="G219" s="143">
        <f t="shared" si="17"/>
        <v>3876.2222839259439</v>
      </c>
      <c r="H219" s="143">
        <f t="shared" si="15"/>
        <v>4627.5726232526968</v>
      </c>
      <c r="I219" s="144">
        <f t="shared" si="16"/>
        <v>770616.884161936</v>
      </c>
    </row>
    <row r="220" spans="3:9">
      <c r="C220" s="45">
        <v>17</v>
      </c>
      <c r="D220" s="146">
        <v>204</v>
      </c>
      <c r="E220" s="143">
        <f t="shared" si="19"/>
        <v>770616.884161936</v>
      </c>
      <c r="F220" s="143">
        <f t="shared" si="18"/>
        <v>8503.7949071786406</v>
      </c>
      <c r="G220" s="143">
        <f t="shared" si="17"/>
        <v>3853.0844208096801</v>
      </c>
      <c r="H220" s="143">
        <f t="shared" si="15"/>
        <v>4650.7104863689601</v>
      </c>
      <c r="I220" s="144">
        <f t="shared" si="16"/>
        <v>765966.17367556703</v>
      </c>
    </row>
    <row r="221" spans="3:9">
      <c r="C221" s="39"/>
      <c r="D221" s="57">
        <v>205</v>
      </c>
      <c r="E221" s="143">
        <f t="shared" si="19"/>
        <v>765966.17367556703</v>
      </c>
      <c r="F221" s="143">
        <f t="shared" si="18"/>
        <v>8503.7949071786406</v>
      </c>
      <c r="G221" s="143">
        <f t="shared" si="17"/>
        <v>3829.830868377835</v>
      </c>
      <c r="H221" s="143">
        <f t="shared" si="15"/>
        <v>4673.9640388008056</v>
      </c>
      <c r="I221" s="144">
        <f t="shared" si="16"/>
        <v>761292.20963676623</v>
      </c>
    </row>
    <row r="222" spans="3:9">
      <c r="C222" s="39"/>
      <c r="D222" s="57">
        <v>206</v>
      </c>
      <c r="E222" s="143">
        <f t="shared" si="19"/>
        <v>761292.20963676623</v>
      </c>
      <c r="F222" s="143">
        <f t="shared" si="18"/>
        <v>8503.7949071786406</v>
      </c>
      <c r="G222" s="143">
        <f t="shared" si="17"/>
        <v>3806.4610481838313</v>
      </c>
      <c r="H222" s="143">
        <f t="shared" si="15"/>
        <v>4697.3338589948089</v>
      </c>
      <c r="I222" s="144">
        <f t="shared" si="16"/>
        <v>756594.87577777146</v>
      </c>
    </row>
    <row r="223" spans="3:9">
      <c r="C223" s="39"/>
      <c r="D223" s="57">
        <v>207</v>
      </c>
      <c r="E223" s="143">
        <f t="shared" si="19"/>
        <v>756594.87577777146</v>
      </c>
      <c r="F223" s="143">
        <f t="shared" si="18"/>
        <v>8503.7949071786406</v>
      </c>
      <c r="G223" s="143">
        <f t="shared" si="17"/>
        <v>3782.9743788888572</v>
      </c>
      <c r="H223" s="143">
        <f t="shared" si="15"/>
        <v>4720.8205282897834</v>
      </c>
      <c r="I223" s="144">
        <f t="shared" si="16"/>
        <v>751874.05524948169</v>
      </c>
    </row>
    <row r="224" spans="3:9">
      <c r="C224" s="39"/>
      <c r="D224" s="57">
        <v>208</v>
      </c>
      <c r="E224" s="143">
        <f t="shared" si="19"/>
        <v>751874.05524948169</v>
      </c>
      <c r="F224" s="143">
        <f t="shared" si="18"/>
        <v>8503.7949071786406</v>
      </c>
      <c r="G224" s="143">
        <f t="shared" si="17"/>
        <v>3759.3702762474086</v>
      </c>
      <c r="H224" s="143">
        <f t="shared" si="15"/>
        <v>4744.4246309312321</v>
      </c>
      <c r="I224" s="144">
        <f t="shared" si="16"/>
        <v>747129.63061855047</v>
      </c>
    </row>
    <row r="225" spans="3:9">
      <c r="C225" s="39"/>
      <c r="D225" s="57">
        <v>209</v>
      </c>
      <c r="E225" s="143">
        <f t="shared" si="19"/>
        <v>747129.63061855047</v>
      </c>
      <c r="F225" s="143">
        <f t="shared" si="18"/>
        <v>8503.7949071786406</v>
      </c>
      <c r="G225" s="143">
        <f t="shared" si="17"/>
        <v>3735.6481530927522</v>
      </c>
      <c r="H225" s="143">
        <f t="shared" si="15"/>
        <v>4768.1467540858885</v>
      </c>
      <c r="I225" s="144">
        <f t="shared" si="16"/>
        <v>742361.48386446456</v>
      </c>
    </row>
    <row r="226" spans="3:9">
      <c r="C226" s="39"/>
      <c r="D226" s="57">
        <v>210</v>
      </c>
      <c r="E226" s="143">
        <f t="shared" si="19"/>
        <v>742361.48386446456</v>
      </c>
      <c r="F226" s="143">
        <f t="shared" si="18"/>
        <v>8503.7949071786406</v>
      </c>
      <c r="G226" s="143">
        <f t="shared" si="17"/>
        <v>3711.8074193223229</v>
      </c>
      <c r="H226" s="143">
        <f t="shared" si="15"/>
        <v>4791.9874878563178</v>
      </c>
      <c r="I226" s="144">
        <f t="shared" si="16"/>
        <v>737569.49637660827</v>
      </c>
    </row>
    <row r="227" spans="3:9">
      <c r="C227" s="39"/>
      <c r="D227" s="57">
        <v>211</v>
      </c>
      <c r="E227" s="143">
        <f t="shared" si="19"/>
        <v>737569.49637660827</v>
      </c>
      <c r="F227" s="143">
        <f t="shared" si="18"/>
        <v>8503.7949071786406</v>
      </c>
      <c r="G227" s="143">
        <f t="shared" si="17"/>
        <v>3687.8474818830414</v>
      </c>
      <c r="H227" s="143">
        <f t="shared" si="15"/>
        <v>4815.9474252955988</v>
      </c>
      <c r="I227" s="144">
        <f t="shared" si="16"/>
        <v>732753.54895131267</v>
      </c>
    </row>
    <row r="228" spans="3:9">
      <c r="C228" s="39"/>
      <c r="D228" s="57">
        <v>212</v>
      </c>
      <c r="E228" s="143">
        <f t="shared" si="19"/>
        <v>732753.54895131267</v>
      </c>
      <c r="F228" s="143">
        <f t="shared" si="18"/>
        <v>8503.7949071786406</v>
      </c>
      <c r="G228" s="143">
        <f t="shared" si="17"/>
        <v>3663.7677447565634</v>
      </c>
      <c r="H228" s="143">
        <f t="shared" si="15"/>
        <v>4840.0271624220768</v>
      </c>
      <c r="I228" s="144">
        <f t="shared" si="16"/>
        <v>727913.52178889059</v>
      </c>
    </row>
    <row r="229" spans="3:9">
      <c r="C229" s="39"/>
      <c r="D229" s="57">
        <v>213</v>
      </c>
      <c r="E229" s="143">
        <f t="shared" si="19"/>
        <v>727913.52178889059</v>
      </c>
      <c r="F229" s="143">
        <f t="shared" si="18"/>
        <v>8503.7949071786406</v>
      </c>
      <c r="G229" s="143">
        <f t="shared" si="17"/>
        <v>3639.5676089444532</v>
      </c>
      <c r="H229" s="143">
        <f t="shared" si="15"/>
        <v>4864.2272982341874</v>
      </c>
      <c r="I229" s="144">
        <f t="shared" si="16"/>
        <v>723049.29449065635</v>
      </c>
    </row>
    <row r="230" spans="3:9">
      <c r="C230" s="39"/>
      <c r="D230" s="57">
        <v>214</v>
      </c>
      <c r="E230" s="143">
        <f t="shared" si="19"/>
        <v>723049.29449065635</v>
      </c>
      <c r="F230" s="143">
        <f t="shared" si="18"/>
        <v>8503.7949071786406</v>
      </c>
      <c r="G230" s="143">
        <f t="shared" si="17"/>
        <v>3615.246472453282</v>
      </c>
      <c r="H230" s="143">
        <f t="shared" si="15"/>
        <v>4888.5484347253587</v>
      </c>
      <c r="I230" s="144">
        <f t="shared" si="16"/>
        <v>718160.74605593097</v>
      </c>
    </row>
    <row r="231" spans="3:9">
      <c r="C231" s="39"/>
      <c r="D231" s="57">
        <v>215</v>
      </c>
      <c r="E231" s="143">
        <f t="shared" si="19"/>
        <v>718160.74605593097</v>
      </c>
      <c r="F231" s="143">
        <f t="shared" si="18"/>
        <v>8503.7949071786406</v>
      </c>
      <c r="G231" s="143">
        <f t="shared" si="17"/>
        <v>3590.8037302796547</v>
      </c>
      <c r="H231" s="143">
        <f t="shared" si="15"/>
        <v>4912.9911768989859</v>
      </c>
      <c r="I231" s="144">
        <f t="shared" si="16"/>
        <v>713247.75487903203</v>
      </c>
    </row>
    <row r="232" spans="3:9">
      <c r="C232" s="45">
        <v>18</v>
      </c>
      <c r="D232" s="146">
        <v>216</v>
      </c>
      <c r="E232" s="143">
        <f t="shared" si="19"/>
        <v>713247.75487903203</v>
      </c>
      <c r="F232" s="143">
        <f t="shared" si="18"/>
        <v>8503.7949071786406</v>
      </c>
      <c r="G232" s="143">
        <f t="shared" si="17"/>
        <v>3566.2387743951604</v>
      </c>
      <c r="H232" s="143">
        <f t="shared" si="15"/>
        <v>4937.5561327834803</v>
      </c>
      <c r="I232" s="144">
        <f t="shared" si="16"/>
        <v>708310.1987462485</v>
      </c>
    </row>
    <row r="233" spans="3:9">
      <c r="C233" s="39"/>
      <c r="D233" s="57">
        <v>217</v>
      </c>
      <c r="E233" s="143">
        <f t="shared" si="19"/>
        <v>708310.1987462485</v>
      </c>
      <c r="F233" s="143">
        <f t="shared" si="18"/>
        <v>8503.7949071786406</v>
      </c>
      <c r="G233" s="143">
        <f t="shared" si="17"/>
        <v>3541.5509937312427</v>
      </c>
      <c r="H233" s="143">
        <f t="shared" si="15"/>
        <v>4962.243913447398</v>
      </c>
      <c r="I233" s="144">
        <f t="shared" si="16"/>
        <v>703347.95483280113</v>
      </c>
    </row>
    <row r="234" spans="3:9">
      <c r="C234" s="39"/>
      <c r="D234" s="57">
        <v>218</v>
      </c>
      <c r="E234" s="143">
        <f t="shared" si="19"/>
        <v>703347.95483280113</v>
      </c>
      <c r="F234" s="143">
        <f t="shared" si="18"/>
        <v>8503.7949071786406</v>
      </c>
      <c r="G234" s="143">
        <f t="shared" si="17"/>
        <v>3516.7397741640057</v>
      </c>
      <c r="H234" s="143">
        <f t="shared" si="15"/>
        <v>4987.0551330146354</v>
      </c>
      <c r="I234" s="144">
        <f t="shared" si="16"/>
        <v>698360.89969978645</v>
      </c>
    </row>
    <row r="235" spans="3:9">
      <c r="C235" s="39"/>
      <c r="D235" s="57">
        <v>219</v>
      </c>
      <c r="E235" s="143">
        <f t="shared" si="19"/>
        <v>698360.89969978645</v>
      </c>
      <c r="F235" s="143">
        <f t="shared" si="18"/>
        <v>8503.7949071786406</v>
      </c>
      <c r="G235" s="143">
        <f t="shared" si="17"/>
        <v>3491.8044984989324</v>
      </c>
      <c r="H235" s="143">
        <f t="shared" si="15"/>
        <v>5011.9904086797087</v>
      </c>
      <c r="I235" s="144">
        <f t="shared" si="16"/>
        <v>693348.90929110674</v>
      </c>
    </row>
    <row r="236" spans="3:9">
      <c r="C236" s="39"/>
      <c r="D236" s="57">
        <v>220</v>
      </c>
      <c r="E236" s="143">
        <f t="shared" si="19"/>
        <v>693348.90929110674</v>
      </c>
      <c r="F236" s="143">
        <f t="shared" si="18"/>
        <v>8503.7949071786406</v>
      </c>
      <c r="G236" s="143">
        <f t="shared" si="17"/>
        <v>3466.744546455534</v>
      </c>
      <c r="H236" s="143">
        <f t="shared" si="15"/>
        <v>5037.0503607231067</v>
      </c>
      <c r="I236" s="144">
        <f t="shared" si="16"/>
        <v>688311.85893038369</v>
      </c>
    </row>
    <row r="237" spans="3:9">
      <c r="C237" s="39"/>
      <c r="D237" s="57">
        <v>221</v>
      </c>
      <c r="E237" s="143">
        <f t="shared" si="19"/>
        <v>688311.85893038369</v>
      </c>
      <c r="F237" s="143">
        <f t="shared" si="18"/>
        <v>8503.7949071786406</v>
      </c>
      <c r="G237" s="143">
        <f t="shared" si="17"/>
        <v>3441.5592946519187</v>
      </c>
      <c r="H237" s="143">
        <f t="shared" si="15"/>
        <v>5062.2356125267215</v>
      </c>
      <c r="I237" s="144">
        <f t="shared" si="16"/>
        <v>683249.62331785692</v>
      </c>
    </row>
    <row r="238" spans="3:9">
      <c r="C238" s="39"/>
      <c r="D238" s="57">
        <v>222</v>
      </c>
      <c r="E238" s="143">
        <f t="shared" si="19"/>
        <v>683249.62331785692</v>
      </c>
      <c r="F238" s="143">
        <f t="shared" si="18"/>
        <v>8503.7949071786406</v>
      </c>
      <c r="G238" s="143">
        <f t="shared" si="17"/>
        <v>3416.2481165892846</v>
      </c>
      <c r="H238" s="143">
        <f t="shared" si="15"/>
        <v>5087.5467905893565</v>
      </c>
      <c r="I238" s="144">
        <f t="shared" si="16"/>
        <v>678162.07652726758</v>
      </c>
    </row>
    <row r="239" spans="3:9">
      <c r="C239" s="39"/>
      <c r="D239" s="57">
        <v>223</v>
      </c>
      <c r="E239" s="143">
        <f t="shared" si="19"/>
        <v>678162.07652726758</v>
      </c>
      <c r="F239" s="143">
        <f t="shared" si="18"/>
        <v>8503.7949071786406</v>
      </c>
      <c r="G239" s="143">
        <f t="shared" si="17"/>
        <v>3390.8103826363381</v>
      </c>
      <c r="H239" s="143">
        <f t="shared" si="15"/>
        <v>5112.9845245423021</v>
      </c>
      <c r="I239" s="144">
        <f t="shared" si="16"/>
        <v>673049.09200272523</v>
      </c>
    </row>
    <row r="240" spans="3:9">
      <c r="C240" s="39"/>
      <c r="D240" s="57">
        <v>224</v>
      </c>
      <c r="E240" s="143">
        <f t="shared" si="19"/>
        <v>673049.09200272523</v>
      </c>
      <c r="F240" s="143">
        <f t="shared" si="18"/>
        <v>8503.7949071786406</v>
      </c>
      <c r="G240" s="143">
        <f t="shared" si="17"/>
        <v>3365.2454600136261</v>
      </c>
      <c r="H240" s="143">
        <f t="shared" si="15"/>
        <v>5138.5494471650145</v>
      </c>
      <c r="I240" s="144">
        <f t="shared" si="16"/>
        <v>667910.54255556024</v>
      </c>
    </row>
    <row r="241" spans="3:9">
      <c r="C241" s="39"/>
      <c r="D241" s="57">
        <v>225</v>
      </c>
      <c r="E241" s="143">
        <f t="shared" si="19"/>
        <v>667910.54255556024</v>
      </c>
      <c r="F241" s="143">
        <f t="shared" si="18"/>
        <v>8503.7949071786406</v>
      </c>
      <c r="G241" s="143">
        <f t="shared" si="17"/>
        <v>3339.5527127778014</v>
      </c>
      <c r="H241" s="143">
        <f t="shared" si="15"/>
        <v>5164.2421944008393</v>
      </c>
      <c r="I241" s="144">
        <f t="shared" si="16"/>
        <v>662746.30036115937</v>
      </c>
    </row>
    <row r="242" spans="3:9">
      <c r="C242" s="39"/>
      <c r="D242" s="57">
        <v>226</v>
      </c>
      <c r="E242" s="143">
        <f t="shared" si="19"/>
        <v>662746.30036115937</v>
      </c>
      <c r="F242" s="143">
        <f t="shared" si="18"/>
        <v>8503.7949071786406</v>
      </c>
      <c r="G242" s="143">
        <f t="shared" si="17"/>
        <v>3313.7315018057971</v>
      </c>
      <c r="H242" s="143">
        <f t="shared" si="15"/>
        <v>5190.0634053728436</v>
      </c>
      <c r="I242" s="144">
        <f t="shared" si="16"/>
        <v>657556.23695578647</v>
      </c>
    </row>
    <row r="243" spans="3:9">
      <c r="C243" s="39"/>
      <c r="D243" s="57">
        <v>227</v>
      </c>
      <c r="E243" s="143">
        <f t="shared" si="19"/>
        <v>657556.23695578647</v>
      </c>
      <c r="F243" s="143">
        <f t="shared" si="18"/>
        <v>8503.7949071786406</v>
      </c>
      <c r="G243" s="143">
        <f t="shared" si="17"/>
        <v>3287.7811847789326</v>
      </c>
      <c r="H243" s="143">
        <f t="shared" si="15"/>
        <v>5216.0137223997081</v>
      </c>
      <c r="I243" s="144">
        <f t="shared" si="16"/>
        <v>652340.22323338676</v>
      </c>
    </row>
    <row r="244" spans="3:9">
      <c r="C244" s="45">
        <v>19</v>
      </c>
      <c r="D244" s="146">
        <v>228</v>
      </c>
      <c r="E244" s="143">
        <f t="shared" si="19"/>
        <v>652340.22323338676</v>
      </c>
      <c r="F244" s="143">
        <f t="shared" si="18"/>
        <v>8503.7949071786406</v>
      </c>
      <c r="G244" s="143">
        <f t="shared" si="17"/>
        <v>3261.7011161669338</v>
      </c>
      <c r="H244" s="143">
        <f t="shared" si="15"/>
        <v>5242.0937910117063</v>
      </c>
      <c r="I244" s="144">
        <f t="shared" si="16"/>
        <v>647098.12944237504</v>
      </c>
    </row>
    <row r="245" spans="3:9">
      <c r="C245" s="39"/>
      <c r="D245" s="57">
        <v>229</v>
      </c>
      <c r="E245" s="143">
        <f t="shared" si="19"/>
        <v>647098.12944237504</v>
      </c>
      <c r="F245" s="143">
        <f t="shared" si="18"/>
        <v>8503.7949071786406</v>
      </c>
      <c r="G245" s="143">
        <f t="shared" si="17"/>
        <v>3235.4906472118751</v>
      </c>
      <c r="H245" s="143">
        <f t="shared" si="15"/>
        <v>5268.304259966766</v>
      </c>
      <c r="I245" s="144">
        <f t="shared" si="16"/>
        <v>641829.82518240833</v>
      </c>
    </row>
    <row r="246" spans="3:9">
      <c r="C246" s="39"/>
      <c r="D246" s="57">
        <v>230</v>
      </c>
      <c r="E246" s="143">
        <f t="shared" si="19"/>
        <v>641829.82518240833</v>
      </c>
      <c r="F246" s="143">
        <f t="shared" si="18"/>
        <v>8503.7949071786406</v>
      </c>
      <c r="G246" s="143">
        <f t="shared" si="17"/>
        <v>3209.1491259120417</v>
      </c>
      <c r="H246" s="143">
        <f t="shared" si="15"/>
        <v>5294.6457812665994</v>
      </c>
      <c r="I246" s="144">
        <f t="shared" si="16"/>
        <v>636535.17940114171</v>
      </c>
    </row>
    <row r="247" spans="3:9">
      <c r="C247" s="39"/>
      <c r="D247" s="57">
        <v>231</v>
      </c>
      <c r="E247" s="143">
        <f t="shared" si="19"/>
        <v>636535.17940114171</v>
      </c>
      <c r="F247" s="143">
        <f t="shared" si="18"/>
        <v>8503.7949071786406</v>
      </c>
      <c r="G247" s="143">
        <f t="shared" si="17"/>
        <v>3182.6758970057085</v>
      </c>
      <c r="H247" s="143">
        <f t="shared" si="15"/>
        <v>5321.1190101729317</v>
      </c>
      <c r="I247" s="144">
        <f t="shared" si="16"/>
        <v>631214.06039096881</v>
      </c>
    </row>
    <row r="248" spans="3:9">
      <c r="C248" s="39"/>
      <c r="D248" s="57">
        <v>232</v>
      </c>
      <c r="E248" s="143">
        <f t="shared" si="19"/>
        <v>631214.06039096881</v>
      </c>
      <c r="F248" s="143">
        <f t="shared" si="18"/>
        <v>8503.7949071786406</v>
      </c>
      <c r="G248" s="143">
        <f t="shared" si="17"/>
        <v>3156.0703019548441</v>
      </c>
      <c r="H248" s="143">
        <f t="shared" si="15"/>
        <v>5347.724605223797</v>
      </c>
      <c r="I248" s="144">
        <f t="shared" si="16"/>
        <v>625866.33578574506</v>
      </c>
    </row>
    <row r="249" spans="3:9">
      <c r="C249" s="39"/>
      <c r="D249" s="57">
        <v>233</v>
      </c>
      <c r="E249" s="143">
        <f t="shared" si="19"/>
        <v>625866.33578574506</v>
      </c>
      <c r="F249" s="143">
        <f t="shared" si="18"/>
        <v>8503.7949071786406</v>
      </c>
      <c r="G249" s="143">
        <f t="shared" si="17"/>
        <v>3129.3316789287255</v>
      </c>
      <c r="H249" s="143">
        <f t="shared" si="15"/>
        <v>5374.4632282499151</v>
      </c>
      <c r="I249" s="144">
        <f t="shared" si="16"/>
        <v>620491.87255749514</v>
      </c>
    </row>
    <row r="250" spans="3:9">
      <c r="C250" s="39"/>
      <c r="D250" s="57">
        <v>234</v>
      </c>
      <c r="E250" s="143">
        <f t="shared" si="19"/>
        <v>620491.87255749514</v>
      </c>
      <c r="F250" s="143">
        <f t="shared" si="18"/>
        <v>8503.7949071786406</v>
      </c>
      <c r="G250" s="143">
        <f t="shared" si="17"/>
        <v>3102.4593627874756</v>
      </c>
      <c r="H250" s="143">
        <f t="shared" si="15"/>
        <v>5401.3355443911651</v>
      </c>
      <c r="I250" s="144">
        <f t="shared" si="16"/>
        <v>615090.53701310395</v>
      </c>
    </row>
    <row r="251" spans="3:9">
      <c r="C251" s="39"/>
      <c r="D251" s="57">
        <v>235</v>
      </c>
      <c r="E251" s="143">
        <f t="shared" si="19"/>
        <v>615090.53701310395</v>
      </c>
      <c r="F251" s="143">
        <f t="shared" si="18"/>
        <v>8503.7949071786406</v>
      </c>
      <c r="G251" s="143">
        <f t="shared" si="17"/>
        <v>3075.4526850655197</v>
      </c>
      <c r="H251" s="143">
        <f t="shared" si="15"/>
        <v>5428.3422221131204</v>
      </c>
      <c r="I251" s="144">
        <f t="shared" si="16"/>
        <v>609662.19479099079</v>
      </c>
    </row>
    <row r="252" spans="3:9">
      <c r="C252" s="39"/>
      <c r="D252" s="57">
        <v>236</v>
      </c>
      <c r="E252" s="143">
        <f t="shared" si="19"/>
        <v>609662.19479099079</v>
      </c>
      <c r="F252" s="143">
        <f t="shared" si="18"/>
        <v>8503.7949071786406</v>
      </c>
      <c r="G252" s="143">
        <f t="shared" si="17"/>
        <v>3048.3109739549541</v>
      </c>
      <c r="H252" s="143">
        <f t="shared" si="15"/>
        <v>5455.4839332236861</v>
      </c>
      <c r="I252" s="144">
        <f t="shared" si="16"/>
        <v>604206.71085776715</v>
      </c>
    </row>
    <row r="253" spans="3:9">
      <c r="C253" s="39"/>
      <c r="D253" s="57">
        <v>237</v>
      </c>
      <c r="E253" s="143">
        <f t="shared" si="19"/>
        <v>604206.71085776715</v>
      </c>
      <c r="F253" s="143">
        <f t="shared" si="18"/>
        <v>8503.7949071786406</v>
      </c>
      <c r="G253" s="143">
        <f t="shared" si="17"/>
        <v>3021.0335542888356</v>
      </c>
      <c r="H253" s="143">
        <f t="shared" si="15"/>
        <v>5482.7613528898055</v>
      </c>
      <c r="I253" s="144">
        <f t="shared" si="16"/>
        <v>598723.94950487732</v>
      </c>
    </row>
    <row r="254" spans="3:9">
      <c r="C254" s="39"/>
      <c r="D254" s="57">
        <v>238</v>
      </c>
      <c r="E254" s="143">
        <f t="shared" si="19"/>
        <v>598723.94950487732</v>
      </c>
      <c r="F254" s="143">
        <f t="shared" si="18"/>
        <v>8503.7949071786406</v>
      </c>
      <c r="G254" s="143">
        <f t="shared" si="17"/>
        <v>2993.6197475243866</v>
      </c>
      <c r="H254" s="143">
        <f t="shared" si="15"/>
        <v>5510.1751596542545</v>
      </c>
      <c r="I254" s="144">
        <f t="shared" si="16"/>
        <v>593213.77434522309</v>
      </c>
    </row>
    <row r="255" spans="3:9">
      <c r="C255" s="39"/>
      <c r="D255" s="57">
        <v>239</v>
      </c>
      <c r="E255" s="143">
        <f t="shared" si="19"/>
        <v>593213.77434522309</v>
      </c>
      <c r="F255" s="143">
        <f t="shared" si="18"/>
        <v>8503.7949071786406</v>
      </c>
      <c r="G255" s="143">
        <f t="shared" si="17"/>
        <v>2966.0688717261155</v>
      </c>
      <c r="H255" s="143">
        <f t="shared" si="15"/>
        <v>5537.7260354525251</v>
      </c>
      <c r="I255" s="144">
        <f t="shared" si="16"/>
        <v>587676.04830977053</v>
      </c>
    </row>
    <row r="256" spans="3:9">
      <c r="C256" s="45">
        <v>20</v>
      </c>
      <c r="D256" s="146">
        <v>240</v>
      </c>
      <c r="E256" s="143">
        <f t="shared" si="19"/>
        <v>587676.04830977053</v>
      </c>
      <c r="F256" s="143">
        <f t="shared" si="18"/>
        <v>8503.7949071786406</v>
      </c>
      <c r="G256" s="143">
        <f t="shared" si="17"/>
        <v>2938.3802415488526</v>
      </c>
      <c r="H256" s="143">
        <f t="shared" si="15"/>
        <v>5565.414665629788</v>
      </c>
      <c r="I256" s="144">
        <f t="shared" si="16"/>
        <v>582110.63364414079</v>
      </c>
    </row>
    <row r="257" spans="3:9">
      <c r="C257" s="39"/>
      <c r="D257" s="57">
        <v>241</v>
      </c>
      <c r="E257" s="143">
        <f t="shared" si="19"/>
        <v>582110.63364414079</v>
      </c>
      <c r="F257" s="143">
        <f t="shared" si="18"/>
        <v>8503.7949071786406</v>
      </c>
      <c r="G257" s="143">
        <f t="shared" si="17"/>
        <v>2910.5531682207038</v>
      </c>
      <c r="H257" s="143">
        <f t="shared" si="15"/>
        <v>5593.2417389579368</v>
      </c>
      <c r="I257" s="144">
        <f t="shared" si="16"/>
        <v>576517.39190518286</v>
      </c>
    </row>
    <row r="258" spans="3:9">
      <c r="C258" s="39"/>
      <c r="D258" s="57">
        <v>242</v>
      </c>
      <c r="E258" s="143">
        <f t="shared" si="19"/>
        <v>576517.39190518286</v>
      </c>
      <c r="F258" s="143">
        <f t="shared" si="18"/>
        <v>8503.7949071786406</v>
      </c>
      <c r="G258" s="143">
        <f t="shared" si="17"/>
        <v>2882.5869595259142</v>
      </c>
      <c r="H258" s="143">
        <f t="shared" si="15"/>
        <v>5621.2079476527269</v>
      </c>
      <c r="I258" s="144">
        <f t="shared" si="16"/>
        <v>570896.18395753019</v>
      </c>
    </row>
    <row r="259" spans="3:9">
      <c r="C259" s="39"/>
      <c r="D259" s="57">
        <v>243</v>
      </c>
      <c r="E259" s="143">
        <f t="shared" si="19"/>
        <v>570896.18395753019</v>
      </c>
      <c r="F259" s="143">
        <f t="shared" si="18"/>
        <v>8503.7949071786406</v>
      </c>
      <c r="G259" s="143">
        <f t="shared" si="17"/>
        <v>2854.4809197876511</v>
      </c>
      <c r="H259" s="143">
        <f t="shared" si="15"/>
        <v>5649.3139873909895</v>
      </c>
      <c r="I259" s="144">
        <f t="shared" si="16"/>
        <v>565246.86997013923</v>
      </c>
    </row>
    <row r="260" spans="3:9">
      <c r="C260" s="39"/>
      <c r="D260" s="57">
        <v>244</v>
      </c>
      <c r="E260" s="143">
        <f t="shared" si="19"/>
        <v>565246.86997013923</v>
      </c>
      <c r="F260" s="143">
        <f t="shared" si="18"/>
        <v>8503.7949071786406</v>
      </c>
      <c r="G260" s="143">
        <f t="shared" si="17"/>
        <v>2826.2343498506962</v>
      </c>
      <c r="H260" s="143">
        <f t="shared" si="15"/>
        <v>5677.5605573279445</v>
      </c>
      <c r="I260" s="144">
        <f t="shared" si="16"/>
        <v>559569.3094128113</v>
      </c>
    </row>
    <row r="261" spans="3:9">
      <c r="C261" s="39"/>
      <c r="D261" s="57">
        <v>245</v>
      </c>
      <c r="E261" s="143">
        <f t="shared" si="19"/>
        <v>559569.3094128113</v>
      </c>
      <c r="F261" s="143">
        <f t="shared" si="18"/>
        <v>8503.7949071786406</v>
      </c>
      <c r="G261" s="143">
        <f t="shared" si="17"/>
        <v>2797.8465470640567</v>
      </c>
      <c r="H261" s="143">
        <f t="shared" si="15"/>
        <v>5705.9483601145839</v>
      </c>
      <c r="I261" s="144">
        <f t="shared" si="16"/>
        <v>553863.36105269671</v>
      </c>
    </row>
    <row r="262" spans="3:9">
      <c r="C262" s="39"/>
      <c r="D262" s="57">
        <v>246</v>
      </c>
      <c r="E262" s="143">
        <f t="shared" si="19"/>
        <v>553863.36105269671</v>
      </c>
      <c r="F262" s="143">
        <f t="shared" si="18"/>
        <v>8503.7949071786406</v>
      </c>
      <c r="G262" s="143">
        <f t="shared" si="17"/>
        <v>2769.3168052634837</v>
      </c>
      <c r="H262" s="143">
        <f t="shared" si="15"/>
        <v>5734.4781019151569</v>
      </c>
      <c r="I262" s="144">
        <f t="shared" si="16"/>
        <v>548128.8829507815</v>
      </c>
    </row>
    <row r="263" spans="3:9">
      <c r="C263" s="39"/>
      <c r="D263" s="57">
        <v>247</v>
      </c>
      <c r="E263" s="143">
        <f t="shared" si="19"/>
        <v>548128.8829507815</v>
      </c>
      <c r="F263" s="143">
        <f t="shared" si="18"/>
        <v>8503.7949071786406</v>
      </c>
      <c r="G263" s="143">
        <f t="shared" si="17"/>
        <v>2740.6444147539073</v>
      </c>
      <c r="H263" s="143">
        <f t="shared" si="15"/>
        <v>5763.1504924247329</v>
      </c>
      <c r="I263" s="144">
        <f t="shared" si="16"/>
        <v>542365.73245835677</v>
      </c>
    </row>
    <row r="264" spans="3:9">
      <c r="C264" s="39"/>
      <c r="D264" s="57">
        <v>248</v>
      </c>
      <c r="E264" s="143">
        <f t="shared" si="19"/>
        <v>542365.73245835677</v>
      </c>
      <c r="F264" s="143">
        <f t="shared" si="18"/>
        <v>8503.7949071786406</v>
      </c>
      <c r="G264" s="143">
        <f t="shared" si="17"/>
        <v>2711.828662291784</v>
      </c>
      <c r="H264" s="143">
        <f t="shared" si="15"/>
        <v>5791.9662448868567</v>
      </c>
      <c r="I264" s="144">
        <f t="shared" si="16"/>
        <v>536573.76621346991</v>
      </c>
    </row>
    <row r="265" spans="3:9">
      <c r="C265" s="39"/>
      <c r="D265" s="57">
        <v>249</v>
      </c>
      <c r="E265" s="143">
        <f t="shared" si="19"/>
        <v>536573.76621346991</v>
      </c>
      <c r="F265" s="143">
        <f t="shared" si="18"/>
        <v>8503.7949071786406</v>
      </c>
      <c r="G265" s="143">
        <f t="shared" si="17"/>
        <v>2682.8688310673497</v>
      </c>
      <c r="H265" s="143">
        <f t="shared" si="15"/>
        <v>5820.926076111291</v>
      </c>
      <c r="I265" s="144">
        <f t="shared" si="16"/>
        <v>530752.84013735864</v>
      </c>
    </row>
    <row r="266" spans="3:9">
      <c r="C266" s="39"/>
      <c r="D266" s="57">
        <v>250</v>
      </c>
      <c r="E266" s="143">
        <f t="shared" si="19"/>
        <v>530752.84013735864</v>
      </c>
      <c r="F266" s="143">
        <f t="shared" si="18"/>
        <v>8503.7949071786406</v>
      </c>
      <c r="G266" s="143">
        <f t="shared" si="17"/>
        <v>2653.7642006867932</v>
      </c>
      <c r="H266" s="143">
        <f t="shared" si="15"/>
        <v>5850.030706491847</v>
      </c>
      <c r="I266" s="144">
        <f t="shared" si="16"/>
        <v>524902.80943086674</v>
      </c>
    </row>
    <row r="267" spans="3:9">
      <c r="C267" s="39"/>
      <c r="D267" s="57">
        <v>251</v>
      </c>
      <c r="E267" s="143">
        <f t="shared" si="19"/>
        <v>524902.80943086674</v>
      </c>
      <c r="F267" s="143">
        <f t="shared" si="18"/>
        <v>8503.7949071786406</v>
      </c>
      <c r="G267" s="143">
        <f t="shared" si="17"/>
        <v>2624.5140471543336</v>
      </c>
      <c r="H267" s="143">
        <f t="shared" si="15"/>
        <v>5879.280860024307</v>
      </c>
      <c r="I267" s="144">
        <f t="shared" si="16"/>
        <v>519023.52857084241</v>
      </c>
    </row>
    <row r="268" spans="3:9">
      <c r="C268" s="45">
        <v>21</v>
      </c>
      <c r="D268" s="146">
        <v>252</v>
      </c>
      <c r="E268" s="143">
        <f t="shared" si="19"/>
        <v>519023.52857084241</v>
      </c>
      <c r="F268" s="143">
        <f t="shared" si="18"/>
        <v>8503.7949071786406</v>
      </c>
      <c r="G268" s="143">
        <f t="shared" si="17"/>
        <v>2595.1176428542121</v>
      </c>
      <c r="H268" s="143">
        <f t="shared" si="15"/>
        <v>5908.6772643244285</v>
      </c>
      <c r="I268" s="144">
        <f t="shared" si="16"/>
        <v>513114.85130651796</v>
      </c>
    </row>
    <row r="269" spans="3:9">
      <c r="C269" s="39"/>
      <c r="D269" s="57">
        <v>253</v>
      </c>
      <c r="E269" s="143">
        <f t="shared" si="19"/>
        <v>513114.85130651796</v>
      </c>
      <c r="F269" s="143">
        <f t="shared" si="18"/>
        <v>8503.7949071786406</v>
      </c>
      <c r="G269" s="143">
        <f t="shared" si="17"/>
        <v>2565.57425653259</v>
      </c>
      <c r="H269" s="143">
        <f t="shared" si="15"/>
        <v>5938.2206506460507</v>
      </c>
      <c r="I269" s="144">
        <f t="shared" si="16"/>
        <v>507176.63065587188</v>
      </c>
    </row>
    <row r="270" spans="3:9">
      <c r="C270" s="39"/>
      <c r="D270" s="57">
        <v>254</v>
      </c>
      <c r="E270" s="143">
        <f t="shared" si="19"/>
        <v>507176.63065587188</v>
      </c>
      <c r="F270" s="143">
        <f t="shared" si="18"/>
        <v>8503.7949071786406</v>
      </c>
      <c r="G270" s="143">
        <f t="shared" si="17"/>
        <v>2535.8831532793592</v>
      </c>
      <c r="H270" s="143">
        <f t="shared" si="15"/>
        <v>5967.9117538992814</v>
      </c>
      <c r="I270" s="144">
        <f t="shared" si="16"/>
        <v>501208.71890197258</v>
      </c>
    </row>
    <row r="271" spans="3:9">
      <c r="C271" s="39"/>
      <c r="D271" s="57">
        <v>255</v>
      </c>
      <c r="E271" s="143">
        <f t="shared" si="19"/>
        <v>501208.71890197258</v>
      </c>
      <c r="F271" s="143">
        <f t="shared" si="18"/>
        <v>8503.7949071786406</v>
      </c>
      <c r="G271" s="143">
        <f t="shared" si="17"/>
        <v>2506.0435945098629</v>
      </c>
      <c r="H271" s="143">
        <f t="shared" si="15"/>
        <v>5997.7513126687772</v>
      </c>
      <c r="I271" s="144">
        <f t="shared" si="16"/>
        <v>495210.96758930379</v>
      </c>
    </row>
    <row r="272" spans="3:9">
      <c r="C272" s="39"/>
      <c r="D272" s="57">
        <v>256</v>
      </c>
      <c r="E272" s="143">
        <f t="shared" si="19"/>
        <v>495210.96758930379</v>
      </c>
      <c r="F272" s="143">
        <f t="shared" si="18"/>
        <v>8503.7949071786406</v>
      </c>
      <c r="G272" s="143">
        <f t="shared" si="17"/>
        <v>2476.054837946519</v>
      </c>
      <c r="H272" s="143">
        <f t="shared" si="15"/>
        <v>6027.7400692321216</v>
      </c>
      <c r="I272" s="144">
        <f t="shared" si="16"/>
        <v>489183.22752007167</v>
      </c>
    </row>
    <row r="273" spans="3:9">
      <c r="C273" s="39"/>
      <c r="D273" s="57">
        <v>257</v>
      </c>
      <c r="E273" s="143">
        <f t="shared" si="19"/>
        <v>489183.22752007167</v>
      </c>
      <c r="F273" s="143">
        <f t="shared" si="18"/>
        <v>8503.7949071786406</v>
      </c>
      <c r="G273" s="143">
        <f t="shared" si="17"/>
        <v>2445.9161376003585</v>
      </c>
      <c r="H273" s="143">
        <f t="shared" ref="H273:H336" si="20">F273-G273</f>
        <v>6057.8787695782821</v>
      </c>
      <c r="I273" s="144">
        <f t="shared" ref="I273:I336" si="21">E273-H273</f>
        <v>483125.34875049337</v>
      </c>
    </row>
    <row r="274" spans="3:9">
      <c r="C274" s="39"/>
      <c r="D274" s="57">
        <v>258</v>
      </c>
      <c r="E274" s="143">
        <f t="shared" si="19"/>
        <v>483125.34875049337</v>
      </c>
      <c r="F274" s="143">
        <f t="shared" si="18"/>
        <v>8503.7949071786406</v>
      </c>
      <c r="G274" s="143">
        <f t="shared" ref="G274:G337" si="22">IF(D274&gt;$D$10,0,($D$6/12)*I273)</f>
        <v>2415.6267437524671</v>
      </c>
      <c r="H274" s="143">
        <f t="shared" si="20"/>
        <v>6088.1681634261731</v>
      </c>
      <c r="I274" s="144">
        <f t="shared" si="21"/>
        <v>477037.18058706721</v>
      </c>
    </row>
    <row r="275" spans="3:9">
      <c r="C275" s="39"/>
      <c r="D275" s="57">
        <v>259</v>
      </c>
      <c r="E275" s="143">
        <f t="shared" si="19"/>
        <v>477037.18058706721</v>
      </c>
      <c r="F275" s="143">
        <f t="shared" si="18"/>
        <v>8503.7949071786406</v>
      </c>
      <c r="G275" s="143">
        <f t="shared" si="22"/>
        <v>2385.1859029353359</v>
      </c>
      <c r="H275" s="143">
        <f t="shared" si="20"/>
        <v>6118.6090042433043</v>
      </c>
      <c r="I275" s="144">
        <f t="shared" si="21"/>
        <v>470918.57158282393</v>
      </c>
    </row>
    <row r="276" spans="3:9">
      <c r="C276" s="39"/>
      <c r="D276" s="57">
        <v>260</v>
      </c>
      <c r="E276" s="143">
        <f t="shared" si="19"/>
        <v>470918.57158282393</v>
      </c>
      <c r="F276" s="143">
        <f t="shared" si="18"/>
        <v>8503.7949071786406</v>
      </c>
      <c r="G276" s="143">
        <f t="shared" si="22"/>
        <v>2354.5928579141196</v>
      </c>
      <c r="H276" s="143">
        <f t="shared" si="20"/>
        <v>6149.2020492645206</v>
      </c>
      <c r="I276" s="144">
        <f t="shared" si="21"/>
        <v>464769.36953355942</v>
      </c>
    </row>
    <row r="277" spans="3:9">
      <c r="C277" s="39"/>
      <c r="D277" s="57">
        <v>261</v>
      </c>
      <c r="E277" s="143">
        <f t="shared" si="19"/>
        <v>464769.36953355942</v>
      </c>
      <c r="F277" s="143">
        <f t="shared" ref="F277:F340" si="23">IF(D277&gt;$D$10,0,IF(D277&lt;=$D$8,G277,-PMT($D$6/12,$D$9,$D$5,0,0)))</f>
        <v>8503.7949071786406</v>
      </c>
      <c r="G277" s="143">
        <f t="shared" si="22"/>
        <v>2323.8468476677972</v>
      </c>
      <c r="H277" s="143">
        <f t="shared" si="20"/>
        <v>6179.9480595108434</v>
      </c>
      <c r="I277" s="144">
        <f t="shared" si="21"/>
        <v>458589.42147404858</v>
      </c>
    </row>
    <row r="278" spans="3:9">
      <c r="C278" s="39"/>
      <c r="D278" s="57">
        <v>262</v>
      </c>
      <c r="E278" s="143">
        <f t="shared" ref="E278:E341" si="24">IF(D278&gt;$D$10,0,I277)</f>
        <v>458589.42147404858</v>
      </c>
      <c r="F278" s="143">
        <f t="shared" si="23"/>
        <v>8503.7949071786406</v>
      </c>
      <c r="G278" s="143">
        <f t="shared" si="22"/>
        <v>2292.947107370243</v>
      </c>
      <c r="H278" s="143">
        <f t="shared" si="20"/>
        <v>6210.8477998083981</v>
      </c>
      <c r="I278" s="144">
        <f t="shared" si="21"/>
        <v>452378.57367424015</v>
      </c>
    </row>
    <row r="279" spans="3:9">
      <c r="C279" s="39"/>
      <c r="D279" s="57">
        <v>263</v>
      </c>
      <c r="E279" s="143">
        <f t="shared" si="24"/>
        <v>452378.57367424015</v>
      </c>
      <c r="F279" s="143">
        <f t="shared" si="23"/>
        <v>8503.7949071786406</v>
      </c>
      <c r="G279" s="143">
        <f t="shared" si="22"/>
        <v>2261.8928683712006</v>
      </c>
      <c r="H279" s="143">
        <f t="shared" si="20"/>
        <v>6241.9020388074405</v>
      </c>
      <c r="I279" s="144">
        <f t="shared" si="21"/>
        <v>446136.67163543269</v>
      </c>
    </row>
    <row r="280" spans="3:9">
      <c r="C280" s="45">
        <v>22</v>
      </c>
      <c r="D280" s="146">
        <v>264</v>
      </c>
      <c r="E280" s="143">
        <f t="shared" si="24"/>
        <v>446136.67163543269</v>
      </c>
      <c r="F280" s="143">
        <f t="shared" si="23"/>
        <v>8503.7949071786406</v>
      </c>
      <c r="G280" s="143">
        <f t="shared" si="22"/>
        <v>2230.6833581771634</v>
      </c>
      <c r="H280" s="143">
        <f t="shared" si="20"/>
        <v>6273.1115490014772</v>
      </c>
      <c r="I280" s="144">
        <f t="shared" si="21"/>
        <v>439863.56008643121</v>
      </c>
    </row>
    <row r="281" spans="3:9">
      <c r="C281" s="39"/>
      <c r="D281" s="57">
        <v>265</v>
      </c>
      <c r="E281" s="143">
        <f t="shared" si="24"/>
        <v>439863.56008643121</v>
      </c>
      <c r="F281" s="143">
        <f t="shared" si="23"/>
        <v>8503.7949071786406</v>
      </c>
      <c r="G281" s="143">
        <f t="shared" si="22"/>
        <v>2199.3178004321562</v>
      </c>
      <c r="H281" s="143">
        <f t="shared" si="20"/>
        <v>6304.4771067464844</v>
      </c>
      <c r="I281" s="144">
        <f t="shared" si="21"/>
        <v>433559.08297968475</v>
      </c>
    </row>
    <row r="282" spans="3:9">
      <c r="C282" s="39"/>
      <c r="D282" s="57">
        <v>266</v>
      </c>
      <c r="E282" s="143">
        <f t="shared" si="24"/>
        <v>433559.08297968475</v>
      </c>
      <c r="F282" s="143">
        <f t="shared" si="23"/>
        <v>8503.7949071786406</v>
      </c>
      <c r="G282" s="143">
        <f t="shared" si="22"/>
        <v>2167.7954148984236</v>
      </c>
      <c r="H282" s="143">
        <f t="shared" si="20"/>
        <v>6335.9994922802171</v>
      </c>
      <c r="I282" s="144">
        <f t="shared" si="21"/>
        <v>427223.08348740451</v>
      </c>
    </row>
    <row r="283" spans="3:9">
      <c r="C283" s="39"/>
      <c r="D283" s="57">
        <v>267</v>
      </c>
      <c r="E283" s="143">
        <f t="shared" si="24"/>
        <v>427223.08348740451</v>
      </c>
      <c r="F283" s="143">
        <f t="shared" si="23"/>
        <v>8503.7949071786406</v>
      </c>
      <c r="G283" s="143">
        <f t="shared" si="22"/>
        <v>2136.1154174370226</v>
      </c>
      <c r="H283" s="143">
        <f t="shared" si="20"/>
        <v>6367.6794897416185</v>
      </c>
      <c r="I283" s="144">
        <f t="shared" si="21"/>
        <v>420855.40399766288</v>
      </c>
    </row>
    <row r="284" spans="3:9">
      <c r="C284" s="39"/>
      <c r="D284" s="57">
        <v>268</v>
      </c>
      <c r="E284" s="143">
        <f t="shared" si="24"/>
        <v>420855.40399766288</v>
      </c>
      <c r="F284" s="143">
        <f t="shared" si="23"/>
        <v>8503.7949071786406</v>
      </c>
      <c r="G284" s="143">
        <f t="shared" si="22"/>
        <v>2104.2770199883144</v>
      </c>
      <c r="H284" s="143">
        <f t="shared" si="20"/>
        <v>6399.5178871903263</v>
      </c>
      <c r="I284" s="144">
        <f t="shared" si="21"/>
        <v>414455.88611047255</v>
      </c>
    </row>
    <row r="285" spans="3:9">
      <c r="C285" s="39"/>
      <c r="D285" s="57">
        <v>269</v>
      </c>
      <c r="E285" s="143">
        <f t="shared" si="24"/>
        <v>414455.88611047255</v>
      </c>
      <c r="F285" s="143">
        <f t="shared" si="23"/>
        <v>8503.7949071786406</v>
      </c>
      <c r="G285" s="143">
        <f t="shared" si="22"/>
        <v>2072.279430552363</v>
      </c>
      <c r="H285" s="143">
        <f t="shared" si="20"/>
        <v>6431.5154766262776</v>
      </c>
      <c r="I285" s="144">
        <f t="shared" si="21"/>
        <v>408024.37063384627</v>
      </c>
    </row>
    <row r="286" spans="3:9">
      <c r="C286" s="39"/>
      <c r="D286" s="57">
        <v>270</v>
      </c>
      <c r="E286" s="143">
        <f t="shared" si="24"/>
        <v>408024.37063384627</v>
      </c>
      <c r="F286" s="143">
        <f t="shared" si="23"/>
        <v>8503.7949071786406</v>
      </c>
      <c r="G286" s="143">
        <f t="shared" si="22"/>
        <v>2040.1218531692314</v>
      </c>
      <c r="H286" s="143">
        <f t="shared" si="20"/>
        <v>6463.6730540094095</v>
      </c>
      <c r="I286" s="144">
        <f t="shared" si="21"/>
        <v>401560.69757983688</v>
      </c>
    </row>
    <row r="287" spans="3:9">
      <c r="C287" s="39"/>
      <c r="D287" s="57">
        <v>271</v>
      </c>
      <c r="E287" s="143">
        <f t="shared" si="24"/>
        <v>401560.69757983688</v>
      </c>
      <c r="F287" s="143">
        <f t="shared" si="23"/>
        <v>8503.7949071786406</v>
      </c>
      <c r="G287" s="143">
        <f t="shared" si="22"/>
        <v>2007.8034878991843</v>
      </c>
      <c r="H287" s="143">
        <f t="shared" si="20"/>
        <v>6495.9914192794567</v>
      </c>
      <c r="I287" s="144">
        <f t="shared" si="21"/>
        <v>395064.7061605574</v>
      </c>
    </row>
    <row r="288" spans="3:9">
      <c r="C288" s="39"/>
      <c r="D288" s="57">
        <v>272</v>
      </c>
      <c r="E288" s="143">
        <f t="shared" si="24"/>
        <v>395064.7061605574</v>
      </c>
      <c r="F288" s="143">
        <f t="shared" si="23"/>
        <v>8503.7949071786406</v>
      </c>
      <c r="G288" s="143">
        <f t="shared" si="22"/>
        <v>1975.323530802787</v>
      </c>
      <c r="H288" s="143">
        <f t="shared" si="20"/>
        <v>6528.4713763758537</v>
      </c>
      <c r="I288" s="144">
        <f t="shared" si="21"/>
        <v>388536.23478418152</v>
      </c>
    </row>
    <row r="289" spans="3:9">
      <c r="C289" s="39"/>
      <c r="D289" s="57">
        <v>273</v>
      </c>
      <c r="E289" s="143">
        <f t="shared" si="24"/>
        <v>388536.23478418152</v>
      </c>
      <c r="F289" s="143">
        <f t="shared" si="23"/>
        <v>8503.7949071786406</v>
      </c>
      <c r="G289" s="143">
        <f t="shared" si="22"/>
        <v>1942.6811739209077</v>
      </c>
      <c r="H289" s="143">
        <f t="shared" si="20"/>
        <v>6561.1137332577327</v>
      </c>
      <c r="I289" s="144">
        <f t="shared" si="21"/>
        <v>381975.12105092377</v>
      </c>
    </row>
    <row r="290" spans="3:9">
      <c r="C290" s="39"/>
      <c r="D290" s="57">
        <v>274</v>
      </c>
      <c r="E290" s="143">
        <f t="shared" si="24"/>
        <v>381975.12105092377</v>
      </c>
      <c r="F290" s="143">
        <f t="shared" si="23"/>
        <v>8503.7949071786406</v>
      </c>
      <c r="G290" s="143">
        <f t="shared" si="22"/>
        <v>1909.8756052546189</v>
      </c>
      <c r="H290" s="143">
        <f t="shared" si="20"/>
        <v>6593.919301924022</v>
      </c>
      <c r="I290" s="144">
        <f t="shared" si="21"/>
        <v>375381.20174899977</v>
      </c>
    </row>
    <row r="291" spans="3:9">
      <c r="C291" s="39"/>
      <c r="D291" s="57">
        <v>275</v>
      </c>
      <c r="E291" s="143">
        <f t="shared" si="24"/>
        <v>375381.20174899977</v>
      </c>
      <c r="F291" s="143">
        <f t="shared" si="23"/>
        <v>8503.7949071786406</v>
      </c>
      <c r="G291" s="143">
        <f t="shared" si="22"/>
        <v>1876.9060087449989</v>
      </c>
      <c r="H291" s="143">
        <f t="shared" si="20"/>
        <v>6626.8888984336418</v>
      </c>
      <c r="I291" s="144">
        <f t="shared" si="21"/>
        <v>368754.31285056612</v>
      </c>
    </row>
    <row r="292" spans="3:9">
      <c r="C292" s="45">
        <v>23</v>
      </c>
      <c r="D292" s="146">
        <v>276</v>
      </c>
      <c r="E292" s="143">
        <f t="shared" si="24"/>
        <v>368754.31285056612</v>
      </c>
      <c r="F292" s="143">
        <f t="shared" si="23"/>
        <v>8503.7949071786406</v>
      </c>
      <c r="G292" s="143">
        <f t="shared" si="22"/>
        <v>1843.7715642528306</v>
      </c>
      <c r="H292" s="143">
        <f t="shared" si="20"/>
        <v>6660.0233429258096</v>
      </c>
      <c r="I292" s="144">
        <f t="shared" si="21"/>
        <v>362094.28950764029</v>
      </c>
    </row>
    <row r="293" spans="3:9">
      <c r="C293" s="39"/>
      <c r="D293" s="57">
        <v>277</v>
      </c>
      <c r="E293" s="143">
        <f t="shared" si="24"/>
        <v>362094.28950764029</v>
      </c>
      <c r="F293" s="143">
        <f t="shared" si="23"/>
        <v>8503.7949071786406</v>
      </c>
      <c r="G293" s="143">
        <f t="shared" si="22"/>
        <v>1810.4714475382016</v>
      </c>
      <c r="H293" s="143">
        <f t="shared" si="20"/>
        <v>6693.3234596404391</v>
      </c>
      <c r="I293" s="144">
        <f t="shared" si="21"/>
        <v>355400.96604799986</v>
      </c>
    </row>
    <row r="294" spans="3:9">
      <c r="C294" s="39"/>
      <c r="D294" s="57">
        <v>278</v>
      </c>
      <c r="E294" s="143">
        <f t="shared" si="24"/>
        <v>355400.96604799986</v>
      </c>
      <c r="F294" s="143">
        <f t="shared" si="23"/>
        <v>8503.7949071786406</v>
      </c>
      <c r="G294" s="143">
        <f t="shared" si="22"/>
        <v>1777.0048302399994</v>
      </c>
      <c r="H294" s="143">
        <f t="shared" si="20"/>
        <v>6726.7900769386415</v>
      </c>
      <c r="I294" s="144">
        <f t="shared" si="21"/>
        <v>348674.17597106122</v>
      </c>
    </row>
    <row r="295" spans="3:9">
      <c r="C295" s="39"/>
      <c r="D295" s="57">
        <v>279</v>
      </c>
      <c r="E295" s="143">
        <f t="shared" si="24"/>
        <v>348674.17597106122</v>
      </c>
      <c r="F295" s="143">
        <f t="shared" si="23"/>
        <v>8503.7949071786406</v>
      </c>
      <c r="G295" s="143">
        <f t="shared" si="22"/>
        <v>1743.3708798553062</v>
      </c>
      <c r="H295" s="143">
        <f t="shared" si="20"/>
        <v>6760.4240273233345</v>
      </c>
      <c r="I295" s="144">
        <f t="shared" si="21"/>
        <v>341913.75194373791</v>
      </c>
    </row>
    <row r="296" spans="3:9">
      <c r="C296" s="39"/>
      <c r="D296" s="57">
        <v>280</v>
      </c>
      <c r="E296" s="143">
        <f t="shared" si="24"/>
        <v>341913.75194373791</v>
      </c>
      <c r="F296" s="143">
        <f t="shared" si="23"/>
        <v>8503.7949071786406</v>
      </c>
      <c r="G296" s="143">
        <f t="shared" si="22"/>
        <v>1709.5687597186895</v>
      </c>
      <c r="H296" s="143">
        <f t="shared" si="20"/>
        <v>6794.2261474599509</v>
      </c>
      <c r="I296" s="144">
        <f t="shared" si="21"/>
        <v>335119.52579627797</v>
      </c>
    </row>
    <row r="297" spans="3:9">
      <c r="C297" s="39"/>
      <c r="D297" s="57">
        <v>281</v>
      </c>
      <c r="E297" s="143">
        <f t="shared" si="24"/>
        <v>335119.52579627797</v>
      </c>
      <c r="F297" s="143">
        <f t="shared" si="23"/>
        <v>8503.7949071786406</v>
      </c>
      <c r="G297" s="143">
        <f t="shared" si="22"/>
        <v>1675.5976289813898</v>
      </c>
      <c r="H297" s="143">
        <f t="shared" si="20"/>
        <v>6828.1972781972509</v>
      </c>
      <c r="I297" s="144">
        <f t="shared" si="21"/>
        <v>328291.3285180807</v>
      </c>
    </row>
    <row r="298" spans="3:9">
      <c r="C298" s="39"/>
      <c r="D298" s="57">
        <v>282</v>
      </c>
      <c r="E298" s="143">
        <f t="shared" si="24"/>
        <v>328291.3285180807</v>
      </c>
      <c r="F298" s="143">
        <f t="shared" si="23"/>
        <v>8503.7949071786406</v>
      </c>
      <c r="G298" s="143">
        <f t="shared" si="22"/>
        <v>1641.4566425904036</v>
      </c>
      <c r="H298" s="143">
        <f t="shared" si="20"/>
        <v>6862.3382645882375</v>
      </c>
      <c r="I298" s="144">
        <f t="shared" si="21"/>
        <v>321428.99025349249</v>
      </c>
    </row>
    <row r="299" spans="3:9">
      <c r="C299" s="39"/>
      <c r="D299" s="57">
        <v>283</v>
      </c>
      <c r="E299" s="143">
        <f t="shared" si="24"/>
        <v>321428.99025349249</v>
      </c>
      <c r="F299" s="143">
        <f t="shared" si="23"/>
        <v>8503.7949071786406</v>
      </c>
      <c r="G299" s="143">
        <f t="shared" si="22"/>
        <v>1607.1449512674626</v>
      </c>
      <c r="H299" s="143">
        <f t="shared" si="20"/>
        <v>6896.649955911178</v>
      </c>
      <c r="I299" s="144">
        <f t="shared" si="21"/>
        <v>314532.34029758134</v>
      </c>
    </row>
    <row r="300" spans="3:9">
      <c r="C300" s="39"/>
      <c r="D300" s="57">
        <v>284</v>
      </c>
      <c r="E300" s="143">
        <f t="shared" si="24"/>
        <v>314532.34029758134</v>
      </c>
      <c r="F300" s="143">
        <f t="shared" si="23"/>
        <v>8503.7949071786406</v>
      </c>
      <c r="G300" s="143">
        <f t="shared" si="22"/>
        <v>1572.6617014879066</v>
      </c>
      <c r="H300" s="143">
        <f t="shared" si="20"/>
        <v>6931.133205690734</v>
      </c>
      <c r="I300" s="144">
        <f t="shared" si="21"/>
        <v>307601.20709189062</v>
      </c>
    </row>
    <row r="301" spans="3:9">
      <c r="C301" s="39"/>
      <c r="D301" s="57">
        <v>285</v>
      </c>
      <c r="E301" s="143">
        <f t="shared" si="24"/>
        <v>307601.20709189062</v>
      </c>
      <c r="F301" s="143">
        <f t="shared" si="23"/>
        <v>8503.7949071786406</v>
      </c>
      <c r="G301" s="143">
        <f t="shared" si="22"/>
        <v>1538.0060354594532</v>
      </c>
      <c r="H301" s="143">
        <f t="shared" si="20"/>
        <v>6965.7888717191872</v>
      </c>
      <c r="I301" s="144">
        <f t="shared" si="21"/>
        <v>300635.41822017141</v>
      </c>
    </row>
    <row r="302" spans="3:9">
      <c r="C302" s="39"/>
      <c r="D302" s="57">
        <v>286</v>
      </c>
      <c r="E302" s="143">
        <f t="shared" si="24"/>
        <v>300635.41822017141</v>
      </c>
      <c r="F302" s="143">
        <f t="shared" si="23"/>
        <v>8503.7949071786406</v>
      </c>
      <c r="G302" s="143">
        <f t="shared" si="22"/>
        <v>1503.1770911008571</v>
      </c>
      <c r="H302" s="143">
        <f t="shared" si="20"/>
        <v>7000.6178160777836</v>
      </c>
      <c r="I302" s="144">
        <f t="shared" si="21"/>
        <v>293634.80040409364</v>
      </c>
    </row>
    <row r="303" spans="3:9">
      <c r="C303" s="39"/>
      <c r="D303" s="57">
        <v>287</v>
      </c>
      <c r="E303" s="143">
        <f t="shared" si="24"/>
        <v>293634.80040409364</v>
      </c>
      <c r="F303" s="143">
        <f t="shared" si="23"/>
        <v>8503.7949071786406</v>
      </c>
      <c r="G303" s="143">
        <f t="shared" si="22"/>
        <v>1468.1740020204682</v>
      </c>
      <c r="H303" s="143">
        <f t="shared" si="20"/>
        <v>7035.6209051581727</v>
      </c>
      <c r="I303" s="144">
        <f t="shared" si="21"/>
        <v>286599.17949893547</v>
      </c>
    </row>
    <row r="304" spans="3:9">
      <c r="C304" s="45">
        <v>24</v>
      </c>
      <c r="D304" s="146">
        <v>288</v>
      </c>
      <c r="E304" s="143">
        <f t="shared" si="24"/>
        <v>286599.17949893547</v>
      </c>
      <c r="F304" s="143">
        <f t="shared" si="23"/>
        <v>8503.7949071786406</v>
      </c>
      <c r="G304" s="143">
        <f t="shared" si="22"/>
        <v>1432.9958974946774</v>
      </c>
      <c r="H304" s="143">
        <f t="shared" si="20"/>
        <v>7070.799009683963</v>
      </c>
      <c r="I304" s="144">
        <f t="shared" si="21"/>
        <v>279528.38048925152</v>
      </c>
    </row>
    <row r="305" spans="3:9">
      <c r="C305" s="39"/>
      <c r="D305" s="57">
        <v>289</v>
      </c>
      <c r="E305" s="143">
        <f t="shared" si="24"/>
        <v>279528.38048925152</v>
      </c>
      <c r="F305" s="143">
        <f t="shared" si="23"/>
        <v>8503.7949071786406</v>
      </c>
      <c r="G305" s="143">
        <f t="shared" si="22"/>
        <v>1397.6419024462575</v>
      </c>
      <c r="H305" s="143">
        <f t="shared" si="20"/>
        <v>7106.1530047323831</v>
      </c>
      <c r="I305" s="144">
        <f t="shared" si="21"/>
        <v>272422.22748451913</v>
      </c>
    </row>
    <row r="306" spans="3:9">
      <c r="C306" s="39"/>
      <c r="D306" s="57">
        <v>290</v>
      </c>
      <c r="E306" s="143">
        <f t="shared" si="24"/>
        <v>272422.22748451913</v>
      </c>
      <c r="F306" s="143">
        <f t="shared" si="23"/>
        <v>8503.7949071786406</v>
      </c>
      <c r="G306" s="143">
        <f t="shared" si="22"/>
        <v>1362.1111374225957</v>
      </c>
      <c r="H306" s="143">
        <f t="shared" si="20"/>
        <v>7141.683769756045</v>
      </c>
      <c r="I306" s="144">
        <f t="shared" si="21"/>
        <v>265280.54371476307</v>
      </c>
    </row>
    <row r="307" spans="3:9">
      <c r="C307" s="39"/>
      <c r="D307" s="57">
        <v>291</v>
      </c>
      <c r="E307" s="143">
        <f t="shared" si="24"/>
        <v>265280.54371476307</v>
      </c>
      <c r="F307" s="143">
        <f t="shared" si="23"/>
        <v>8503.7949071786406</v>
      </c>
      <c r="G307" s="143">
        <f t="shared" si="22"/>
        <v>1326.4027185738155</v>
      </c>
      <c r="H307" s="143">
        <f t="shared" si="20"/>
        <v>7177.3921886048247</v>
      </c>
      <c r="I307" s="144">
        <f t="shared" si="21"/>
        <v>258103.15152615824</v>
      </c>
    </row>
    <row r="308" spans="3:9">
      <c r="C308" s="39"/>
      <c r="D308" s="57">
        <v>292</v>
      </c>
      <c r="E308" s="143">
        <f t="shared" si="24"/>
        <v>258103.15152615824</v>
      </c>
      <c r="F308" s="143">
        <f t="shared" si="23"/>
        <v>8503.7949071786406</v>
      </c>
      <c r="G308" s="143">
        <f t="shared" si="22"/>
        <v>1290.5157576307913</v>
      </c>
      <c r="H308" s="143">
        <f t="shared" si="20"/>
        <v>7213.2791495478496</v>
      </c>
      <c r="I308" s="144">
        <f t="shared" si="21"/>
        <v>250889.87237661038</v>
      </c>
    </row>
    <row r="309" spans="3:9">
      <c r="C309" s="39"/>
      <c r="D309" s="57">
        <v>293</v>
      </c>
      <c r="E309" s="143">
        <f t="shared" si="24"/>
        <v>250889.87237661038</v>
      </c>
      <c r="F309" s="143">
        <f t="shared" si="23"/>
        <v>8503.7949071786406</v>
      </c>
      <c r="G309" s="143">
        <f t="shared" si="22"/>
        <v>1254.449361883052</v>
      </c>
      <c r="H309" s="143">
        <f t="shared" si="20"/>
        <v>7249.3455452955886</v>
      </c>
      <c r="I309" s="144">
        <f t="shared" si="21"/>
        <v>243640.52683131478</v>
      </c>
    </row>
    <row r="310" spans="3:9">
      <c r="C310" s="39"/>
      <c r="D310" s="57">
        <v>294</v>
      </c>
      <c r="E310" s="143">
        <f t="shared" si="24"/>
        <v>243640.52683131478</v>
      </c>
      <c r="F310" s="143">
        <f t="shared" si="23"/>
        <v>8503.7949071786406</v>
      </c>
      <c r="G310" s="143">
        <f t="shared" si="22"/>
        <v>1218.202634156574</v>
      </c>
      <c r="H310" s="143">
        <f t="shared" si="20"/>
        <v>7285.5922730220664</v>
      </c>
      <c r="I310" s="144">
        <f t="shared" si="21"/>
        <v>236354.93455829271</v>
      </c>
    </row>
    <row r="311" spans="3:9">
      <c r="C311" s="39"/>
      <c r="D311" s="57">
        <v>295</v>
      </c>
      <c r="E311" s="143">
        <f t="shared" si="24"/>
        <v>236354.93455829271</v>
      </c>
      <c r="F311" s="143">
        <f t="shared" si="23"/>
        <v>8503.7949071786406</v>
      </c>
      <c r="G311" s="143">
        <f t="shared" si="22"/>
        <v>1181.7746727914634</v>
      </c>
      <c r="H311" s="143">
        <f t="shared" si="20"/>
        <v>7322.020234387177</v>
      </c>
      <c r="I311" s="144">
        <f t="shared" si="21"/>
        <v>229032.91432390554</v>
      </c>
    </row>
    <row r="312" spans="3:9">
      <c r="C312" s="39"/>
      <c r="D312" s="57">
        <v>296</v>
      </c>
      <c r="E312" s="143">
        <f t="shared" si="24"/>
        <v>229032.91432390554</v>
      </c>
      <c r="F312" s="143">
        <f t="shared" si="23"/>
        <v>8503.7949071786406</v>
      </c>
      <c r="G312" s="143">
        <f t="shared" si="22"/>
        <v>1145.1645716195278</v>
      </c>
      <c r="H312" s="143">
        <f t="shared" si="20"/>
        <v>7358.6303355591126</v>
      </c>
      <c r="I312" s="144">
        <f t="shared" si="21"/>
        <v>221674.28398834643</v>
      </c>
    </row>
    <row r="313" spans="3:9">
      <c r="C313" s="39"/>
      <c r="D313" s="57">
        <v>297</v>
      </c>
      <c r="E313" s="143">
        <f t="shared" si="24"/>
        <v>221674.28398834643</v>
      </c>
      <c r="F313" s="143">
        <f t="shared" si="23"/>
        <v>8503.7949071786406</v>
      </c>
      <c r="G313" s="143">
        <f t="shared" si="22"/>
        <v>1108.3714199417323</v>
      </c>
      <c r="H313" s="143">
        <f t="shared" si="20"/>
        <v>7395.4234872369088</v>
      </c>
      <c r="I313" s="144">
        <f t="shared" si="21"/>
        <v>214278.86050110954</v>
      </c>
    </row>
    <row r="314" spans="3:9">
      <c r="C314" s="39"/>
      <c r="D314" s="57">
        <v>298</v>
      </c>
      <c r="E314" s="143">
        <f t="shared" si="24"/>
        <v>214278.86050110954</v>
      </c>
      <c r="F314" s="143">
        <f t="shared" si="23"/>
        <v>8503.7949071786406</v>
      </c>
      <c r="G314" s="143">
        <f t="shared" si="22"/>
        <v>1071.3943025055478</v>
      </c>
      <c r="H314" s="143">
        <f t="shared" si="20"/>
        <v>7432.4006046730929</v>
      </c>
      <c r="I314" s="144">
        <f t="shared" si="21"/>
        <v>206846.45989643646</v>
      </c>
    </row>
    <row r="315" spans="3:9">
      <c r="C315" s="39"/>
      <c r="D315" s="57">
        <v>299</v>
      </c>
      <c r="E315" s="143">
        <f t="shared" si="24"/>
        <v>206846.45989643646</v>
      </c>
      <c r="F315" s="143">
        <f t="shared" si="23"/>
        <v>8503.7949071786406</v>
      </c>
      <c r="G315" s="143">
        <f t="shared" si="22"/>
        <v>1034.2322994821823</v>
      </c>
      <c r="H315" s="143">
        <f t="shared" si="20"/>
        <v>7469.5626076964581</v>
      </c>
      <c r="I315" s="144">
        <f t="shared" si="21"/>
        <v>199376.89728874</v>
      </c>
    </row>
    <row r="316" spans="3:9">
      <c r="C316" s="45">
        <v>25</v>
      </c>
      <c r="D316" s="146">
        <v>300</v>
      </c>
      <c r="E316" s="143">
        <f t="shared" si="24"/>
        <v>199376.89728874</v>
      </c>
      <c r="F316" s="143">
        <f t="shared" si="23"/>
        <v>8503.7949071786406</v>
      </c>
      <c r="G316" s="143">
        <f t="shared" si="22"/>
        <v>996.88448644369998</v>
      </c>
      <c r="H316" s="143">
        <f t="shared" si="20"/>
        <v>7506.910420734941</v>
      </c>
      <c r="I316" s="144">
        <f t="shared" si="21"/>
        <v>191869.98686800507</v>
      </c>
    </row>
    <row r="317" spans="3:9">
      <c r="C317" s="39"/>
      <c r="D317" s="57">
        <v>301</v>
      </c>
      <c r="E317" s="143">
        <f t="shared" si="24"/>
        <v>191869.98686800507</v>
      </c>
      <c r="F317" s="143">
        <f t="shared" si="23"/>
        <v>8503.7949071786406</v>
      </c>
      <c r="G317" s="143">
        <f t="shared" si="22"/>
        <v>959.34993434002536</v>
      </c>
      <c r="H317" s="143">
        <f t="shared" si="20"/>
        <v>7544.4449728386153</v>
      </c>
      <c r="I317" s="144">
        <f t="shared" si="21"/>
        <v>184325.54189516645</v>
      </c>
    </row>
    <row r="318" spans="3:9">
      <c r="C318" s="39"/>
      <c r="D318" s="57">
        <v>302</v>
      </c>
      <c r="E318" s="143">
        <f t="shared" si="24"/>
        <v>184325.54189516645</v>
      </c>
      <c r="F318" s="143">
        <f t="shared" si="23"/>
        <v>8503.7949071786406</v>
      </c>
      <c r="G318" s="143">
        <f t="shared" si="22"/>
        <v>921.62770947583226</v>
      </c>
      <c r="H318" s="143">
        <f t="shared" si="20"/>
        <v>7582.1671977028082</v>
      </c>
      <c r="I318" s="144">
        <f t="shared" si="21"/>
        <v>176743.37469746365</v>
      </c>
    </row>
    <row r="319" spans="3:9">
      <c r="C319" s="39"/>
      <c r="D319" s="57">
        <v>303</v>
      </c>
      <c r="E319" s="143">
        <f t="shared" si="24"/>
        <v>176743.37469746365</v>
      </c>
      <c r="F319" s="143">
        <f t="shared" si="23"/>
        <v>8503.7949071786406</v>
      </c>
      <c r="G319" s="143">
        <f t="shared" si="22"/>
        <v>883.71687348731825</v>
      </c>
      <c r="H319" s="143">
        <f t="shared" si="20"/>
        <v>7620.0780336913222</v>
      </c>
      <c r="I319" s="144">
        <f t="shared" si="21"/>
        <v>169123.29666377231</v>
      </c>
    </row>
    <row r="320" spans="3:9">
      <c r="C320" s="39"/>
      <c r="D320" s="57">
        <v>304</v>
      </c>
      <c r="E320" s="143">
        <f t="shared" si="24"/>
        <v>169123.29666377231</v>
      </c>
      <c r="F320" s="143">
        <f t="shared" si="23"/>
        <v>8503.7949071786406</v>
      </c>
      <c r="G320" s="143">
        <f t="shared" si="22"/>
        <v>845.61648331886158</v>
      </c>
      <c r="H320" s="143">
        <f t="shared" si="20"/>
        <v>7658.1784238597793</v>
      </c>
      <c r="I320" s="144">
        <f t="shared" si="21"/>
        <v>161465.11823991252</v>
      </c>
    </row>
    <row r="321" spans="3:9">
      <c r="C321" s="39"/>
      <c r="D321" s="57">
        <v>305</v>
      </c>
      <c r="E321" s="143">
        <f t="shared" si="24"/>
        <v>161465.11823991252</v>
      </c>
      <c r="F321" s="143">
        <f t="shared" si="23"/>
        <v>8503.7949071786406</v>
      </c>
      <c r="G321" s="143">
        <f t="shared" si="22"/>
        <v>807.32559119956261</v>
      </c>
      <c r="H321" s="143">
        <f t="shared" si="20"/>
        <v>7696.4693159790777</v>
      </c>
      <c r="I321" s="144">
        <f t="shared" si="21"/>
        <v>153768.64892393345</v>
      </c>
    </row>
    <row r="322" spans="3:9">
      <c r="C322" s="39"/>
      <c r="D322" s="57">
        <v>306</v>
      </c>
      <c r="E322" s="143">
        <f t="shared" si="24"/>
        <v>153768.64892393345</v>
      </c>
      <c r="F322" s="143">
        <f t="shared" si="23"/>
        <v>8503.7949071786406</v>
      </c>
      <c r="G322" s="143">
        <f t="shared" si="22"/>
        <v>768.8432446196673</v>
      </c>
      <c r="H322" s="143">
        <f t="shared" si="20"/>
        <v>7734.9516625589731</v>
      </c>
      <c r="I322" s="144">
        <f t="shared" si="21"/>
        <v>146033.69726137447</v>
      </c>
    </row>
    <row r="323" spans="3:9">
      <c r="C323" s="39"/>
      <c r="D323" s="57">
        <v>307</v>
      </c>
      <c r="E323" s="143">
        <f t="shared" si="24"/>
        <v>146033.69726137447</v>
      </c>
      <c r="F323" s="143">
        <f t="shared" si="23"/>
        <v>8503.7949071786406</v>
      </c>
      <c r="G323" s="143">
        <f t="shared" si="22"/>
        <v>730.16848630687241</v>
      </c>
      <c r="H323" s="143">
        <f t="shared" si="20"/>
        <v>7773.6264208717685</v>
      </c>
      <c r="I323" s="144">
        <f t="shared" si="21"/>
        <v>138260.07084050271</v>
      </c>
    </row>
    <row r="324" spans="3:9">
      <c r="C324" s="39"/>
      <c r="D324" s="57">
        <v>308</v>
      </c>
      <c r="E324" s="143">
        <f t="shared" si="24"/>
        <v>138260.07084050271</v>
      </c>
      <c r="F324" s="143">
        <f t="shared" si="23"/>
        <v>8503.7949071786406</v>
      </c>
      <c r="G324" s="143">
        <f t="shared" si="22"/>
        <v>691.30035420251352</v>
      </c>
      <c r="H324" s="143">
        <f t="shared" si="20"/>
        <v>7812.4945529761271</v>
      </c>
      <c r="I324" s="144">
        <f t="shared" si="21"/>
        <v>130447.57628752658</v>
      </c>
    </row>
    <row r="325" spans="3:9">
      <c r="C325" s="39"/>
      <c r="D325" s="57">
        <v>309</v>
      </c>
      <c r="E325" s="143">
        <f t="shared" si="24"/>
        <v>130447.57628752658</v>
      </c>
      <c r="F325" s="143">
        <f t="shared" si="23"/>
        <v>8503.7949071786406</v>
      </c>
      <c r="G325" s="143">
        <f t="shared" si="22"/>
        <v>652.23788143763295</v>
      </c>
      <c r="H325" s="143">
        <f t="shared" si="20"/>
        <v>7851.5570257410072</v>
      </c>
      <c r="I325" s="144">
        <f t="shared" si="21"/>
        <v>122596.01926178558</v>
      </c>
    </row>
    <row r="326" spans="3:9">
      <c r="C326" s="39"/>
      <c r="D326" s="57">
        <v>310</v>
      </c>
      <c r="E326" s="143">
        <f t="shared" si="24"/>
        <v>122596.01926178558</v>
      </c>
      <c r="F326" s="143">
        <f t="shared" si="23"/>
        <v>8503.7949071786406</v>
      </c>
      <c r="G326" s="143">
        <f t="shared" si="22"/>
        <v>612.98009630892795</v>
      </c>
      <c r="H326" s="143">
        <f t="shared" si="20"/>
        <v>7890.8148108697123</v>
      </c>
      <c r="I326" s="144">
        <f t="shared" si="21"/>
        <v>114705.20445091587</v>
      </c>
    </row>
    <row r="327" spans="3:9">
      <c r="C327" s="39"/>
      <c r="D327" s="57">
        <v>311</v>
      </c>
      <c r="E327" s="143">
        <f t="shared" si="24"/>
        <v>114705.20445091587</v>
      </c>
      <c r="F327" s="143">
        <f t="shared" si="23"/>
        <v>8503.7949071786406</v>
      </c>
      <c r="G327" s="143">
        <f t="shared" si="22"/>
        <v>573.5260222545794</v>
      </c>
      <c r="H327" s="143">
        <f t="shared" si="20"/>
        <v>7930.2688849240612</v>
      </c>
      <c r="I327" s="144">
        <f t="shared" si="21"/>
        <v>106774.93556599181</v>
      </c>
    </row>
    <row r="328" spans="3:9">
      <c r="C328" s="45">
        <v>26</v>
      </c>
      <c r="D328" s="146">
        <v>312</v>
      </c>
      <c r="E328" s="143">
        <f t="shared" si="24"/>
        <v>106774.93556599181</v>
      </c>
      <c r="F328" s="143">
        <f t="shared" si="23"/>
        <v>8503.7949071786406</v>
      </c>
      <c r="G328" s="143">
        <f t="shared" si="22"/>
        <v>533.87467782995907</v>
      </c>
      <c r="H328" s="143">
        <f t="shared" si="20"/>
        <v>7969.9202293486815</v>
      </c>
      <c r="I328" s="144">
        <f t="shared" si="21"/>
        <v>98805.015336643119</v>
      </c>
    </row>
    <row r="329" spans="3:9">
      <c r="C329" s="39"/>
      <c r="D329" s="57">
        <v>313</v>
      </c>
      <c r="E329" s="143">
        <f t="shared" si="24"/>
        <v>98805.015336643119</v>
      </c>
      <c r="F329" s="143">
        <f t="shared" si="23"/>
        <v>8503.7949071786406</v>
      </c>
      <c r="G329" s="143">
        <f t="shared" si="22"/>
        <v>494.02507668321562</v>
      </c>
      <c r="H329" s="143">
        <f t="shared" si="20"/>
        <v>8009.7698304954247</v>
      </c>
      <c r="I329" s="144">
        <f t="shared" si="21"/>
        <v>90795.245506147694</v>
      </c>
    </row>
    <row r="330" spans="3:9">
      <c r="C330" s="39"/>
      <c r="D330" s="57">
        <v>314</v>
      </c>
      <c r="E330" s="143">
        <f t="shared" si="24"/>
        <v>90795.245506147694</v>
      </c>
      <c r="F330" s="143">
        <f t="shared" si="23"/>
        <v>8503.7949071786406</v>
      </c>
      <c r="G330" s="143">
        <f t="shared" si="22"/>
        <v>453.97622753073847</v>
      </c>
      <c r="H330" s="143">
        <f t="shared" si="20"/>
        <v>8049.8186796479022</v>
      </c>
      <c r="I330" s="144">
        <f t="shared" si="21"/>
        <v>82745.426826499795</v>
      </c>
    </row>
    <row r="331" spans="3:9">
      <c r="C331" s="39"/>
      <c r="D331" s="57">
        <v>315</v>
      </c>
      <c r="E331" s="143">
        <f t="shared" si="24"/>
        <v>82745.426826499795</v>
      </c>
      <c r="F331" s="143">
        <f t="shared" si="23"/>
        <v>8503.7949071786406</v>
      </c>
      <c r="G331" s="143">
        <f t="shared" si="22"/>
        <v>413.72713413249897</v>
      </c>
      <c r="H331" s="143">
        <f t="shared" si="20"/>
        <v>8090.0677730461421</v>
      </c>
      <c r="I331" s="144">
        <f t="shared" si="21"/>
        <v>74655.359053453649</v>
      </c>
    </row>
    <row r="332" spans="3:9">
      <c r="C332" s="39"/>
      <c r="D332" s="57">
        <v>316</v>
      </c>
      <c r="E332" s="143">
        <f t="shared" si="24"/>
        <v>74655.359053453649</v>
      </c>
      <c r="F332" s="143">
        <f t="shared" si="23"/>
        <v>8503.7949071786406</v>
      </c>
      <c r="G332" s="143">
        <f t="shared" si="22"/>
        <v>373.27679526726826</v>
      </c>
      <c r="H332" s="143">
        <f t="shared" si="20"/>
        <v>8130.5181119113722</v>
      </c>
      <c r="I332" s="144">
        <f t="shared" si="21"/>
        <v>66524.840941542279</v>
      </c>
    </row>
    <row r="333" spans="3:9">
      <c r="C333" s="39"/>
      <c r="D333" s="57">
        <v>317</v>
      </c>
      <c r="E333" s="143">
        <f t="shared" si="24"/>
        <v>66524.840941542279</v>
      </c>
      <c r="F333" s="143">
        <f t="shared" si="23"/>
        <v>8503.7949071786406</v>
      </c>
      <c r="G333" s="143">
        <f t="shared" si="22"/>
        <v>332.62420470771139</v>
      </c>
      <c r="H333" s="143">
        <f t="shared" si="20"/>
        <v>8171.1707024709294</v>
      </c>
      <c r="I333" s="144">
        <f t="shared" si="21"/>
        <v>58353.670239071347</v>
      </c>
    </row>
    <row r="334" spans="3:9">
      <c r="C334" s="39"/>
      <c r="D334" s="57">
        <v>318</v>
      </c>
      <c r="E334" s="143">
        <f t="shared" si="24"/>
        <v>58353.670239071347</v>
      </c>
      <c r="F334" s="143">
        <f t="shared" si="23"/>
        <v>8503.7949071786406</v>
      </c>
      <c r="G334" s="143">
        <f t="shared" si="22"/>
        <v>291.76835119535673</v>
      </c>
      <c r="H334" s="143">
        <f t="shared" si="20"/>
        <v>8212.0265559832842</v>
      </c>
      <c r="I334" s="144">
        <f t="shared" si="21"/>
        <v>50141.643683088063</v>
      </c>
    </row>
    <row r="335" spans="3:9">
      <c r="C335" s="39"/>
      <c r="D335" s="57">
        <v>319</v>
      </c>
      <c r="E335" s="143">
        <f t="shared" si="24"/>
        <v>50141.643683088063</v>
      </c>
      <c r="F335" s="143">
        <f t="shared" si="23"/>
        <v>8503.7949071786406</v>
      </c>
      <c r="G335" s="143">
        <f t="shared" si="22"/>
        <v>250.70821841544031</v>
      </c>
      <c r="H335" s="143">
        <f t="shared" si="20"/>
        <v>8253.0866887632001</v>
      </c>
      <c r="I335" s="144">
        <f t="shared" si="21"/>
        <v>41888.556994324863</v>
      </c>
    </row>
    <row r="336" spans="3:9">
      <c r="C336" s="39"/>
      <c r="D336" s="57">
        <v>320</v>
      </c>
      <c r="E336" s="143">
        <f t="shared" si="24"/>
        <v>41888.556994324863</v>
      </c>
      <c r="F336" s="143">
        <f t="shared" si="23"/>
        <v>8503.7949071786406</v>
      </c>
      <c r="G336" s="143">
        <f t="shared" si="22"/>
        <v>209.44278497162432</v>
      </c>
      <c r="H336" s="143">
        <f t="shared" si="20"/>
        <v>8294.3521222070158</v>
      </c>
      <c r="I336" s="144">
        <f t="shared" si="21"/>
        <v>33594.204872117843</v>
      </c>
    </row>
    <row r="337" spans="3:9">
      <c r="C337" s="39"/>
      <c r="D337" s="57">
        <v>321</v>
      </c>
      <c r="E337" s="143">
        <f t="shared" si="24"/>
        <v>33594.204872117843</v>
      </c>
      <c r="F337" s="143">
        <f t="shared" si="23"/>
        <v>8503.7949071786406</v>
      </c>
      <c r="G337" s="143">
        <f t="shared" si="22"/>
        <v>167.97102436058921</v>
      </c>
      <c r="H337" s="143">
        <f t="shared" ref="H337:H376" si="25">F337-G337</f>
        <v>8335.8238828180511</v>
      </c>
      <c r="I337" s="144">
        <f t="shared" ref="I337:I376" si="26">E337-H337</f>
        <v>25258.380989299792</v>
      </c>
    </row>
    <row r="338" spans="3:9">
      <c r="C338" s="39"/>
      <c r="D338" s="57">
        <v>322</v>
      </c>
      <c r="E338" s="143">
        <f t="shared" si="24"/>
        <v>25258.380989299792</v>
      </c>
      <c r="F338" s="143">
        <f t="shared" si="23"/>
        <v>8503.7949071786406</v>
      </c>
      <c r="G338" s="143">
        <f t="shared" ref="G338:G376" si="27">IF(D338&gt;$D$10,0,($D$6/12)*I337)</f>
        <v>126.29190494649896</v>
      </c>
      <c r="H338" s="143">
        <f t="shared" si="25"/>
        <v>8377.5030022321425</v>
      </c>
      <c r="I338" s="144">
        <f t="shared" si="26"/>
        <v>16880.877987067652</v>
      </c>
    </row>
    <row r="339" spans="3:9">
      <c r="C339" s="39"/>
      <c r="D339" s="57">
        <v>323</v>
      </c>
      <c r="E339" s="143">
        <f t="shared" si="24"/>
        <v>16880.877987067652</v>
      </c>
      <c r="F339" s="143">
        <f t="shared" si="23"/>
        <v>8503.7949071786406</v>
      </c>
      <c r="G339" s="143">
        <f t="shared" si="27"/>
        <v>84.404389935338259</v>
      </c>
      <c r="H339" s="143">
        <f t="shared" si="25"/>
        <v>8419.3905172433024</v>
      </c>
      <c r="I339" s="144">
        <f t="shared" si="26"/>
        <v>8461.4874698243493</v>
      </c>
    </row>
    <row r="340" spans="3:9">
      <c r="C340" s="45">
        <v>27</v>
      </c>
      <c r="D340" s="146">
        <v>324</v>
      </c>
      <c r="E340" s="143">
        <f t="shared" si="24"/>
        <v>8461.4874698243493</v>
      </c>
      <c r="F340" s="143">
        <f t="shared" si="23"/>
        <v>8503.7949071786406</v>
      </c>
      <c r="G340" s="143">
        <f t="shared" si="27"/>
        <v>42.307437349121749</v>
      </c>
      <c r="H340" s="143">
        <f t="shared" si="25"/>
        <v>8461.4874698295189</v>
      </c>
      <c r="I340" s="144">
        <f t="shared" si="26"/>
        <v>-5.1695678848773241E-9</v>
      </c>
    </row>
    <row r="341" spans="3:9">
      <c r="C341" s="39"/>
      <c r="D341" s="57">
        <v>325</v>
      </c>
      <c r="E341" s="143">
        <f t="shared" si="24"/>
        <v>0</v>
      </c>
      <c r="F341" s="143">
        <f t="shared" ref="F341:F376" si="28">IF(D341&gt;$D$10,0,IF(D341&lt;=$D$8,G341,-PMT($D$6/12,$D$9,$D$5,0,0)))</f>
        <v>0</v>
      </c>
      <c r="G341" s="143">
        <f t="shared" si="27"/>
        <v>0</v>
      </c>
      <c r="H341" s="143">
        <f t="shared" si="25"/>
        <v>0</v>
      </c>
      <c r="I341" s="144">
        <f t="shared" si="26"/>
        <v>0</v>
      </c>
    </row>
    <row r="342" spans="3:9">
      <c r="C342" s="39"/>
      <c r="D342" s="57">
        <v>326</v>
      </c>
      <c r="E342" s="143">
        <f t="shared" ref="E342:E376" si="29">IF(D342&gt;$D$10,0,I341)</f>
        <v>0</v>
      </c>
      <c r="F342" s="143">
        <f t="shared" si="28"/>
        <v>0</v>
      </c>
      <c r="G342" s="143">
        <f t="shared" si="27"/>
        <v>0</v>
      </c>
      <c r="H342" s="143">
        <f t="shared" si="25"/>
        <v>0</v>
      </c>
      <c r="I342" s="144">
        <f t="shared" si="26"/>
        <v>0</v>
      </c>
    </row>
    <row r="343" spans="3:9">
      <c r="C343" s="39"/>
      <c r="D343" s="57">
        <v>327</v>
      </c>
      <c r="E343" s="143">
        <f t="shared" si="29"/>
        <v>0</v>
      </c>
      <c r="F343" s="143">
        <f t="shared" si="28"/>
        <v>0</v>
      </c>
      <c r="G343" s="143">
        <f t="shared" si="27"/>
        <v>0</v>
      </c>
      <c r="H343" s="143">
        <f t="shared" si="25"/>
        <v>0</v>
      </c>
      <c r="I343" s="144">
        <f t="shared" si="26"/>
        <v>0</v>
      </c>
    </row>
    <row r="344" spans="3:9">
      <c r="C344" s="39"/>
      <c r="D344" s="57">
        <v>328</v>
      </c>
      <c r="E344" s="143">
        <f t="shared" si="29"/>
        <v>0</v>
      </c>
      <c r="F344" s="143">
        <f t="shared" si="28"/>
        <v>0</v>
      </c>
      <c r="G344" s="143">
        <f t="shared" si="27"/>
        <v>0</v>
      </c>
      <c r="H344" s="143">
        <f t="shared" si="25"/>
        <v>0</v>
      </c>
      <c r="I344" s="144">
        <f t="shared" si="26"/>
        <v>0</v>
      </c>
    </row>
    <row r="345" spans="3:9">
      <c r="C345" s="39"/>
      <c r="D345" s="57">
        <v>329</v>
      </c>
      <c r="E345" s="143">
        <f t="shared" si="29"/>
        <v>0</v>
      </c>
      <c r="F345" s="143">
        <f t="shared" si="28"/>
        <v>0</v>
      </c>
      <c r="G345" s="143">
        <f t="shared" si="27"/>
        <v>0</v>
      </c>
      <c r="H345" s="143">
        <f t="shared" si="25"/>
        <v>0</v>
      </c>
      <c r="I345" s="144">
        <f t="shared" si="26"/>
        <v>0</v>
      </c>
    </row>
    <row r="346" spans="3:9">
      <c r="C346" s="39"/>
      <c r="D346" s="57">
        <v>330</v>
      </c>
      <c r="E346" s="143">
        <f t="shared" si="29"/>
        <v>0</v>
      </c>
      <c r="F346" s="143">
        <f t="shared" si="28"/>
        <v>0</v>
      </c>
      <c r="G346" s="143">
        <f t="shared" si="27"/>
        <v>0</v>
      </c>
      <c r="H346" s="143">
        <f t="shared" si="25"/>
        <v>0</v>
      </c>
      <c r="I346" s="144">
        <f t="shared" si="26"/>
        <v>0</v>
      </c>
    </row>
    <row r="347" spans="3:9">
      <c r="C347" s="39"/>
      <c r="D347" s="57">
        <v>331</v>
      </c>
      <c r="E347" s="143">
        <f t="shared" si="29"/>
        <v>0</v>
      </c>
      <c r="F347" s="143">
        <f t="shared" si="28"/>
        <v>0</v>
      </c>
      <c r="G347" s="143">
        <f t="shared" si="27"/>
        <v>0</v>
      </c>
      <c r="H347" s="143">
        <f t="shared" si="25"/>
        <v>0</v>
      </c>
      <c r="I347" s="144">
        <f t="shared" si="26"/>
        <v>0</v>
      </c>
    </row>
    <row r="348" spans="3:9">
      <c r="C348" s="39"/>
      <c r="D348" s="57">
        <v>332</v>
      </c>
      <c r="E348" s="143">
        <f t="shared" si="29"/>
        <v>0</v>
      </c>
      <c r="F348" s="143">
        <f t="shared" si="28"/>
        <v>0</v>
      </c>
      <c r="G348" s="143">
        <f t="shared" si="27"/>
        <v>0</v>
      </c>
      <c r="H348" s="143">
        <f t="shared" si="25"/>
        <v>0</v>
      </c>
      <c r="I348" s="144">
        <f t="shared" si="26"/>
        <v>0</v>
      </c>
    </row>
    <row r="349" spans="3:9">
      <c r="C349" s="39"/>
      <c r="D349" s="57">
        <v>333</v>
      </c>
      <c r="E349" s="143">
        <f t="shared" si="29"/>
        <v>0</v>
      </c>
      <c r="F349" s="143">
        <f t="shared" si="28"/>
        <v>0</v>
      </c>
      <c r="G349" s="143">
        <f t="shared" si="27"/>
        <v>0</v>
      </c>
      <c r="H349" s="143">
        <f t="shared" si="25"/>
        <v>0</v>
      </c>
      <c r="I349" s="144">
        <f t="shared" si="26"/>
        <v>0</v>
      </c>
    </row>
    <row r="350" spans="3:9">
      <c r="C350" s="39"/>
      <c r="D350" s="57">
        <v>334</v>
      </c>
      <c r="E350" s="143">
        <f t="shared" si="29"/>
        <v>0</v>
      </c>
      <c r="F350" s="143">
        <f t="shared" si="28"/>
        <v>0</v>
      </c>
      <c r="G350" s="143">
        <f t="shared" si="27"/>
        <v>0</v>
      </c>
      <c r="H350" s="143">
        <f t="shared" si="25"/>
        <v>0</v>
      </c>
      <c r="I350" s="144">
        <f t="shared" si="26"/>
        <v>0</v>
      </c>
    </row>
    <row r="351" spans="3:9">
      <c r="C351" s="39"/>
      <c r="D351" s="57">
        <v>335</v>
      </c>
      <c r="E351" s="143">
        <f t="shared" si="29"/>
        <v>0</v>
      </c>
      <c r="F351" s="143">
        <f t="shared" si="28"/>
        <v>0</v>
      </c>
      <c r="G351" s="143">
        <f t="shared" si="27"/>
        <v>0</v>
      </c>
      <c r="H351" s="143">
        <f t="shared" si="25"/>
        <v>0</v>
      </c>
      <c r="I351" s="144">
        <f t="shared" si="26"/>
        <v>0</v>
      </c>
    </row>
    <row r="352" spans="3:9">
      <c r="C352" s="45">
        <v>28</v>
      </c>
      <c r="D352" s="146">
        <v>336</v>
      </c>
      <c r="E352" s="143">
        <f t="shared" si="29"/>
        <v>0</v>
      </c>
      <c r="F352" s="143">
        <f t="shared" si="28"/>
        <v>0</v>
      </c>
      <c r="G352" s="143">
        <f t="shared" si="27"/>
        <v>0</v>
      </c>
      <c r="H352" s="143">
        <f t="shared" si="25"/>
        <v>0</v>
      </c>
      <c r="I352" s="144">
        <f t="shared" si="26"/>
        <v>0</v>
      </c>
    </row>
    <row r="353" spans="3:9">
      <c r="C353" s="39"/>
      <c r="D353" s="57">
        <v>337</v>
      </c>
      <c r="E353" s="143">
        <f t="shared" si="29"/>
        <v>0</v>
      </c>
      <c r="F353" s="143">
        <f t="shared" si="28"/>
        <v>0</v>
      </c>
      <c r="G353" s="143">
        <f t="shared" si="27"/>
        <v>0</v>
      </c>
      <c r="H353" s="143">
        <f t="shared" si="25"/>
        <v>0</v>
      </c>
      <c r="I353" s="144">
        <f t="shared" si="26"/>
        <v>0</v>
      </c>
    </row>
    <row r="354" spans="3:9">
      <c r="C354" s="39"/>
      <c r="D354" s="57">
        <v>338</v>
      </c>
      <c r="E354" s="143">
        <f t="shared" si="29"/>
        <v>0</v>
      </c>
      <c r="F354" s="143">
        <f t="shared" si="28"/>
        <v>0</v>
      </c>
      <c r="G354" s="143">
        <f t="shared" si="27"/>
        <v>0</v>
      </c>
      <c r="H354" s="143">
        <f t="shared" si="25"/>
        <v>0</v>
      </c>
      <c r="I354" s="144">
        <f t="shared" si="26"/>
        <v>0</v>
      </c>
    </row>
    <row r="355" spans="3:9">
      <c r="C355" s="39"/>
      <c r="D355" s="57">
        <v>339</v>
      </c>
      <c r="E355" s="143">
        <f t="shared" si="29"/>
        <v>0</v>
      </c>
      <c r="F355" s="143">
        <f t="shared" si="28"/>
        <v>0</v>
      </c>
      <c r="G355" s="143">
        <f t="shared" si="27"/>
        <v>0</v>
      </c>
      <c r="H355" s="143">
        <f t="shared" si="25"/>
        <v>0</v>
      </c>
      <c r="I355" s="144">
        <f t="shared" si="26"/>
        <v>0</v>
      </c>
    </row>
    <row r="356" spans="3:9">
      <c r="C356" s="39"/>
      <c r="D356" s="57">
        <v>340</v>
      </c>
      <c r="E356" s="143">
        <f t="shared" si="29"/>
        <v>0</v>
      </c>
      <c r="F356" s="143">
        <f t="shared" si="28"/>
        <v>0</v>
      </c>
      <c r="G356" s="143">
        <f t="shared" si="27"/>
        <v>0</v>
      </c>
      <c r="H356" s="143">
        <f t="shared" si="25"/>
        <v>0</v>
      </c>
      <c r="I356" s="144">
        <f t="shared" si="26"/>
        <v>0</v>
      </c>
    </row>
    <row r="357" spans="3:9">
      <c r="C357" s="39"/>
      <c r="D357" s="57">
        <v>341</v>
      </c>
      <c r="E357" s="143">
        <f t="shared" si="29"/>
        <v>0</v>
      </c>
      <c r="F357" s="143">
        <f t="shared" si="28"/>
        <v>0</v>
      </c>
      <c r="G357" s="143">
        <f t="shared" si="27"/>
        <v>0</v>
      </c>
      <c r="H357" s="143">
        <f t="shared" si="25"/>
        <v>0</v>
      </c>
      <c r="I357" s="144">
        <f t="shared" si="26"/>
        <v>0</v>
      </c>
    </row>
    <row r="358" spans="3:9">
      <c r="C358" s="39"/>
      <c r="D358" s="57">
        <v>342</v>
      </c>
      <c r="E358" s="143">
        <f t="shared" si="29"/>
        <v>0</v>
      </c>
      <c r="F358" s="143">
        <f t="shared" si="28"/>
        <v>0</v>
      </c>
      <c r="G358" s="143">
        <f t="shared" si="27"/>
        <v>0</v>
      </c>
      <c r="H358" s="143">
        <f t="shared" si="25"/>
        <v>0</v>
      </c>
      <c r="I358" s="144">
        <f t="shared" si="26"/>
        <v>0</v>
      </c>
    </row>
    <row r="359" spans="3:9">
      <c r="C359" s="39"/>
      <c r="D359" s="57">
        <v>343</v>
      </c>
      <c r="E359" s="143">
        <f t="shared" si="29"/>
        <v>0</v>
      </c>
      <c r="F359" s="143">
        <f t="shared" si="28"/>
        <v>0</v>
      </c>
      <c r="G359" s="143">
        <f t="shared" si="27"/>
        <v>0</v>
      </c>
      <c r="H359" s="143">
        <f t="shared" si="25"/>
        <v>0</v>
      </c>
      <c r="I359" s="144">
        <f t="shared" si="26"/>
        <v>0</v>
      </c>
    </row>
    <row r="360" spans="3:9">
      <c r="C360" s="39"/>
      <c r="D360" s="57">
        <v>344</v>
      </c>
      <c r="E360" s="143">
        <f t="shared" si="29"/>
        <v>0</v>
      </c>
      <c r="F360" s="143">
        <f t="shared" si="28"/>
        <v>0</v>
      </c>
      <c r="G360" s="143">
        <f t="shared" si="27"/>
        <v>0</v>
      </c>
      <c r="H360" s="143">
        <f t="shared" si="25"/>
        <v>0</v>
      </c>
      <c r="I360" s="144">
        <f t="shared" si="26"/>
        <v>0</v>
      </c>
    </row>
    <row r="361" spans="3:9">
      <c r="C361" s="39"/>
      <c r="D361" s="57">
        <v>345</v>
      </c>
      <c r="E361" s="143">
        <f t="shared" si="29"/>
        <v>0</v>
      </c>
      <c r="F361" s="143">
        <f t="shared" si="28"/>
        <v>0</v>
      </c>
      <c r="G361" s="143">
        <f t="shared" si="27"/>
        <v>0</v>
      </c>
      <c r="H361" s="143">
        <f t="shared" si="25"/>
        <v>0</v>
      </c>
      <c r="I361" s="144">
        <f t="shared" si="26"/>
        <v>0</v>
      </c>
    </row>
    <row r="362" spans="3:9">
      <c r="C362" s="39"/>
      <c r="D362" s="57">
        <v>346</v>
      </c>
      <c r="E362" s="143">
        <f t="shared" si="29"/>
        <v>0</v>
      </c>
      <c r="F362" s="143">
        <f t="shared" si="28"/>
        <v>0</v>
      </c>
      <c r="G362" s="143">
        <f t="shared" si="27"/>
        <v>0</v>
      </c>
      <c r="H362" s="143">
        <f t="shared" si="25"/>
        <v>0</v>
      </c>
      <c r="I362" s="144">
        <f t="shared" si="26"/>
        <v>0</v>
      </c>
    </row>
    <row r="363" spans="3:9">
      <c r="C363" s="39"/>
      <c r="D363" s="57">
        <v>347</v>
      </c>
      <c r="E363" s="143">
        <f t="shared" si="29"/>
        <v>0</v>
      </c>
      <c r="F363" s="143">
        <f t="shared" si="28"/>
        <v>0</v>
      </c>
      <c r="G363" s="143">
        <f t="shared" si="27"/>
        <v>0</v>
      </c>
      <c r="H363" s="143">
        <f t="shared" si="25"/>
        <v>0</v>
      </c>
      <c r="I363" s="144">
        <f t="shared" si="26"/>
        <v>0</v>
      </c>
    </row>
    <row r="364" spans="3:9">
      <c r="C364" s="45">
        <v>29</v>
      </c>
      <c r="D364" s="146">
        <v>348</v>
      </c>
      <c r="E364" s="143">
        <f t="shared" si="29"/>
        <v>0</v>
      </c>
      <c r="F364" s="143">
        <f t="shared" si="28"/>
        <v>0</v>
      </c>
      <c r="G364" s="143">
        <f t="shared" si="27"/>
        <v>0</v>
      </c>
      <c r="H364" s="143">
        <f t="shared" si="25"/>
        <v>0</v>
      </c>
      <c r="I364" s="144">
        <f t="shared" si="26"/>
        <v>0</v>
      </c>
    </row>
    <row r="365" spans="3:9">
      <c r="C365" s="39"/>
      <c r="D365" s="57">
        <v>349</v>
      </c>
      <c r="E365" s="143">
        <f t="shared" si="29"/>
        <v>0</v>
      </c>
      <c r="F365" s="143">
        <f t="shared" si="28"/>
        <v>0</v>
      </c>
      <c r="G365" s="143">
        <f t="shared" si="27"/>
        <v>0</v>
      </c>
      <c r="H365" s="143">
        <f t="shared" si="25"/>
        <v>0</v>
      </c>
      <c r="I365" s="144">
        <f t="shared" si="26"/>
        <v>0</v>
      </c>
    </row>
    <row r="366" spans="3:9">
      <c r="C366" s="39"/>
      <c r="D366" s="57">
        <v>350</v>
      </c>
      <c r="E366" s="143">
        <f t="shared" si="29"/>
        <v>0</v>
      </c>
      <c r="F366" s="143">
        <f t="shared" si="28"/>
        <v>0</v>
      </c>
      <c r="G366" s="143">
        <f t="shared" si="27"/>
        <v>0</v>
      </c>
      <c r="H366" s="143">
        <f t="shared" si="25"/>
        <v>0</v>
      </c>
      <c r="I366" s="144">
        <f t="shared" si="26"/>
        <v>0</v>
      </c>
    </row>
    <row r="367" spans="3:9">
      <c r="C367" s="39"/>
      <c r="D367" s="57">
        <v>351</v>
      </c>
      <c r="E367" s="143">
        <f t="shared" si="29"/>
        <v>0</v>
      </c>
      <c r="F367" s="143">
        <f t="shared" si="28"/>
        <v>0</v>
      </c>
      <c r="G367" s="143">
        <f t="shared" si="27"/>
        <v>0</v>
      </c>
      <c r="H367" s="143">
        <f t="shared" si="25"/>
        <v>0</v>
      </c>
      <c r="I367" s="144">
        <f t="shared" si="26"/>
        <v>0</v>
      </c>
    </row>
    <row r="368" spans="3:9">
      <c r="C368" s="39"/>
      <c r="D368" s="57">
        <v>352</v>
      </c>
      <c r="E368" s="143">
        <f t="shared" si="29"/>
        <v>0</v>
      </c>
      <c r="F368" s="143">
        <f t="shared" si="28"/>
        <v>0</v>
      </c>
      <c r="G368" s="143">
        <f t="shared" si="27"/>
        <v>0</v>
      </c>
      <c r="H368" s="143">
        <f t="shared" si="25"/>
        <v>0</v>
      </c>
      <c r="I368" s="144">
        <f t="shared" si="26"/>
        <v>0</v>
      </c>
    </row>
    <row r="369" spans="3:9">
      <c r="C369" s="39"/>
      <c r="D369" s="57">
        <v>353</v>
      </c>
      <c r="E369" s="143">
        <f t="shared" si="29"/>
        <v>0</v>
      </c>
      <c r="F369" s="143">
        <f t="shared" si="28"/>
        <v>0</v>
      </c>
      <c r="G369" s="143">
        <f t="shared" si="27"/>
        <v>0</v>
      </c>
      <c r="H369" s="143">
        <f t="shared" si="25"/>
        <v>0</v>
      </c>
      <c r="I369" s="144">
        <f t="shared" si="26"/>
        <v>0</v>
      </c>
    </row>
    <row r="370" spans="3:9">
      <c r="C370" s="39"/>
      <c r="D370" s="57">
        <v>354</v>
      </c>
      <c r="E370" s="143">
        <f t="shared" si="29"/>
        <v>0</v>
      </c>
      <c r="F370" s="143">
        <f t="shared" si="28"/>
        <v>0</v>
      </c>
      <c r="G370" s="143">
        <f t="shared" si="27"/>
        <v>0</v>
      </c>
      <c r="H370" s="143">
        <f t="shared" si="25"/>
        <v>0</v>
      </c>
      <c r="I370" s="144">
        <f t="shared" si="26"/>
        <v>0</v>
      </c>
    </row>
    <row r="371" spans="3:9">
      <c r="C371" s="39"/>
      <c r="D371" s="57">
        <v>355</v>
      </c>
      <c r="E371" s="143">
        <f t="shared" si="29"/>
        <v>0</v>
      </c>
      <c r="F371" s="143">
        <f t="shared" si="28"/>
        <v>0</v>
      </c>
      <c r="G371" s="143">
        <f t="shared" si="27"/>
        <v>0</v>
      </c>
      <c r="H371" s="143">
        <f t="shared" si="25"/>
        <v>0</v>
      </c>
      <c r="I371" s="144">
        <f t="shared" si="26"/>
        <v>0</v>
      </c>
    </row>
    <row r="372" spans="3:9">
      <c r="C372" s="39"/>
      <c r="D372" s="57">
        <v>356</v>
      </c>
      <c r="E372" s="143">
        <f t="shared" si="29"/>
        <v>0</v>
      </c>
      <c r="F372" s="143">
        <f t="shared" si="28"/>
        <v>0</v>
      </c>
      <c r="G372" s="143">
        <f t="shared" si="27"/>
        <v>0</v>
      </c>
      <c r="H372" s="143">
        <f t="shared" si="25"/>
        <v>0</v>
      </c>
      <c r="I372" s="144">
        <f t="shared" si="26"/>
        <v>0</v>
      </c>
    </row>
    <row r="373" spans="3:9">
      <c r="C373" s="39"/>
      <c r="D373" s="57">
        <v>357</v>
      </c>
      <c r="E373" s="143">
        <f t="shared" si="29"/>
        <v>0</v>
      </c>
      <c r="F373" s="143">
        <f t="shared" si="28"/>
        <v>0</v>
      </c>
      <c r="G373" s="143">
        <f t="shared" si="27"/>
        <v>0</v>
      </c>
      <c r="H373" s="143">
        <f t="shared" si="25"/>
        <v>0</v>
      </c>
      <c r="I373" s="144">
        <f t="shared" si="26"/>
        <v>0</v>
      </c>
    </row>
    <row r="374" spans="3:9">
      <c r="C374" s="39"/>
      <c r="D374" s="57">
        <v>358</v>
      </c>
      <c r="E374" s="143">
        <f t="shared" si="29"/>
        <v>0</v>
      </c>
      <c r="F374" s="143">
        <f t="shared" si="28"/>
        <v>0</v>
      </c>
      <c r="G374" s="143">
        <f t="shared" si="27"/>
        <v>0</v>
      </c>
      <c r="H374" s="143">
        <f t="shared" si="25"/>
        <v>0</v>
      </c>
      <c r="I374" s="144">
        <f t="shared" si="26"/>
        <v>0</v>
      </c>
    </row>
    <row r="375" spans="3:9">
      <c r="C375" s="39"/>
      <c r="D375" s="57">
        <v>359</v>
      </c>
      <c r="E375" s="143">
        <f t="shared" si="29"/>
        <v>0</v>
      </c>
      <c r="F375" s="143">
        <f t="shared" si="28"/>
        <v>0</v>
      </c>
      <c r="G375" s="143">
        <f t="shared" si="27"/>
        <v>0</v>
      </c>
      <c r="H375" s="143">
        <f t="shared" si="25"/>
        <v>0</v>
      </c>
      <c r="I375" s="144">
        <f t="shared" si="26"/>
        <v>0</v>
      </c>
    </row>
    <row r="376" spans="3:9" ht="16" thickBot="1">
      <c r="C376" s="148">
        <v>30</v>
      </c>
      <c r="D376" s="149">
        <v>360</v>
      </c>
      <c r="E376" s="150">
        <f t="shared" si="29"/>
        <v>0</v>
      </c>
      <c r="F376" s="150">
        <f t="shared" si="28"/>
        <v>0</v>
      </c>
      <c r="G376" s="150">
        <f t="shared" si="27"/>
        <v>0</v>
      </c>
      <c r="H376" s="150">
        <f t="shared" si="25"/>
        <v>0</v>
      </c>
      <c r="I376" s="151">
        <f t="shared" si="26"/>
        <v>0</v>
      </c>
    </row>
  </sheetData>
  <sheetProtection sheet="1" objects="1" scenarios="1" formatCells="0" sort="0" autoFilter="0" pivotTables="0"/>
  <mergeCells count="2">
    <mergeCell ref="C4:D4"/>
    <mergeCell ref="E14:G1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Deal Summary</vt:lpstr>
      <vt:lpstr>Costs</vt:lpstr>
      <vt:lpstr>Proforma</vt:lpstr>
      <vt:lpstr>Rent Roll</vt:lpstr>
      <vt:lpstr>IRR </vt:lpstr>
      <vt:lpstr>Financing</vt:lpstr>
      <vt:lpstr>Tax Credits</vt:lpstr>
      <vt:lpstr>Dealpath Outputs</vt:lpstr>
      <vt:lpstr>Financing (3 Refi)</vt:lpstr>
      <vt:lpstr>'Deal Summary'!Print_Area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Rufus Hardison</dc:creator>
  <cp:keywords/>
  <dc:description/>
  <cp:lastModifiedBy>Hardison, Rufus</cp:lastModifiedBy>
  <cp:lastPrinted>2025-12-01T14:38:13Z</cp:lastPrinted>
  <dcterms:created xsi:type="dcterms:W3CDTF">2025-06-09T15:44:31Z</dcterms:created>
  <dcterms:modified xsi:type="dcterms:W3CDTF">2026-03-18T16:02:26Z</dcterms:modified>
  <cp:category/>
</cp:coreProperties>
</file>
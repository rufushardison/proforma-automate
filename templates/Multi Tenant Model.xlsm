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ufus\Downloads\"/>
    </mc:Choice>
  </mc:AlternateContent>
  <xr:revisionPtr revIDLastSave="0" documentId="13_ncr:1_{D750BEFA-AE23-4C87-B77B-C8E279C0656C}" xr6:coauthVersionLast="47" xr6:coauthVersionMax="47" xr10:uidLastSave="{00000000-0000-0000-0000-000000000000}"/>
  <bookViews>
    <workbookView xWindow="0" yWindow="15" windowWidth="28800" windowHeight="15465" xr2:uid="{D2ADD33F-BD0C-49ED-9B2F-2FF15BFFEEE0}"/>
  </bookViews>
  <sheets>
    <sheet name="Deal Summary" sheetId="2" r:id="rId1"/>
    <sheet name="Costs" sheetId="7" r:id="rId2"/>
    <sheet name="Proforma" sheetId="3" r:id="rId3"/>
    <sheet name="Rent Roll" sheetId="8" r:id="rId4"/>
    <sheet name="IRR " sheetId="4" r:id="rId5"/>
    <sheet name="Financing" sheetId="5" r:id="rId6"/>
    <sheet name="Tax Credits" sheetId="9" r:id="rId7"/>
    <sheet name="Dealpath Outputs" sheetId="10" r:id="rId8"/>
    <sheet name="Financing (3 Refi)" sheetId="6" state="hidden" r:id="rId9"/>
  </sheets>
  <definedNames>
    <definedName name="_xleta.IF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_xlnm.Print_Area" localSheetId="0">'Deal Summary'!$C$2:$Q$40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2" l="1"/>
  <c r="C4" i="2"/>
  <c r="C5" i="2"/>
  <c r="C6" i="2"/>
  <c r="K5" i="5" l="1"/>
  <c r="K6" i="5" s="1"/>
  <c r="K11" i="5" s="1"/>
  <c r="K12" i="5" s="1"/>
  <c r="K9" i="5" l="1"/>
  <c r="K10" i="5" s="1"/>
  <c r="K7" i="5"/>
  <c r="K8" i="5" s="1"/>
  <c r="L44" i="3" l="1"/>
  <c r="D50" i="4"/>
  <c r="H16" i="3"/>
  <c r="I16" i="3"/>
  <c r="H34" i="8"/>
  <c r="I34" i="8"/>
  <c r="J34" i="8"/>
  <c r="J16" i="3" s="1"/>
  <c r="K34" i="8"/>
  <c r="K16" i="3" s="1"/>
  <c r="L34" i="8"/>
  <c r="L16" i="3" s="1"/>
  <c r="G34" i="8"/>
  <c r="G16" i="3" s="1"/>
  <c r="D7" i="9"/>
  <c r="D6" i="9"/>
  <c r="D5" i="9"/>
  <c r="D21" i="9"/>
  <c r="D20" i="9"/>
  <c r="D19" i="9"/>
  <c r="D41" i="4"/>
  <c r="D32" i="4"/>
  <c r="P11" i="3"/>
  <c r="P6" i="3"/>
  <c r="P9" i="3"/>
  <c r="D21" i="3"/>
  <c r="J45" i="2"/>
  <c r="J46" i="2"/>
  <c r="J47" i="2"/>
  <c r="J48" i="2"/>
  <c r="J49" i="2"/>
  <c r="J50" i="2"/>
  <c r="J51" i="2"/>
  <c r="J52" i="2"/>
  <c r="J53" i="2"/>
  <c r="J54" i="2"/>
  <c r="J55" i="2"/>
  <c r="J44" i="2"/>
  <c r="N23" i="2"/>
  <c r="N24" i="2"/>
  <c r="N25" i="2"/>
  <c r="N26" i="2"/>
  <c r="N27" i="2"/>
  <c r="N28" i="2"/>
  <c r="N29" i="2"/>
  <c r="N30" i="2"/>
  <c r="N31" i="2"/>
  <c r="N32" i="2"/>
  <c r="N33" i="2"/>
  <c r="N22" i="2"/>
  <c r="L23" i="2"/>
  <c r="L24" i="2"/>
  <c r="L25" i="2"/>
  <c r="L26" i="2"/>
  <c r="L27" i="2"/>
  <c r="L28" i="2"/>
  <c r="L29" i="2"/>
  <c r="L30" i="2"/>
  <c r="L31" i="2"/>
  <c r="L32" i="2"/>
  <c r="L33" i="2"/>
  <c r="L22" i="2"/>
  <c r="K23" i="2"/>
  <c r="K24" i="2"/>
  <c r="K25" i="2"/>
  <c r="K26" i="2"/>
  <c r="K27" i="2"/>
  <c r="K28" i="2"/>
  <c r="K29" i="2"/>
  <c r="K30" i="2"/>
  <c r="K31" i="2"/>
  <c r="K32" i="2"/>
  <c r="K33" i="2"/>
  <c r="K22" i="2"/>
  <c r="J22" i="2"/>
  <c r="J23" i="2"/>
  <c r="J24" i="2"/>
  <c r="J25" i="2"/>
  <c r="J26" i="2"/>
  <c r="J27" i="2"/>
  <c r="J28" i="2"/>
  <c r="J29" i="2"/>
  <c r="J30" i="2"/>
  <c r="J31" i="2"/>
  <c r="J33" i="2"/>
  <c r="J32" i="2"/>
  <c r="D22" i="9" l="1"/>
  <c r="P17" i="3" s="1"/>
  <c r="O22" i="2"/>
  <c r="O33" i="2"/>
  <c r="O24" i="2"/>
  <c r="O32" i="2"/>
  <c r="P23" i="2"/>
  <c r="Q23" i="2" s="1"/>
  <c r="P27" i="2"/>
  <c r="Q27" i="2" s="1"/>
  <c r="O26" i="2"/>
  <c r="O25" i="2"/>
  <c r="P22" i="2"/>
  <c r="Q22" i="2" s="1"/>
  <c r="P26" i="2"/>
  <c r="Q26" i="2" s="1"/>
  <c r="O27" i="2"/>
  <c r="P33" i="2"/>
  <c r="Q33" i="2" s="1"/>
  <c r="P25" i="2"/>
  <c r="Q25" i="2" s="1"/>
  <c r="P30" i="2"/>
  <c r="Q30" i="2" s="1"/>
  <c r="P31" i="2"/>
  <c r="Q31" i="2" s="1"/>
  <c r="P29" i="2"/>
  <c r="Q29" i="2" s="1"/>
  <c r="O31" i="2"/>
  <c r="O23" i="2"/>
  <c r="O30" i="2"/>
  <c r="O29" i="2"/>
  <c r="P32" i="2"/>
  <c r="Q32" i="2" s="1"/>
  <c r="P24" i="2"/>
  <c r="Q24" i="2" s="1"/>
  <c r="O28" i="2"/>
  <c r="P28" i="2"/>
  <c r="Q28" i="2" s="1"/>
  <c r="M21" i="8" l="1"/>
  <c r="N21" i="8" s="1"/>
  <c r="M22" i="8"/>
  <c r="N22" i="8" s="1"/>
  <c r="M23" i="8"/>
  <c r="N23" i="8" s="1"/>
  <c r="M24" i="8"/>
  <c r="N24" i="8" s="1"/>
  <c r="M25" i="8"/>
  <c r="N25" i="8" s="1"/>
  <c r="M26" i="8"/>
  <c r="N26" i="8" s="1"/>
  <c r="M27" i="8"/>
  <c r="N27" i="8" s="1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H28" i="8"/>
  <c r="P27" i="8"/>
  <c r="P26" i="8"/>
  <c r="P25" i="8"/>
  <c r="P24" i="8"/>
  <c r="P23" i="8"/>
  <c r="P22" i="8"/>
  <c r="P21" i="8"/>
  <c r="M20" i="8"/>
  <c r="N20" i="8" s="1"/>
  <c r="P20" i="8"/>
  <c r="M19" i="8"/>
  <c r="P19" i="8"/>
  <c r="M18" i="8"/>
  <c r="G17" i="3" l="1"/>
  <c r="H17" i="3"/>
  <c r="I17" i="3"/>
  <c r="K17" i="3"/>
  <c r="L17" i="3"/>
  <c r="F17" i="3"/>
  <c r="J17" i="3"/>
  <c r="Q27" i="8"/>
  <c r="R27" i="8" s="1"/>
  <c r="S27" i="8" s="1"/>
  <c r="T27" i="8" s="1"/>
  <c r="U27" i="8" s="1"/>
  <c r="V27" i="8" s="1"/>
  <c r="W27" i="8" s="1"/>
  <c r="X27" i="8" s="1"/>
  <c r="Y27" i="8" s="1"/>
  <c r="Z27" i="8" s="1"/>
  <c r="AA27" i="8" s="1"/>
  <c r="AC27" i="8" s="1"/>
  <c r="Q21" i="8"/>
  <c r="R21" i="8" s="1"/>
  <c r="S21" i="8" s="1"/>
  <c r="T21" i="8" s="1"/>
  <c r="U21" i="8" s="1"/>
  <c r="V21" i="8" s="1"/>
  <c r="W21" i="8" s="1"/>
  <c r="X21" i="8" s="1"/>
  <c r="Y21" i="8" s="1"/>
  <c r="Z21" i="8" s="1"/>
  <c r="AA21" i="8" s="1"/>
  <c r="AC21" i="8" s="1"/>
  <c r="I20" i="8"/>
  <c r="F19" i="3"/>
  <c r="F20" i="3"/>
  <c r="F18" i="3"/>
  <c r="Q22" i="8"/>
  <c r="R22" i="8" s="1"/>
  <c r="S22" i="8" s="1"/>
  <c r="T22" i="8" s="1"/>
  <c r="U22" i="8" s="1"/>
  <c r="V22" i="8" s="1"/>
  <c r="W22" i="8" s="1"/>
  <c r="X22" i="8" s="1"/>
  <c r="Y22" i="8" s="1"/>
  <c r="Z22" i="8" s="1"/>
  <c r="AA22" i="8" s="1"/>
  <c r="AC22" i="8" s="1"/>
  <c r="AD22" i="8" s="1"/>
  <c r="AE22" i="8" s="1"/>
  <c r="AF22" i="8" s="1"/>
  <c r="AG22" i="8" s="1"/>
  <c r="AH22" i="8" s="1"/>
  <c r="AI22" i="8" s="1"/>
  <c r="AJ22" i="8" s="1"/>
  <c r="AK22" i="8" s="1"/>
  <c r="AL22" i="8" s="1"/>
  <c r="AM22" i="8" s="1"/>
  <c r="AN22" i="8" s="1"/>
  <c r="AP22" i="8" s="1"/>
  <c r="Q23" i="8"/>
  <c r="R23" i="8" s="1"/>
  <c r="S23" i="8" s="1"/>
  <c r="T23" i="8" s="1"/>
  <c r="U23" i="8" s="1"/>
  <c r="V23" i="8" s="1"/>
  <c r="W23" i="8" s="1"/>
  <c r="X23" i="8" s="1"/>
  <c r="Y23" i="8" s="1"/>
  <c r="Z23" i="8" s="1"/>
  <c r="AA23" i="8" s="1"/>
  <c r="AC23" i="8" s="1"/>
  <c r="Q24" i="8"/>
  <c r="R24" i="8" s="1"/>
  <c r="S24" i="8" s="1"/>
  <c r="T24" i="8" s="1"/>
  <c r="U24" i="8" s="1"/>
  <c r="V24" i="8" s="1"/>
  <c r="W24" i="8" s="1"/>
  <c r="X24" i="8" s="1"/>
  <c r="Y24" i="8" s="1"/>
  <c r="Z24" i="8" s="1"/>
  <c r="AA24" i="8" s="1"/>
  <c r="AC24" i="8" s="1"/>
  <c r="DD24" i="8"/>
  <c r="Q25" i="8"/>
  <c r="R25" i="8" s="1"/>
  <c r="Q26" i="8"/>
  <c r="R26" i="8" s="1"/>
  <c r="S26" i="8" s="1"/>
  <c r="T26" i="8" s="1"/>
  <c r="U26" i="8" s="1"/>
  <c r="V26" i="8" s="1"/>
  <c r="W26" i="8" s="1"/>
  <c r="X26" i="8" s="1"/>
  <c r="Y26" i="8" s="1"/>
  <c r="Z26" i="8" s="1"/>
  <c r="AA26" i="8" s="1"/>
  <c r="AC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AN26" i="8" s="1"/>
  <c r="AP26" i="8" s="1"/>
  <c r="Q20" i="8"/>
  <c r="R20" i="8" s="1"/>
  <c r="S20" i="8" s="1"/>
  <c r="T20" i="8" s="1"/>
  <c r="U20" i="8" s="1"/>
  <c r="V20" i="8" s="1"/>
  <c r="W20" i="8" s="1"/>
  <c r="X20" i="8" s="1"/>
  <c r="Y20" i="8" s="1"/>
  <c r="Z20" i="8" s="1"/>
  <c r="AA20" i="8" s="1"/>
  <c r="AC20" i="8" s="1"/>
  <c r="AD20" i="8" s="1"/>
  <c r="AE20" i="8" s="1"/>
  <c r="AF20" i="8" s="1"/>
  <c r="AG20" i="8" s="1"/>
  <c r="AH20" i="8" s="1"/>
  <c r="AI20" i="8" s="1"/>
  <c r="AJ20" i="8" s="1"/>
  <c r="AK20" i="8" s="1"/>
  <c r="AL20" i="8" s="1"/>
  <c r="AM20" i="8" s="1"/>
  <c r="AN20" i="8" s="1"/>
  <c r="AP20" i="8" s="1"/>
  <c r="I18" i="8"/>
  <c r="I26" i="8"/>
  <c r="I19" i="8"/>
  <c r="I21" i="8"/>
  <c r="I27" i="8"/>
  <c r="I23" i="8"/>
  <c r="I24" i="8"/>
  <c r="I22" i="8"/>
  <c r="I25" i="8"/>
  <c r="AD27" i="8"/>
  <c r="AE27" i="8" s="1"/>
  <c r="AF27" i="8" s="1"/>
  <c r="AG27" i="8" s="1"/>
  <c r="AH27" i="8" s="1"/>
  <c r="AI27" i="8" s="1"/>
  <c r="AJ27" i="8" s="1"/>
  <c r="AK27" i="8" s="1"/>
  <c r="AL27" i="8" s="1"/>
  <c r="AM27" i="8" s="1"/>
  <c r="AN27" i="8" s="1"/>
  <c r="AP27" i="8" s="1"/>
  <c r="AB27" i="8"/>
  <c r="AD24" i="8"/>
  <c r="AE24" i="8" s="1"/>
  <c r="AF24" i="8" s="1"/>
  <c r="AG24" i="8" s="1"/>
  <c r="AH24" i="8" s="1"/>
  <c r="AI24" i="8" s="1"/>
  <c r="AJ24" i="8" s="1"/>
  <c r="AK24" i="8" s="1"/>
  <c r="AL24" i="8" s="1"/>
  <c r="AM24" i="8" s="1"/>
  <c r="AN24" i="8" s="1"/>
  <c r="AP24" i="8" s="1"/>
  <c r="AB24" i="8"/>
  <c r="Q19" i="8"/>
  <c r="R19" i="8" s="1"/>
  <c r="S19" i="8" s="1"/>
  <c r="T19" i="8" s="1"/>
  <c r="U19" i="8" s="1"/>
  <c r="V19" i="8" s="1"/>
  <c r="W19" i="8" s="1"/>
  <c r="X19" i="8" s="1"/>
  <c r="Y19" i="8" s="1"/>
  <c r="Z19" i="8" s="1"/>
  <c r="AA19" i="8" s="1"/>
  <c r="AC19" i="8" s="1"/>
  <c r="N19" i="8"/>
  <c r="N18" i="8"/>
  <c r="AB20" i="8" l="1"/>
  <c r="AB22" i="8"/>
  <c r="AB26" i="8"/>
  <c r="S25" i="8"/>
  <c r="T25" i="8" s="1"/>
  <c r="U25" i="8" s="1"/>
  <c r="V25" i="8" s="1"/>
  <c r="W25" i="8" s="1"/>
  <c r="X25" i="8" s="1"/>
  <c r="Y25" i="8" s="1"/>
  <c r="Z25" i="8" s="1"/>
  <c r="AA25" i="8" s="1"/>
  <c r="AC25" i="8" s="1"/>
  <c r="AD25" i="8" s="1"/>
  <c r="AE25" i="8" s="1"/>
  <c r="AF25" i="8" s="1"/>
  <c r="AG25" i="8" s="1"/>
  <c r="AH25" i="8" s="1"/>
  <c r="AI25" i="8" s="1"/>
  <c r="AJ25" i="8" s="1"/>
  <c r="AK25" i="8" s="1"/>
  <c r="AL25" i="8" s="1"/>
  <c r="AM25" i="8" s="1"/>
  <c r="AN25" i="8" s="1"/>
  <c r="AP25" i="8" s="1"/>
  <c r="DE24" i="8"/>
  <c r="DD23" i="8"/>
  <c r="DD21" i="8"/>
  <c r="K54" i="2" s="1"/>
  <c r="DD26" i="8"/>
  <c r="DD22" i="8"/>
  <c r="K55" i="2" s="1"/>
  <c r="DD27" i="8"/>
  <c r="DE26" i="8"/>
  <c r="DE22" i="8"/>
  <c r="L55" i="2" s="1"/>
  <c r="DE27" i="8"/>
  <c r="DD20" i="8"/>
  <c r="K53" i="2" s="1"/>
  <c r="DD19" i="8"/>
  <c r="K52" i="2" s="1"/>
  <c r="DE20" i="8"/>
  <c r="AO24" i="8"/>
  <c r="AQ27" i="8"/>
  <c r="AR27" i="8" s="1"/>
  <c r="AS27" i="8" s="1"/>
  <c r="AT27" i="8" s="1"/>
  <c r="AU27" i="8" s="1"/>
  <c r="AV27" i="8" s="1"/>
  <c r="AW27" i="8" s="1"/>
  <c r="AX27" i="8" s="1"/>
  <c r="AY27" i="8" s="1"/>
  <c r="AZ27" i="8" s="1"/>
  <c r="BA27" i="8" s="1"/>
  <c r="BC27" i="8" s="1"/>
  <c r="AO27" i="8"/>
  <c r="AQ26" i="8"/>
  <c r="AR26" i="8" s="1"/>
  <c r="AS26" i="8" s="1"/>
  <c r="AT26" i="8" s="1"/>
  <c r="AU26" i="8" s="1"/>
  <c r="AV26" i="8" s="1"/>
  <c r="AW26" i="8" s="1"/>
  <c r="AX26" i="8" s="1"/>
  <c r="AY26" i="8" s="1"/>
  <c r="AZ26" i="8" s="1"/>
  <c r="BA26" i="8" s="1"/>
  <c r="BC26" i="8" s="1"/>
  <c r="AO26" i="8"/>
  <c r="AQ24" i="8"/>
  <c r="AR24" i="8" s="1"/>
  <c r="AS24" i="8" s="1"/>
  <c r="AT24" i="8" s="1"/>
  <c r="AU24" i="8" s="1"/>
  <c r="AV24" i="8" s="1"/>
  <c r="AW24" i="8" s="1"/>
  <c r="AX24" i="8" s="1"/>
  <c r="AY24" i="8" s="1"/>
  <c r="AZ24" i="8" s="1"/>
  <c r="BA24" i="8" s="1"/>
  <c r="BC24" i="8" s="1"/>
  <c r="AD23" i="8"/>
  <c r="AE23" i="8" s="1"/>
  <c r="AF23" i="8" s="1"/>
  <c r="AG23" i="8" s="1"/>
  <c r="AH23" i="8" s="1"/>
  <c r="AI23" i="8" s="1"/>
  <c r="AJ23" i="8" s="1"/>
  <c r="AK23" i="8" s="1"/>
  <c r="AL23" i="8" s="1"/>
  <c r="AM23" i="8" s="1"/>
  <c r="AN23" i="8" s="1"/>
  <c r="AP23" i="8" s="1"/>
  <c r="AB23" i="8"/>
  <c r="AQ22" i="8"/>
  <c r="AR22" i="8" s="1"/>
  <c r="AS22" i="8" s="1"/>
  <c r="AT22" i="8" s="1"/>
  <c r="AU22" i="8" s="1"/>
  <c r="AV22" i="8" s="1"/>
  <c r="AW22" i="8" s="1"/>
  <c r="AX22" i="8" s="1"/>
  <c r="AY22" i="8" s="1"/>
  <c r="AZ22" i="8" s="1"/>
  <c r="BA22" i="8" s="1"/>
  <c r="BC22" i="8" s="1"/>
  <c r="AO22" i="8"/>
  <c r="AD21" i="8"/>
  <c r="AE21" i="8" s="1"/>
  <c r="AF21" i="8" s="1"/>
  <c r="AG21" i="8" s="1"/>
  <c r="AH21" i="8" s="1"/>
  <c r="AI21" i="8" s="1"/>
  <c r="AJ21" i="8" s="1"/>
  <c r="AK21" i="8" s="1"/>
  <c r="AL21" i="8" s="1"/>
  <c r="AM21" i="8" s="1"/>
  <c r="AN21" i="8" s="1"/>
  <c r="AP21" i="8" s="1"/>
  <c r="AB21" i="8"/>
  <c r="AQ20" i="8"/>
  <c r="AR20" i="8" s="1"/>
  <c r="AS20" i="8" s="1"/>
  <c r="AT20" i="8" s="1"/>
  <c r="AU20" i="8" s="1"/>
  <c r="AV20" i="8" s="1"/>
  <c r="AW20" i="8" s="1"/>
  <c r="AX20" i="8" s="1"/>
  <c r="AY20" i="8" s="1"/>
  <c r="AZ20" i="8" s="1"/>
  <c r="BA20" i="8" s="1"/>
  <c r="BC20" i="8" s="1"/>
  <c r="AO20" i="8"/>
  <c r="AD19" i="8"/>
  <c r="AE19" i="8" s="1"/>
  <c r="AF19" i="8" s="1"/>
  <c r="AG19" i="8" s="1"/>
  <c r="AH19" i="8" s="1"/>
  <c r="AI19" i="8" s="1"/>
  <c r="AJ19" i="8" s="1"/>
  <c r="AK19" i="8" s="1"/>
  <c r="AL19" i="8" s="1"/>
  <c r="AM19" i="8" s="1"/>
  <c r="AN19" i="8" s="1"/>
  <c r="AP19" i="8" s="1"/>
  <c r="AB19" i="8"/>
  <c r="DF26" i="8" l="1"/>
  <c r="AB25" i="8"/>
  <c r="DE21" i="8"/>
  <c r="L54" i="2" s="1"/>
  <c r="DF24" i="8"/>
  <c r="DD25" i="8"/>
  <c r="DF22" i="8"/>
  <c r="M55" i="2" s="1"/>
  <c r="DF27" i="8"/>
  <c r="DE23" i="8"/>
  <c r="DG27" i="8"/>
  <c r="BB22" i="8"/>
  <c r="DE25" i="8"/>
  <c r="L53" i="2"/>
  <c r="DF20" i="8"/>
  <c r="DE19" i="8"/>
  <c r="L52" i="2" s="1"/>
  <c r="AO19" i="8"/>
  <c r="AO23" i="8"/>
  <c r="BB20" i="8"/>
  <c r="BB27" i="8"/>
  <c r="BD27" i="8"/>
  <c r="BE27" i="8" s="1"/>
  <c r="BF27" i="8" s="1"/>
  <c r="BG27" i="8" s="1"/>
  <c r="BH27" i="8" s="1"/>
  <c r="BI27" i="8" s="1"/>
  <c r="BJ27" i="8" s="1"/>
  <c r="BK27" i="8" s="1"/>
  <c r="BL27" i="8" s="1"/>
  <c r="BM27" i="8" s="1"/>
  <c r="BN27" i="8" s="1"/>
  <c r="BP27" i="8" s="1"/>
  <c r="BO27" i="8"/>
  <c r="BD26" i="8"/>
  <c r="BE26" i="8" s="1"/>
  <c r="BF26" i="8" s="1"/>
  <c r="BG26" i="8" s="1"/>
  <c r="BH26" i="8" s="1"/>
  <c r="BI26" i="8" s="1"/>
  <c r="BJ26" i="8" s="1"/>
  <c r="BK26" i="8" s="1"/>
  <c r="BL26" i="8" s="1"/>
  <c r="BM26" i="8" s="1"/>
  <c r="BN26" i="8" s="1"/>
  <c r="BP26" i="8" s="1"/>
  <c r="BB26" i="8"/>
  <c r="AQ25" i="8"/>
  <c r="AR25" i="8" s="1"/>
  <c r="AS25" i="8" s="1"/>
  <c r="AT25" i="8" s="1"/>
  <c r="AU25" i="8" s="1"/>
  <c r="AV25" i="8" s="1"/>
  <c r="AW25" i="8" s="1"/>
  <c r="AX25" i="8" s="1"/>
  <c r="AY25" i="8" s="1"/>
  <c r="AZ25" i="8" s="1"/>
  <c r="BA25" i="8" s="1"/>
  <c r="BC25" i="8" s="1"/>
  <c r="AO25" i="8"/>
  <c r="BB24" i="8"/>
  <c r="BD24" i="8"/>
  <c r="BE24" i="8" s="1"/>
  <c r="BF24" i="8" s="1"/>
  <c r="BG24" i="8" s="1"/>
  <c r="BH24" i="8" s="1"/>
  <c r="BI24" i="8" s="1"/>
  <c r="BJ24" i="8" s="1"/>
  <c r="BK24" i="8" s="1"/>
  <c r="BL24" i="8" s="1"/>
  <c r="BM24" i="8" s="1"/>
  <c r="BN24" i="8" s="1"/>
  <c r="BP24" i="8" s="1"/>
  <c r="AQ23" i="8"/>
  <c r="AR23" i="8" s="1"/>
  <c r="AS23" i="8" s="1"/>
  <c r="AT23" i="8" s="1"/>
  <c r="AU23" i="8" s="1"/>
  <c r="AV23" i="8" s="1"/>
  <c r="AW23" i="8" s="1"/>
  <c r="AX23" i="8" s="1"/>
  <c r="AY23" i="8" s="1"/>
  <c r="AZ23" i="8" s="1"/>
  <c r="BA23" i="8" s="1"/>
  <c r="BC23" i="8" s="1"/>
  <c r="BD22" i="8"/>
  <c r="BE22" i="8" s="1"/>
  <c r="BF22" i="8" s="1"/>
  <c r="BG22" i="8" s="1"/>
  <c r="BH22" i="8" s="1"/>
  <c r="BI22" i="8" s="1"/>
  <c r="BJ22" i="8" s="1"/>
  <c r="BK22" i="8" s="1"/>
  <c r="BL22" i="8" s="1"/>
  <c r="BM22" i="8" s="1"/>
  <c r="BN22" i="8" s="1"/>
  <c r="BP22" i="8" s="1"/>
  <c r="BO22" i="8"/>
  <c r="AQ21" i="8"/>
  <c r="AR21" i="8" s="1"/>
  <c r="AS21" i="8" s="1"/>
  <c r="AT21" i="8" s="1"/>
  <c r="AU21" i="8" s="1"/>
  <c r="AV21" i="8" s="1"/>
  <c r="AW21" i="8" s="1"/>
  <c r="AX21" i="8" s="1"/>
  <c r="AY21" i="8" s="1"/>
  <c r="AZ21" i="8" s="1"/>
  <c r="BA21" i="8" s="1"/>
  <c r="BC21" i="8" s="1"/>
  <c r="AO21" i="8"/>
  <c r="BD20" i="8"/>
  <c r="BE20" i="8" s="1"/>
  <c r="BF20" i="8" s="1"/>
  <c r="BG20" i="8" s="1"/>
  <c r="BH20" i="8" s="1"/>
  <c r="BI20" i="8" s="1"/>
  <c r="BJ20" i="8" s="1"/>
  <c r="BK20" i="8" s="1"/>
  <c r="BL20" i="8" s="1"/>
  <c r="BM20" i="8" s="1"/>
  <c r="BN20" i="8" s="1"/>
  <c r="BP20" i="8" s="1"/>
  <c r="AQ19" i="8"/>
  <c r="AR19" i="8" s="1"/>
  <c r="AS19" i="8" s="1"/>
  <c r="AT19" i="8" s="1"/>
  <c r="AU19" i="8" s="1"/>
  <c r="AV19" i="8" s="1"/>
  <c r="AW19" i="8" s="1"/>
  <c r="AX19" i="8" s="1"/>
  <c r="AY19" i="8" s="1"/>
  <c r="AZ19" i="8" s="1"/>
  <c r="BA19" i="8" s="1"/>
  <c r="BC19" i="8" s="1"/>
  <c r="DG24" i="8" l="1"/>
  <c r="DG22" i="8"/>
  <c r="N55" i="2" s="1"/>
  <c r="DG26" i="8"/>
  <c r="DF23" i="8"/>
  <c r="DF25" i="8"/>
  <c r="DF21" i="8"/>
  <c r="M54" i="2" s="1"/>
  <c r="M53" i="2"/>
  <c r="DG20" i="8"/>
  <c r="DF19" i="8"/>
  <c r="M52" i="2" s="1"/>
  <c r="BB25" i="8"/>
  <c r="BB19" i="8"/>
  <c r="BB23" i="8"/>
  <c r="BQ27" i="8"/>
  <c r="BR27" i="8" s="1"/>
  <c r="BS27" i="8" s="1"/>
  <c r="BT27" i="8" s="1"/>
  <c r="BU27" i="8" s="1"/>
  <c r="BV27" i="8" s="1"/>
  <c r="BW27" i="8" s="1"/>
  <c r="BX27" i="8" s="1"/>
  <c r="BY27" i="8" s="1"/>
  <c r="BZ27" i="8" s="1"/>
  <c r="CA27" i="8" s="1"/>
  <c r="CC27" i="8" s="1"/>
  <c r="BQ26" i="8"/>
  <c r="BR26" i="8" s="1"/>
  <c r="BS26" i="8" s="1"/>
  <c r="BT26" i="8" s="1"/>
  <c r="BU26" i="8" s="1"/>
  <c r="BV26" i="8" s="1"/>
  <c r="BW26" i="8" s="1"/>
  <c r="BX26" i="8" s="1"/>
  <c r="BY26" i="8" s="1"/>
  <c r="BZ26" i="8" s="1"/>
  <c r="CA26" i="8" s="1"/>
  <c r="CC26" i="8" s="1"/>
  <c r="BO26" i="8"/>
  <c r="BD25" i="8"/>
  <c r="BE25" i="8" s="1"/>
  <c r="BF25" i="8" s="1"/>
  <c r="BG25" i="8" s="1"/>
  <c r="BH25" i="8" s="1"/>
  <c r="BI25" i="8" s="1"/>
  <c r="BJ25" i="8" s="1"/>
  <c r="BK25" i="8" s="1"/>
  <c r="BL25" i="8" s="1"/>
  <c r="BM25" i="8" s="1"/>
  <c r="BN25" i="8" s="1"/>
  <c r="BP25" i="8" s="1"/>
  <c r="BQ24" i="8"/>
  <c r="BR24" i="8" s="1"/>
  <c r="BS24" i="8" s="1"/>
  <c r="BT24" i="8" s="1"/>
  <c r="BU24" i="8" s="1"/>
  <c r="BV24" i="8" s="1"/>
  <c r="BW24" i="8" s="1"/>
  <c r="BX24" i="8" s="1"/>
  <c r="BY24" i="8" s="1"/>
  <c r="BZ24" i="8" s="1"/>
  <c r="CA24" i="8" s="1"/>
  <c r="CC24" i="8" s="1"/>
  <c r="BO24" i="8"/>
  <c r="BD23" i="8"/>
  <c r="BE23" i="8" s="1"/>
  <c r="BF23" i="8" s="1"/>
  <c r="BG23" i="8" s="1"/>
  <c r="BH23" i="8" s="1"/>
  <c r="BI23" i="8" s="1"/>
  <c r="BJ23" i="8" s="1"/>
  <c r="BK23" i="8" s="1"/>
  <c r="BL23" i="8" s="1"/>
  <c r="BM23" i="8" s="1"/>
  <c r="BN23" i="8" s="1"/>
  <c r="BP23" i="8" s="1"/>
  <c r="BQ22" i="8"/>
  <c r="BR22" i="8" s="1"/>
  <c r="BS22" i="8" s="1"/>
  <c r="BT22" i="8" s="1"/>
  <c r="BU22" i="8" s="1"/>
  <c r="BV22" i="8" s="1"/>
  <c r="BW22" i="8" s="1"/>
  <c r="BX22" i="8" s="1"/>
  <c r="BY22" i="8" s="1"/>
  <c r="BZ22" i="8" s="1"/>
  <c r="CA22" i="8" s="1"/>
  <c r="CC22" i="8" s="1"/>
  <c r="CB22" i="8"/>
  <c r="BB21" i="8"/>
  <c r="BD21" i="8"/>
  <c r="BE21" i="8" s="1"/>
  <c r="BF21" i="8" s="1"/>
  <c r="BG21" i="8" s="1"/>
  <c r="BH21" i="8" s="1"/>
  <c r="BI21" i="8" s="1"/>
  <c r="BJ21" i="8" s="1"/>
  <c r="BK21" i="8" s="1"/>
  <c r="BL21" i="8" s="1"/>
  <c r="BM21" i="8" s="1"/>
  <c r="BN21" i="8" s="1"/>
  <c r="BP21" i="8" s="1"/>
  <c r="BQ20" i="8"/>
  <c r="BR20" i="8" s="1"/>
  <c r="BS20" i="8" s="1"/>
  <c r="BT20" i="8" s="1"/>
  <c r="BU20" i="8" s="1"/>
  <c r="BV20" i="8" s="1"/>
  <c r="BW20" i="8" s="1"/>
  <c r="BX20" i="8" s="1"/>
  <c r="BY20" i="8" s="1"/>
  <c r="BZ20" i="8" s="1"/>
  <c r="CA20" i="8" s="1"/>
  <c r="CC20" i="8" s="1"/>
  <c r="BO20" i="8"/>
  <c r="BD19" i="8"/>
  <c r="BE19" i="8" s="1"/>
  <c r="BF19" i="8" s="1"/>
  <c r="BG19" i="8" s="1"/>
  <c r="BH19" i="8" s="1"/>
  <c r="BI19" i="8" s="1"/>
  <c r="BJ19" i="8" s="1"/>
  <c r="BK19" i="8" s="1"/>
  <c r="BL19" i="8" s="1"/>
  <c r="BM19" i="8" s="1"/>
  <c r="BN19" i="8" s="1"/>
  <c r="BP19" i="8" s="1"/>
  <c r="DG21" i="8" l="1"/>
  <c r="N54" i="2" s="1"/>
  <c r="DH27" i="8"/>
  <c r="DI27" i="8"/>
  <c r="DI24" i="8"/>
  <c r="DH22" i="8"/>
  <c r="O55" i="2" s="1"/>
  <c r="DH24" i="8"/>
  <c r="DI22" i="8"/>
  <c r="P55" i="2" s="1"/>
  <c r="DI26" i="8"/>
  <c r="DG23" i="8"/>
  <c r="DH26" i="8"/>
  <c r="DG25" i="8"/>
  <c r="N53" i="2"/>
  <c r="DI20" i="8"/>
  <c r="DH19" i="8"/>
  <c r="O52" i="2" s="1"/>
  <c r="DH20" i="8"/>
  <c r="DG19" i="8"/>
  <c r="N52" i="2" s="1"/>
  <c r="CB26" i="8"/>
  <c r="BO21" i="8"/>
  <c r="BO19" i="8"/>
  <c r="BO23" i="8"/>
  <c r="CD27" i="8"/>
  <c r="CE27" i="8" s="1"/>
  <c r="CF27" i="8" s="1"/>
  <c r="CG27" i="8" s="1"/>
  <c r="CH27" i="8" s="1"/>
  <c r="CI27" i="8" s="1"/>
  <c r="CJ27" i="8" s="1"/>
  <c r="CK27" i="8" s="1"/>
  <c r="CL27" i="8" s="1"/>
  <c r="CM27" i="8" s="1"/>
  <c r="CN27" i="8" s="1"/>
  <c r="CP27" i="8" s="1"/>
  <c r="CB27" i="8"/>
  <c r="CD26" i="8"/>
  <c r="CE26" i="8" s="1"/>
  <c r="CF26" i="8" s="1"/>
  <c r="CG26" i="8" s="1"/>
  <c r="CH26" i="8" s="1"/>
  <c r="CI26" i="8" s="1"/>
  <c r="CJ26" i="8" s="1"/>
  <c r="CK26" i="8" s="1"/>
  <c r="CL26" i="8" s="1"/>
  <c r="CM26" i="8" s="1"/>
  <c r="CN26" i="8" s="1"/>
  <c r="CP26" i="8" s="1"/>
  <c r="BO25" i="8"/>
  <c r="BQ25" i="8"/>
  <c r="BR25" i="8" s="1"/>
  <c r="BS25" i="8" s="1"/>
  <c r="BT25" i="8" s="1"/>
  <c r="BU25" i="8" s="1"/>
  <c r="BV25" i="8" s="1"/>
  <c r="BW25" i="8" s="1"/>
  <c r="BX25" i="8" s="1"/>
  <c r="BY25" i="8" s="1"/>
  <c r="BZ25" i="8" s="1"/>
  <c r="CA25" i="8" s="1"/>
  <c r="CC25" i="8" s="1"/>
  <c r="CD24" i="8"/>
  <c r="CE24" i="8" s="1"/>
  <c r="CF24" i="8" s="1"/>
  <c r="CG24" i="8" s="1"/>
  <c r="CH24" i="8" s="1"/>
  <c r="CI24" i="8" s="1"/>
  <c r="CJ24" i="8" s="1"/>
  <c r="CK24" i="8" s="1"/>
  <c r="CL24" i="8" s="1"/>
  <c r="CM24" i="8" s="1"/>
  <c r="CN24" i="8" s="1"/>
  <c r="CP24" i="8" s="1"/>
  <c r="CB24" i="8"/>
  <c r="BQ23" i="8"/>
  <c r="BR23" i="8" s="1"/>
  <c r="BS23" i="8" s="1"/>
  <c r="BT23" i="8" s="1"/>
  <c r="BU23" i="8" s="1"/>
  <c r="BV23" i="8" s="1"/>
  <c r="BW23" i="8" s="1"/>
  <c r="BX23" i="8" s="1"/>
  <c r="BY23" i="8" s="1"/>
  <c r="BZ23" i="8" s="1"/>
  <c r="CA23" i="8" s="1"/>
  <c r="CC23" i="8" s="1"/>
  <c r="CD22" i="8"/>
  <c r="CE22" i="8" s="1"/>
  <c r="CF22" i="8" s="1"/>
  <c r="CG22" i="8" s="1"/>
  <c r="CH22" i="8" s="1"/>
  <c r="CI22" i="8" s="1"/>
  <c r="CJ22" i="8" s="1"/>
  <c r="CK22" i="8" s="1"/>
  <c r="CL22" i="8" s="1"/>
  <c r="CM22" i="8" s="1"/>
  <c r="CN22" i="8" s="1"/>
  <c r="CP22" i="8" s="1"/>
  <c r="BQ21" i="8"/>
  <c r="BR21" i="8" s="1"/>
  <c r="BS21" i="8" s="1"/>
  <c r="BT21" i="8" s="1"/>
  <c r="BU21" i="8" s="1"/>
  <c r="BV21" i="8" s="1"/>
  <c r="BW21" i="8" s="1"/>
  <c r="BX21" i="8" s="1"/>
  <c r="BY21" i="8" s="1"/>
  <c r="BZ21" i="8" s="1"/>
  <c r="CA21" i="8" s="1"/>
  <c r="CC21" i="8" s="1"/>
  <c r="CD20" i="8"/>
  <c r="CE20" i="8" s="1"/>
  <c r="CF20" i="8" s="1"/>
  <c r="CG20" i="8" s="1"/>
  <c r="CH20" i="8" s="1"/>
  <c r="CI20" i="8" s="1"/>
  <c r="CJ20" i="8" s="1"/>
  <c r="CK20" i="8" s="1"/>
  <c r="CL20" i="8" s="1"/>
  <c r="CM20" i="8" s="1"/>
  <c r="CN20" i="8" s="1"/>
  <c r="CP20" i="8" s="1"/>
  <c r="CB20" i="8"/>
  <c r="BQ19" i="8"/>
  <c r="BR19" i="8" s="1"/>
  <c r="BS19" i="8" s="1"/>
  <c r="BT19" i="8" s="1"/>
  <c r="BU19" i="8" s="1"/>
  <c r="BV19" i="8" s="1"/>
  <c r="BW19" i="8" s="1"/>
  <c r="BX19" i="8" s="1"/>
  <c r="BY19" i="8" s="1"/>
  <c r="BZ19" i="8" s="1"/>
  <c r="CA19" i="8" s="1"/>
  <c r="CC19" i="8" s="1"/>
  <c r="DH25" i="8" l="1"/>
  <c r="CO26" i="8"/>
  <c r="DI25" i="8"/>
  <c r="DI19" i="8"/>
  <c r="P52" i="2" s="1"/>
  <c r="DJ24" i="8"/>
  <c r="DI23" i="8"/>
  <c r="DH23" i="8"/>
  <c r="DI21" i="8"/>
  <c r="P54" i="2" s="1"/>
  <c r="DJ27" i="8"/>
  <c r="DJ22" i="8"/>
  <c r="Q55" i="2" s="1"/>
  <c r="CO22" i="8"/>
  <c r="DH21" i="8"/>
  <c r="O54" i="2" s="1"/>
  <c r="DJ26" i="8"/>
  <c r="O53" i="2"/>
  <c r="P53" i="2"/>
  <c r="DJ20" i="8"/>
  <c r="CB19" i="8"/>
  <c r="CO24" i="8"/>
  <c r="CO27" i="8"/>
  <c r="CQ27" i="8"/>
  <c r="CR27" i="8" s="1"/>
  <c r="CS27" i="8" s="1"/>
  <c r="CT27" i="8" s="1"/>
  <c r="CU27" i="8" s="1"/>
  <c r="CV27" i="8" s="1"/>
  <c r="CW27" i="8" s="1"/>
  <c r="CX27" i="8" s="1"/>
  <c r="CY27" i="8" s="1"/>
  <c r="CZ27" i="8" s="1"/>
  <c r="DA27" i="8" s="1"/>
  <c r="CQ26" i="8"/>
  <c r="CR26" i="8" s="1"/>
  <c r="CS26" i="8" s="1"/>
  <c r="CT26" i="8" s="1"/>
  <c r="CU26" i="8" s="1"/>
  <c r="CV26" i="8" s="1"/>
  <c r="CW26" i="8" s="1"/>
  <c r="CX26" i="8" s="1"/>
  <c r="CY26" i="8" s="1"/>
  <c r="CZ26" i="8" s="1"/>
  <c r="DA26" i="8" s="1"/>
  <c r="CB25" i="8"/>
  <c r="CD25" i="8"/>
  <c r="CE25" i="8" s="1"/>
  <c r="CF25" i="8" s="1"/>
  <c r="CG25" i="8" s="1"/>
  <c r="CH25" i="8" s="1"/>
  <c r="CI25" i="8" s="1"/>
  <c r="CJ25" i="8" s="1"/>
  <c r="CK25" i="8" s="1"/>
  <c r="CL25" i="8" s="1"/>
  <c r="CM25" i="8" s="1"/>
  <c r="CN25" i="8" s="1"/>
  <c r="CP25" i="8" s="1"/>
  <c r="CQ24" i="8"/>
  <c r="CR24" i="8" s="1"/>
  <c r="CS24" i="8" s="1"/>
  <c r="CT24" i="8" s="1"/>
  <c r="CU24" i="8" s="1"/>
  <c r="CV24" i="8" s="1"/>
  <c r="CW24" i="8" s="1"/>
  <c r="CX24" i="8" s="1"/>
  <c r="CY24" i="8" s="1"/>
  <c r="CZ24" i="8" s="1"/>
  <c r="DA24" i="8" s="1"/>
  <c r="DB24" i="8" s="1"/>
  <c r="CB23" i="8"/>
  <c r="CD23" i="8"/>
  <c r="CE23" i="8" s="1"/>
  <c r="CF23" i="8" s="1"/>
  <c r="CG23" i="8" s="1"/>
  <c r="CH23" i="8" s="1"/>
  <c r="CI23" i="8" s="1"/>
  <c r="CJ23" i="8" s="1"/>
  <c r="CK23" i="8" s="1"/>
  <c r="CL23" i="8" s="1"/>
  <c r="CM23" i="8" s="1"/>
  <c r="CN23" i="8" s="1"/>
  <c r="CP23" i="8" s="1"/>
  <c r="CQ22" i="8"/>
  <c r="CR22" i="8" s="1"/>
  <c r="CS22" i="8" s="1"/>
  <c r="CT22" i="8" s="1"/>
  <c r="CU22" i="8" s="1"/>
  <c r="CV22" i="8" s="1"/>
  <c r="CW22" i="8" s="1"/>
  <c r="CX22" i="8" s="1"/>
  <c r="CY22" i="8" s="1"/>
  <c r="CZ22" i="8" s="1"/>
  <c r="DA22" i="8" s="1"/>
  <c r="CD21" i="8"/>
  <c r="CE21" i="8" s="1"/>
  <c r="CF21" i="8" s="1"/>
  <c r="CG21" i="8" s="1"/>
  <c r="CH21" i="8" s="1"/>
  <c r="CI21" i="8" s="1"/>
  <c r="CJ21" i="8" s="1"/>
  <c r="CK21" i="8" s="1"/>
  <c r="CL21" i="8" s="1"/>
  <c r="CM21" i="8" s="1"/>
  <c r="CN21" i="8" s="1"/>
  <c r="CP21" i="8" s="1"/>
  <c r="CB21" i="8"/>
  <c r="CQ20" i="8"/>
  <c r="CR20" i="8" s="1"/>
  <c r="CS20" i="8" s="1"/>
  <c r="CT20" i="8" s="1"/>
  <c r="CU20" i="8" s="1"/>
  <c r="CV20" i="8" s="1"/>
  <c r="CW20" i="8" s="1"/>
  <c r="CX20" i="8" s="1"/>
  <c r="CY20" i="8" s="1"/>
  <c r="CZ20" i="8" s="1"/>
  <c r="DA20" i="8" s="1"/>
  <c r="CO20" i="8"/>
  <c r="CD19" i="8"/>
  <c r="CE19" i="8" s="1"/>
  <c r="CF19" i="8" s="1"/>
  <c r="CG19" i="8" s="1"/>
  <c r="CH19" i="8" s="1"/>
  <c r="CI19" i="8" s="1"/>
  <c r="CJ19" i="8" s="1"/>
  <c r="CK19" i="8" s="1"/>
  <c r="CL19" i="8" s="1"/>
  <c r="CM19" i="8" s="1"/>
  <c r="CN19" i="8" s="1"/>
  <c r="CP19" i="8" s="1"/>
  <c r="CO23" i="8" l="1"/>
  <c r="DJ23" i="8"/>
  <c r="DJ25" i="8"/>
  <c r="DJ21" i="8"/>
  <c r="Q54" i="2" s="1"/>
  <c r="Q53" i="2"/>
  <c r="DJ19" i="8"/>
  <c r="Q52" i="2" s="1"/>
  <c r="DB22" i="8"/>
  <c r="CO25" i="8"/>
  <c r="DB27" i="8"/>
  <c r="DB26" i="8"/>
  <c r="CQ25" i="8"/>
  <c r="CR25" i="8" s="1"/>
  <c r="CS25" i="8" s="1"/>
  <c r="CT25" i="8" s="1"/>
  <c r="CU25" i="8" s="1"/>
  <c r="CV25" i="8" s="1"/>
  <c r="CW25" i="8" s="1"/>
  <c r="CX25" i="8" s="1"/>
  <c r="CY25" i="8" s="1"/>
  <c r="CZ25" i="8" s="1"/>
  <c r="DA25" i="8" s="1"/>
  <c r="CQ23" i="8"/>
  <c r="CR23" i="8" s="1"/>
  <c r="CS23" i="8" s="1"/>
  <c r="CT23" i="8" s="1"/>
  <c r="CU23" i="8" s="1"/>
  <c r="CV23" i="8" s="1"/>
  <c r="CW23" i="8" s="1"/>
  <c r="CX23" i="8" s="1"/>
  <c r="CY23" i="8" s="1"/>
  <c r="CZ23" i="8" s="1"/>
  <c r="DA23" i="8" s="1"/>
  <c r="CO21" i="8"/>
  <c r="CQ21" i="8"/>
  <c r="CR21" i="8" s="1"/>
  <c r="CS21" i="8" s="1"/>
  <c r="CT21" i="8" s="1"/>
  <c r="CU21" i="8" s="1"/>
  <c r="CV21" i="8" s="1"/>
  <c r="CW21" i="8" s="1"/>
  <c r="CX21" i="8" s="1"/>
  <c r="CY21" i="8" s="1"/>
  <c r="CZ21" i="8" s="1"/>
  <c r="DA21" i="8" s="1"/>
  <c r="DB20" i="8"/>
  <c r="CQ19" i="8"/>
  <c r="CR19" i="8" s="1"/>
  <c r="CS19" i="8" s="1"/>
  <c r="CT19" i="8" s="1"/>
  <c r="CU19" i="8" s="1"/>
  <c r="CV19" i="8" s="1"/>
  <c r="CW19" i="8" s="1"/>
  <c r="CX19" i="8" s="1"/>
  <c r="CY19" i="8" s="1"/>
  <c r="CZ19" i="8" s="1"/>
  <c r="DA19" i="8" s="1"/>
  <c r="CO19" i="8"/>
  <c r="DB23" i="8" l="1"/>
  <c r="DB25" i="8"/>
  <c r="DB21" i="8"/>
  <c r="DB19" i="8"/>
  <c r="G20" i="3" l="1"/>
  <c r="H20" i="3" s="1"/>
  <c r="I20" i="3" s="1"/>
  <c r="J20" i="3" s="1"/>
  <c r="K20" i="3" s="1"/>
  <c r="L20" i="3" s="1"/>
  <c r="G19" i="3"/>
  <c r="H19" i="3" s="1"/>
  <c r="I19" i="3" s="1"/>
  <c r="J19" i="3" s="1"/>
  <c r="K19" i="3" s="1"/>
  <c r="L19" i="3" s="1"/>
  <c r="G18" i="3"/>
  <c r="K44" i="3"/>
  <c r="J44" i="3"/>
  <c r="I44" i="3"/>
  <c r="H44" i="3"/>
  <c r="G44" i="3"/>
  <c r="F44" i="3"/>
  <c r="E21" i="3"/>
  <c r="E20" i="3"/>
  <c r="E19" i="3"/>
  <c r="E18" i="3"/>
  <c r="I17" i="8"/>
  <c r="P18" i="8"/>
  <c r="P17" i="8"/>
  <c r="Q17" i="8" s="1"/>
  <c r="M17" i="8"/>
  <c r="N17" i="8" s="1"/>
  <c r="P16" i="8"/>
  <c r="Q16" i="8" s="1"/>
  <c r="M16" i="8"/>
  <c r="N16" i="8" s="1"/>
  <c r="P15" i="8"/>
  <c r="Q15" i="8" s="1"/>
  <c r="R15" i="8" s="1"/>
  <c r="S15" i="8" s="1"/>
  <c r="T15" i="8" s="1"/>
  <c r="U15" i="8" s="1"/>
  <c r="V15" i="8" s="1"/>
  <c r="W15" i="8" s="1"/>
  <c r="X15" i="8" s="1"/>
  <c r="Y15" i="8" s="1"/>
  <c r="Z15" i="8" s="1"/>
  <c r="AA15" i="8" s="1"/>
  <c r="AC15" i="8" s="1"/>
  <c r="M15" i="8"/>
  <c r="N15" i="8" s="1"/>
  <c r="P14" i="8"/>
  <c r="Q14" i="8" s="1"/>
  <c r="M14" i="8"/>
  <c r="N14" i="8" s="1"/>
  <c r="P13" i="8"/>
  <c r="M13" i="8"/>
  <c r="N13" i="8" s="1"/>
  <c r="P12" i="8"/>
  <c r="Q12" i="8" s="1"/>
  <c r="M12" i="8"/>
  <c r="N12" i="8" s="1"/>
  <c r="P11" i="8"/>
  <c r="M11" i="8"/>
  <c r="L11" i="8"/>
  <c r="Q11" i="8" l="1"/>
  <c r="P28" i="8"/>
  <c r="Q18" i="8"/>
  <c r="R18" i="8" s="1"/>
  <c r="S18" i="8" s="1"/>
  <c r="T18" i="8" s="1"/>
  <c r="U18" i="8" s="1"/>
  <c r="V18" i="8" s="1"/>
  <c r="W18" i="8" s="1"/>
  <c r="X18" i="8" s="1"/>
  <c r="Y18" i="8" s="1"/>
  <c r="Z18" i="8" s="1"/>
  <c r="AA18" i="8" s="1"/>
  <c r="H18" i="3"/>
  <c r="M28" i="8"/>
  <c r="I16" i="8"/>
  <c r="I12" i="8"/>
  <c r="I15" i="8"/>
  <c r="I11" i="8"/>
  <c r="I13" i="8"/>
  <c r="I14" i="8"/>
  <c r="R16" i="8"/>
  <c r="S16" i="8" s="1"/>
  <c r="T16" i="8" s="1"/>
  <c r="U16" i="8" s="1"/>
  <c r="V16" i="8" s="1"/>
  <c r="W16" i="8" s="1"/>
  <c r="X16" i="8" s="1"/>
  <c r="Y16" i="8" s="1"/>
  <c r="Z16" i="8" s="1"/>
  <c r="AA16" i="8" s="1"/>
  <c r="AD15" i="8"/>
  <c r="AE15" i="8" s="1"/>
  <c r="AF15" i="8" s="1"/>
  <c r="AG15" i="8" s="1"/>
  <c r="AH15" i="8" s="1"/>
  <c r="AI15" i="8" s="1"/>
  <c r="AJ15" i="8" s="1"/>
  <c r="AK15" i="8" s="1"/>
  <c r="AL15" i="8" s="1"/>
  <c r="AM15" i="8" s="1"/>
  <c r="AN15" i="8" s="1"/>
  <c r="AP15" i="8" s="1"/>
  <c r="R14" i="8"/>
  <c r="R12" i="8"/>
  <c r="N11" i="8"/>
  <c r="N28" i="8" s="1"/>
  <c r="Q13" i="8"/>
  <c r="DD15" i="8"/>
  <c r="K48" i="2" s="1"/>
  <c r="AB15" i="8"/>
  <c r="R17" i="8"/>
  <c r="S17" i="8" s="1"/>
  <c r="T17" i="8" s="1"/>
  <c r="U17" i="8" s="1"/>
  <c r="V17" i="8" s="1"/>
  <c r="W17" i="8" s="1"/>
  <c r="X17" i="8" s="1"/>
  <c r="Y17" i="8" s="1"/>
  <c r="Z17" i="8" s="1"/>
  <c r="AA17" i="8" s="1"/>
  <c r="AC17" i="8" s="1"/>
  <c r="F11" i="2"/>
  <c r="N9" i="2"/>
  <c r="M9" i="2" s="1"/>
  <c r="L9" i="2" s="1"/>
  <c r="K9" i="2" s="1"/>
  <c r="J12" i="2"/>
  <c r="N17" i="7"/>
  <c r="D22" i="2" s="1"/>
  <c r="F17" i="7"/>
  <c r="D11" i="2" s="1"/>
  <c r="R11" i="8" l="1"/>
  <c r="Q28" i="8"/>
  <c r="D28" i="8"/>
  <c r="B28" i="8"/>
  <c r="C28" i="8"/>
  <c r="DD18" i="8"/>
  <c r="K51" i="2" s="1"/>
  <c r="I18" i="3"/>
  <c r="I28" i="8"/>
  <c r="AB17" i="8"/>
  <c r="AC16" i="8"/>
  <c r="AD16" i="8" s="1"/>
  <c r="AC18" i="8"/>
  <c r="AB18" i="8"/>
  <c r="DD16" i="8"/>
  <c r="K49" i="2" s="1"/>
  <c r="DE15" i="8"/>
  <c r="L48" i="2" s="1"/>
  <c r="AO15" i="8"/>
  <c r="AB16" i="8"/>
  <c r="AD17" i="8"/>
  <c r="AE17" i="8" s="1"/>
  <c r="AF17" i="8" s="1"/>
  <c r="AG17" i="8" s="1"/>
  <c r="AH17" i="8" s="1"/>
  <c r="AI17" i="8" s="1"/>
  <c r="AJ17" i="8" s="1"/>
  <c r="AK17" i="8" s="1"/>
  <c r="AL17" i="8" s="1"/>
  <c r="AM17" i="8" s="1"/>
  <c r="AN17" i="8" s="1"/>
  <c r="AP17" i="8" s="1"/>
  <c r="S14" i="8"/>
  <c r="S12" i="8"/>
  <c r="R13" i="8"/>
  <c r="DD17" i="8"/>
  <c r="K50" i="2" s="1"/>
  <c r="AQ15" i="8"/>
  <c r="AR15" i="8" s="1"/>
  <c r="AS15" i="8" s="1"/>
  <c r="AT15" i="8" s="1"/>
  <c r="AU15" i="8" s="1"/>
  <c r="AV15" i="8" s="1"/>
  <c r="AW15" i="8" s="1"/>
  <c r="AX15" i="8" s="1"/>
  <c r="AY15" i="8" s="1"/>
  <c r="AZ15" i="8" s="1"/>
  <c r="BA15" i="8" s="1"/>
  <c r="BC15" i="8" s="1"/>
  <c r="O9" i="2"/>
  <c r="P9" i="2" s="1"/>
  <c r="Q9" i="2" s="1"/>
  <c r="C3" i="2"/>
  <c r="C9" i="2"/>
  <c r="D23" i="4"/>
  <c r="D14" i="4"/>
  <c r="D5" i="4"/>
  <c r="H12" i="3" l="1"/>
  <c r="R28" i="8"/>
  <c r="S11" i="8"/>
  <c r="F12" i="3"/>
  <c r="G12" i="3"/>
  <c r="AD18" i="8"/>
  <c r="AE18" i="8" s="1"/>
  <c r="AF18" i="8" s="1"/>
  <c r="AG18" i="8" s="1"/>
  <c r="AH18" i="8" s="1"/>
  <c r="AI18" i="8" s="1"/>
  <c r="AJ18" i="8" s="1"/>
  <c r="AK18" i="8" s="1"/>
  <c r="AL18" i="8" s="1"/>
  <c r="AM18" i="8" s="1"/>
  <c r="AN18" i="8" s="1"/>
  <c r="AP18" i="8" s="1"/>
  <c r="J18" i="3"/>
  <c r="I12" i="3"/>
  <c r="DE17" i="8"/>
  <c r="L50" i="2" s="1"/>
  <c r="AE16" i="8"/>
  <c r="AF16" i="8" s="1"/>
  <c r="AG16" i="8" s="1"/>
  <c r="AH16" i="8" s="1"/>
  <c r="AI16" i="8" s="1"/>
  <c r="AJ16" i="8" s="1"/>
  <c r="AK16" i="8" s="1"/>
  <c r="AL16" i="8" s="1"/>
  <c r="AM16" i="8" s="1"/>
  <c r="AN16" i="8" s="1"/>
  <c r="AP16" i="8" s="1"/>
  <c r="AQ16" i="8" s="1"/>
  <c r="AR16" i="8" s="1"/>
  <c r="AS16" i="8" s="1"/>
  <c r="AT16" i="8" s="1"/>
  <c r="AU16" i="8" s="1"/>
  <c r="AV16" i="8" s="1"/>
  <c r="AW16" i="8" s="1"/>
  <c r="AX16" i="8" s="1"/>
  <c r="AY16" i="8" s="1"/>
  <c r="AZ16" i="8" s="1"/>
  <c r="BA16" i="8" s="1"/>
  <c r="BC16" i="8" s="1"/>
  <c r="BB15" i="8"/>
  <c r="BD15" i="8"/>
  <c r="BE15" i="8" s="1"/>
  <c r="BF15" i="8" s="1"/>
  <c r="BG15" i="8" s="1"/>
  <c r="BH15" i="8" s="1"/>
  <c r="BI15" i="8" s="1"/>
  <c r="BJ15" i="8" s="1"/>
  <c r="BK15" i="8" s="1"/>
  <c r="BL15" i="8" s="1"/>
  <c r="BM15" i="8" s="1"/>
  <c r="BN15" i="8" s="1"/>
  <c r="BP15" i="8" s="1"/>
  <c r="DF15" i="8"/>
  <c r="M48" i="2" s="1"/>
  <c r="T14" i="8"/>
  <c r="AQ17" i="8"/>
  <c r="AR17" i="8" s="1"/>
  <c r="AS17" i="8" s="1"/>
  <c r="AT17" i="8" s="1"/>
  <c r="AU17" i="8" s="1"/>
  <c r="AV17" i="8" s="1"/>
  <c r="AW17" i="8" s="1"/>
  <c r="AX17" i="8" s="1"/>
  <c r="AY17" i="8" s="1"/>
  <c r="AZ17" i="8" s="1"/>
  <c r="BA17" i="8" s="1"/>
  <c r="BC17" i="8" s="1"/>
  <c r="S13" i="8"/>
  <c r="T12" i="8"/>
  <c r="AO17" i="8"/>
  <c r="D9" i="2"/>
  <c r="C25" i="2"/>
  <c r="C24" i="2"/>
  <c r="D24" i="2"/>
  <c r="D25" i="2"/>
  <c r="C8" i="5"/>
  <c r="C7" i="5"/>
  <c r="G37" i="2" s="1"/>
  <c r="C6" i="5"/>
  <c r="G38" i="2" s="1"/>
  <c r="F6" i="5"/>
  <c r="G34" i="2" s="1"/>
  <c r="C30" i="2"/>
  <c r="D21" i="2"/>
  <c r="D17" i="2"/>
  <c r="D16" i="2"/>
  <c r="D4" i="9" s="1"/>
  <c r="C15" i="2"/>
  <c r="S28" i="8" l="1"/>
  <c r="T11" i="8"/>
  <c r="DE18" i="8"/>
  <c r="L51" i="2" s="1"/>
  <c r="AO16" i="8"/>
  <c r="AO18" i="8"/>
  <c r="G17" i="2"/>
  <c r="E12" i="3"/>
  <c r="E14" i="3" s="1"/>
  <c r="E22" i="3" s="1"/>
  <c r="DE16" i="8"/>
  <c r="L49" i="2" s="1"/>
  <c r="AQ18" i="8"/>
  <c r="K18" i="3"/>
  <c r="J12" i="3"/>
  <c r="BD16" i="8"/>
  <c r="BE16" i="8" s="1"/>
  <c r="BF16" i="8" s="1"/>
  <c r="BG16" i="8" s="1"/>
  <c r="BH16" i="8" s="1"/>
  <c r="BI16" i="8" s="1"/>
  <c r="BJ16" i="8" s="1"/>
  <c r="BK16" i="8" s="1"/>
  <c r="BL16" i="8" s="1"/>
  <c r="BM16" i="8" s="1"/>
  <c r="BN16" i="8" s="1"/>
  <c r="BP16" i="8" s="1"/>
  <c r="BB16" i="8"/>
  <c r="DF16" i="8"/>
  <c r="M49" i="2" s="1"/>
  <c r="BO15" i="8"/>
  <c r="DG15" i="8"/>
  <c r="N48" i="2" s="1"/>
  <c r="T13" i="8"/>
  <c r="DF17" i="8"/>
  <c r="M50" i="2" s="1"/>
  <c r="U14" i="8"/>
  <c r="BB17" i="8"/>
  <c r="BQ15" i="8"/>
  <c r="BR15" i="8" s="1"/>
  <c r="BS15" i="8" s="1"/>
  <c r="BT15" i="8" s="1"/>
  <c r="BU15" i="8" s="1"/>
  <c r="BV15" i="8" s="1"/>
  <c r="BW15" i="8" s="1"/>
  <c r="BX15" i="8" s="1"/>
  <c r="BY15" i="8" s="1"/>
  <c r="BZ15" i="8" s="1"/>
  <c r="CA15" i="8" s="1"/>
  <c r="CC15" i="8" s="1"/>
  <c r="U12" i="8"/>
  <c r="BD17" i="8"/>
  <c r="BE17" i="8" s="1"/>
  <c r="BF17" i="8" s="1"/>
  <c r="BG17" i="8" s="1"/>
  <c r="BH17" i="8" s="1"/>
  <c r="BI17" i="8" s="1"/>
  <c r="BJ17" i="8" s="1"/>
  <c r="BK17" i="8" s="1"/>
  <c r="BL17" i="8" s="1"/>
  <c r="BM17" i="8" s="1"/>
  <c r="BN17" i="8" s="1"/>
  <c r="BP17" i="8" s="1"/>
  <c r="D15" i="2"/>
  <c r="D8" i="6"/>
  <c r="D7" i="6"/>
  <c r="D9" i="6" s="1"/>
  <c r="D10" i="6" s="1"/>
  <c r="G6" i="6"/>
  <c r="C9" i="5"/>
  <c r="C10" i="5" s="1"/>
  <c r="G14" i="4"/>
  <c r="F14" i="4"/>
  <c r="F5" i="4" s="1"/>
  <c r="T28" i="8" l="1"/>
  <c r="U11" i="8"/>
  <c r="K12" i="3"/>
  <c r="L18" i="3"/>
  <c r="L12" i="3" s="1"/>
  <c r="BO16" i="8"/>
  <c r="DG16" i="8"/>
  <c r="N49" i="2" s="1"/>
  <c r="AR18" i="8"/>
  <c r="DG17" i="8"/>
  <c r="N50" i="2" s="1"/>
  <c r="BO17" i="8"/>
  <c r="BQ16" i="8"/>
  <c r="DH15" i="8"/>
  <c r="O48" i="2" s="1"/>
  <c r="CB15" i="8"/>
  <c r="U13" i="8"/>
  <c r="V14" i="8"/>
  <c r="BQ17" i="8"/>
  <c r="BR17" i="8" s="1"/>
  <c r="BS17" i="8" s="1"/>
  <c r="BT17" i="8" s="1"/>
  <c r="BU17" i="8" s="1"/>
  <c r="BV17" i="8" s="1"/>
  <c r="BW17" i="8" s="1"/>
  <c r="BX17" i="8" s="1"/>
  <c r="BY17" i="8" s="1"/>
  <c r="BZ17" i="8" s="1"/>
  <c r="CA17" i="8" s="1"/>
  <c r="CC17" i="8" s="1"/>
  <c r="CD15" i="8"/>
  <c r="CE15" i="8" s="1"/>
  <c r="CF15" i="8" s="1"/>
  <c r="CG15" i="8" s="1"/>
  <c r="CH15" i="8" s="1"/>
  <c r="CI15" i="8" s="1"/>
  <c r="CJ15" i="8" s="1"/>
  <c r="CK15" i="8" s="1"/>
  <c r="CL15" i="8" s="1"/>
  <c r="CM15" i="8" s="1"/>
  <c r="CN15" i="8" s="1"/>
  <c r="CP15" i="8" s="1"/>
  <c r="V12" i="8"/>
  <c r="F353" i="6"/>
  <c r="F348" i="6"/>
  <c r="F354" i="6"/>
  <c r="E354" i="6"/>
  <c r="G362" i="6"/>
  <c r="G353" i="6"/>
  <c r="E376" i="5"/>
  <c r="D376" i="5"/>
  <c r="F371" i="5"/>
  <c r="D367" i="5"/>
  <c r="E358" i="5"/>
  <c r="F349" i="5"/>
  <c r="D345" i="5"/>
  <c r="E374" i="5"/>
  <c r="E369" i="5"/>
  <c r="D360" i="5"/>
  <c r="F355" i="5"/>
  <c r="E346" i="5"/>
  <c r="D374" i="5"/>
  <c r="D369" i="5"/>
  <c r="F364" i="5"/>
  <c r="E355" i="5"/>
  <c r="D346" i="5"/>
  <c r="F341" i="5"/>
  <c r="E372" i="5"/>
  <c r="E367" i="5"/>
  <c r="F362" i="5"/>
  <c r="E353" i="5"/>
  <c r="D344" i="5"/>
  <c r="F360" i="5"/>
  <c r="E344" i="5"/>
  <c r="F365" i="5"/>
  <c r="E360" i="5"/>
  <c r="E349" i="5"/>
  <c r="E375" i="5"/>
  <c r="D364" i="5"/>
  <c r="F353" i="5"/>
  <c r="D348" i="5"/>
  <c r="D371" i="5"/>
  <c r="F358" i="5"/>
  <c r="E352" i="5"/>
  <c r="F346" i="5"/>
  <c r="F370" i="5"/>
  <c r="E364" i="5"/>
  <c r="D358" i="5"/>
  <c r="D352" i="5"/>
  <c r="E370" i="5"/>
  <c r="D368" i="5"/>
  <c r="D356" i="5"/>
  <c r="E343" i="5"/>
  <c r="D370" i="5"/>
  <c r="F369" i="5"/>
  <c r="F354" i="5"/>
  <c r="E362" i="5"/>
  <c r="D355" i="5"/>
  <c r="F347" i="5"/>
  <c r="D362" i="5"/>
  <c r="E347" i="5"/>
  <c r="F359" i="5"/>
  <c r="F344" i="5"/>
  <c r="F374" i="5"/>
  <c r="E359" i="5"/>
  <c r="F351" i="5"/>
  <c r="E357" i="5"/>
  <c r="E348" i="5"/>
  <c r="E366" i="5"/>
  <c r="F367" i="5"/>
  <c r="D357" i="5"/>
  <c r="F376" i="5"/>
  <c r="F366" i="5"/>
  <c r="D347" i="5"/>
  <c r="E373" i="5"/>
  <c r="E363" i="5"/>
  <c r="D353" i="5"/>
  <c r="D343" i="5"/>
  <c r="D373" i="5"/>
  <c r="D363" i="5"/>
  <c r="F342" i="5"/>
  <c r="F361" i="5"/>
  <c r="F352" i="5"/>
  <c r="E342" i="5"/>
  <c r="D342" i="5"/>
  <c r="F356" i="5"/>
  <c r="D372" i="5"/>
  <c r="D341" i="5"/>
  <c r="F373" i="5"/>
  <c r="F357" i="5"/>
  <c r="E341" i="5"/>
  <c r="E356" i="5"/>
  <c r="E354" i="5"/>
  <c r="F372" i="5"/>
  <c r="E371" i="5"/>
  <c r="D354" i="5"/>
  <c r="F368" i="5"/>
  <c r="D366" i="5"/>
  <c r="F350" i="5"/>
  <c r="E350" i="5"/>
  <c r="E365" i="5"/>
  <c r="D350" i="5"/>
  <c r="D365" i="5"/>
  <c r="F375" i="5"/>
  <c r="E368" i="5"/>
  <c r="F363" i="5"/>
  <c r="D375" i="5"/>
  <c r="F343" i="5"/>
  <c r="E361" i="5"/>
  <c r="D361" i="5"/>
  <c r="D359" i="5"/>
  <c r="E351" i="5"/>
  <c r="D351" i="5"/>
  <c r="D349" i="5"/>
  <c r="E345" i="5"/>
  <c r="F348" i="5"/>
  <c r="F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U28" i="8" l="1"/>
  <c r="V11" i="8"/>
  <c r="AS18" i="8"/>
  <c r="DI17" i="8"/>
  <c r="P50" i="2" s="1"/>
  <c r="BR16" i="8"/>
  <c r="BS16" i="8" s="1"/>
  <c r="BT16" i="8" s="1"/>
  <c r="BU16" i="8" s="1"/>
  <c r="BV16" i="8" s="1"/>
  <c r="BW16" i="8" s="1"/>
  <c r="BX16" i="8" s="1"/>
  <c r="BY16" i="8" s="1"/>
  <c r="BZ16" i="8" s="1"/>
  <c r="CA16" i="8" s="1"/>
  <c r="CC16" i="8" s="1"/>
  <c r="DH17" i="8"/>
  <c r="O50" i="2" s="1"/>
  <c r="CB17" i="8"/>
  <c r="DI15" i="8"/>
  <c r="P48" i="2" s="1"/>
  <c r="CO15" i="8"/>
  <c r="W14" i="8"/>
  <c r="V13" i="8"/>
  <c r="CQ15" i="8"/>
  <c r="CR15" i="8" s="1"/>
  <c r="CS15" i="8" s="1"/>
  <c r="CT15" i="8" s="1"/>
  <c r="CU15" i="8" s="1"/>
  <c r="CV15" i="8" s="1"/>
  <c r="CW15" i="8" s="1"/>
  <c r="CX15" i="8" s="1"/>
  <c r="CY15" i="8" s="1"/>
  <c r="CZ15" i="8" s="1"/>
  <c r="DA15" i="8" s="1"/>
  <c r="W12" i="8"/>
  <c r="CD17" i="8"/>
  <c r="CE17" i="8" s="1"/>
  <c r="CF17" i="8" s="1"/>
  <c r="CG17" i="8" s="1"/>
  <c r="CH17" i="8" s="1"/>
  <c r="CI17" i="8" s="1"/>
  <c r="CJ17" i="8" s="1"/>
  <c r="CK17" i="8" s="1"/>
  <c r="CL17" i="8" s="1"/>
  <c r="CM17" i="8" s="1"/>
  <c r="CN17" i="8" s="1"/>
  <c r="CP17" i="8" s="1"/>
  <c r="G341" i="5"/>
  <c r="G368" i="5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G351" i="5"/>
  <c r="H351" i="5" s="1"/>
  <c r="H374" i="6"/>
  <c r="I374" i="6" s="1"/>
  <c r="G356" i="5"/>
  <c r="H356" i="5" s="1"/>
  <c r="G352" i="5"/>
  <c r="H352" i="5" s="1"/>
  <c r="G360" i="5"/>
  <c r="H360" i="5" s="1"/>
  <c r="G345" i="5"/>
  <c r="H345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47" i="5"/>
  <c r="H347" i="5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G346" i="5"/>
  <c r="H346" i="5" s="1"/>
  <c r="H346" i="6"/>
  <c r="I346" i="6" s="1"/>
  <c r="G348" i="5"/>
  <c r="H348" i="5" s="1"/>
  <c r="G342" i="5"/>
  <c r="H342" i="5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43" i="5"/>
  <c r="H343" i="5" s="1"/>
  <c r="G374" i="5"/>
  <c r="H374" i="5" s="1"/>
  <c r="G344" i="5"/>
  <c r="H34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50" i="5"/>
  <c r="H350" i="5" s="1"/>
  <c r="G363" i="5"/>
  <c r="H363" i="5" s="1"/>
  <c r="H344" i="6"/>
  <c r="I344" i="6" s="1"/>
  <c r="G354" i="5"/>
  <c r="H354" i="5" s="1"/>
  <c r="G373" i="5"/>
  <c r="H373" i="5" s="1"/>
  <c r="G370" i="5"/>
  <c r="H370" i="5" s="1"/>
  <c r="G349" i="5"/>
  <c r="H349" i="5" s="1"/>
  <c r="H355" i="6"/>
  <c r="I355" i="6" s="1"/>
  <c r="G376" i="5"/>
  <c r="H376" i="5" s="1"/>
  <c r="H369" i="6"/>
  <c r="I369" i="6" s="1"/>
  <c r="H371" i="6"/>
  <c r="I371" i="6" s="1"/>
  <c r="V28" i="8" l="1"/>
  <c r="W11" i="8"/>
  <c r="CB16" i="8"/>
  <c r="DH16" i="8"/>
  <c r="O49" i="2" s="1"/>
  <c r="AT18" i="8"/>
  <c r="AU18" i="8" s="1"/>
  <c r="AV18" i="8" s="1"/>
  <c r="AW18" i="8" s="1"/>
  <c r="AX18" i="8" s="1"/>
  <c r="AY18" i="8" s="1"/>
  <c r="AZ18" i="8" s="1"/>
  <c r="BA18" i="8" s="1"/>
  <c r="BC18" i="8" s="1"/>
  <c r="CD16" i="8"/>
  <c r="CE16" i="8" s="1"/>
  <c r="CF16" i="8" s="1"/>
  <c r="CG16" i="8" s="1"/>
  <c r="CH16" i="8" s="1"/>
  <c r="CI16" i="8" s="1"/>
  <c r="CJ16" i="8" s="1"/>
  <c r="CK16" i="8" s="1"/>
  <c r="CL16" i="8" s="1"/>
  <c r="CM16" i="8" s="1"/>
  <c r="CN16" i="8" s="1"/>
  <c r="CP16" i="8" s="1"/>
  <c r="DJ17" i="8"/>
  <c r="Q50" i="2" s="1"/>
  <c r="CO17" i="8"/>
  <c r="DJ15" i="8"/>
  <c r="Q48" i="2" s="1"/>
  <c r="DB15" i="8"/>
  <c r="W13" i="8"/>
  <c r="X12" i="8"/>
  <c r="X14" i="8"/>
  <c r="CQ17" i="8"/>
  <c r="CR17" i="8" s="1"/>
  <c r="CS17" i="8" s="1"/>
  <c r="CT17" i="8" s="1"/>
  <c r="CU17" i="8" s="1"/>
  <c r="CV17" i="8" s="1"/>
  <c r="CW17" i="8" s="1"/>
  <c r="CX17" i="8" s="1"/>
  <c r="CY17" i="8" s="1"/>
  <c r="CZ17" i="8" s="1"/>
  <c r="DA17" i="8" s="1"/>
  <c r="H365" i="5"/>
  <c r="I376" i="5"/>
  <c r="H353" i="5"/>
  <c r="I364" i="5"/>
  <c r="H341" i="5"/>
  <c r="I352" i="5"/>
  <c r="W28" i="8" l="1"/>
  <c r="X11" i="8"/>
  <c r="CO16" i="8"/>
  <c r="BB18" i="8"/>
  <c r="BD18" i="8"/>
  <c r="BE18" i="8" s="1"/>
  <c r="BF18" i="8" s="1"/>
  <c r="BG18" i="8" s="1"/>
  <c r="BH18" i="8" s="1"/>
  <c r="BI18" i="8" s="1"/>
  <c r="BJ18" i="8" s="1"/>
  <c r="BK18" i="8" s="1"/>
  <c r="BL18" i="8" s="1"/>
  <c r="BM18" i="8" s="1"/>
  <c r="BN18" i="8" s="1"/>
  <c r="BP18" i="8" s="1"/>
  <c r="DF18" i="8"/>
  <c r="DI16" i="8"/>
  <c r="P49" i="2" s="1"/>
  <c r="CQ16" i="8"/>
  <c r="CR16" i="8" s="1"/>
  <c r="CS16" i="8" s="1"/>
  <c r="CT16" i="8" s="1"/>
  <c r="CU16" i="8" s="1"/>
  <c r="CV16" i="8" s="1"/>
  <c r="CW16" i="8" s="1"/>
  <c r="CX16" i="8" s="1"/>
  <c r="CY16" i="8" s="1"/>
  <c r="CZ16" i="8" s="1"/>
  <c r="DA16" i="8" s="1"/>
  <c r="Y12" i="8"/>
  <c r="X13" i="8"/>
  <c r="Y14" i="8"/>
  <c r="DB17" i="8"/>
  <c r="X28" i="8" l="1"/>
  <c r="Y11" i="8"/>
  <c r="BO18" i="8"/>
  <c r="M51" i="2"/>
  <c r="BQ18" i="8"/>
  <c r="BR18" i="8" s="1"/>
  <c r="BS18" i="8" s="1"/>
  <c r="BT18" i="8" s="1"/>
  <c r="BU18" i="8" s="1"/>
  <c r="BV18" i="8" s="1"/>
  <c r="BW18" i="8" s="1"/>
  <c r="BX18" i="8" s="1"/>
  <c r="BY18" i="8" s="1"/>
  <c r="BZ18" i="8" s="1"/>
  <c r="CA18" i="8" s="1"/>
  <c r="CC18" i="8" s="1"/>
  <c r="DG18" i="8"/>
  <c r="DJ16" i="8"/>
  <c r="Q49" i="2" s="1"/>
  <c r="DB16" i="8"/>
  <c r="Z14" i="8"/>
  <c r="Z12" i="8"/>
  <c r="Y13" i="8"/>
  <c r="Y28" i="8" l="1"/>
  <c r="Z11" i="8"/>
  <c r="CB18" i="8"/>
  <c r="N51" i="2"/>
  <c r="CD18" i="8"/>
  <c r="CE18" i="8" s="1"/>
  <c r="CF18" i="8" s="1"/>
  <c r="CG18" i="8" s="1"/>
  <c r="CH18" i="8" s="1"/>
  <c r="CI18" i="8" s="1"/>
  <c r="CJ18" i="8" s="1"/>
  <c r="CK18" i="8" s="1"/>
  <c r="CL18" i="8" s="1"/>
  <c r="CM18" i="8" s="1"/>
  <c r="CN18" i="8" s="1"/>
  <c r="CP18" i="8" s="1"/>
  <c r="DI18" i="8"/>
  <c r="DH18" i="8"/>
  <c r="Z13" i="8"/>
  <c r="AA12" i="8"/>
  <c r="AC12" i="8" s="1"/>
  <c r="AA14" i="8"/>
  <c r="AC14" i="8" s="1"/>
  <c r="Z28" i="8" l="1"/>
  <c r="AA11" i="8"/>
  <c r="CO18" i="8"/>
  <c r="O51" i="2"/>
  <c r="P51" i="2"/>
  <c r="CQ18" i="8"/>
  <c r="CR18" i="8" s="1"/>
  <c r="CS18" i="8" s="1"/>
  <c r="CT18" i="8" s="1"/>
  <c r="CU18" i="8" s="1"/>
  <c r="CV18" i="8" s="1"/>
  <c r="CW18" i="8" s="1"/>
  <c r="CX18" i="8" s="1"/>
  <c r="CY18" i="8" s="1"/>
  <c r="CZ18" i="8" s="1"/>
  <c r="DA18" i="8" s="1"/>
  <c r="DJ18" i="8"/>
  <c r="DD14" i="8"/>
  <c r="K47" i="2" s="1"/>
  <c r="AB12" i="8"/>
  <c r="DD12" i="8"/>
  <c r="K45" i="2" s="1"/>
  <c r="AB14" i="8"/>
  <c r="AA13" i="8"/>
  <c r="AC13" i="8" s="1"/>
  <c r="AC11" i="8" l="1"/>
  <c r="AD11" i="8" s="1"/>
  <c r="AE11" i="8" s="1"/>
  <c r="AA28" i="8"/>
  <c r="AB11" i="8"/>
  <c r="DD11" i="8"/>
  <c r="K44" i="2" s="1"/>
  <c r="Q51" i="2"/>
  <c r="DB18" i="8"/>
  <c r="AD12" i="8"/>
  <c r="AB13" i="8"/>
  <c r="DD13" i="8"/>
  <c r="AD14" i="8"/>
  <c r="AB28" i="8" l="1"/>
  <c r="DD28" i="8"/>
  <c r="F9" i="3" s="1"/>
  <c r="G15" i="2" s="1"/>
  <c r="K46" i="2"/>
  <c r="K56" i="2" s="1"/>
  <c r="K37" i="2" s="1"/>
  <c r="AD13" i="8"/>
  <c r="AC28" i="8"/>
  <c r="AE14" i="8"/>
  <c r="AF11" i="8"/>
  <c r="AE12" i="8"/>
  <c r="F10" i="3" l="1"/>
  <c r="AF12" i="8"/>
  <c r="AE13" i="8"/>
  <c r="AD28" i="8"/>
  <c r="AF14" i="8"/>
  <c r="AG11" i="8"/>
  <c r="F11" i="3" l="1"/>
  <c r="F21" i="3" s="1"/>
  <c r="G19" i="2" s="1"/>
  <c r="G16" i="2"/>
  <c r="G18" i="2" s="1"/>
  <c r="AH11" i="8"/>
  <c r="AF13" i="8"/>
  <c r="AE28" i="8"/>
  <c r="AG14" i="8"/>
  <c r="AG12" i="8"/>
  <c r="F14" i="3" l="1"/>
  <c r="F22" i="3" s="1"/>
  <c r="F45" i="3" s="1"/>
  <c r="F46" i="3" s="1"/>
  <c r="G20" i="2"/>
  <c r="AH14" i="8"/>
  <c r="AH12" i="8"/>
  <c r="AI11" i="8"/>
  <c r="AG13" i="8"/>
  <c r="AG28" i="8" s="1"/>
  <c r="AF28" i="8"/>
  <c r="AI14" i="8" l="1"/>
  <c r="AJ11" i="8"/>
  <c r="AH13" i="8"/>
  <c r="AH28" i="8" s="1"/>
  <c r="AI12" i="8"/>
  <c r="AK11" i="8" l="1"/>
  <c r="AJ12" i="8"/>
  <c r="AI13" i="8"/>
  <c r="AJ14" i="8"/>
  <c r="AL11" i="8" l="1"/>
  <c r="AK14" i="8"/>
  <c r="AJ13" i="8"/>
  <c r="AK12" i="8"/>
  <c r="AI28" i="8"/>
  <c r="AM11" i="8" l="1"/>
  <c r="AK13" i="8"/>
  <c r="AK28" i="8" s="1"/>
  <c r="AJ28" i="8"/>
  <c r="AL12" i="8"/>
  <c r="AL14" i="8"/>
  <c r="AL13" i="8" l="1"/>
  <c r="AN11" i="8"/>
  <c r="AP11" i="8" s="1"/>
  <c r="AM14" i="8"/>
  <c r="AM12" i="8"/>
  <c r="AN12" i="8" l="1"/>
  <c r="AM13" i="8"/>
  <c r="AM28" i="8" s="1"/>
  <c r="AN14" i="8"/>
  <c r="AP14" i="8" s="1"/>
  <c r="AL28" i="8"/>
  <c r="AO11" i="8"/>
  <c r="DE11" i="8"/>
  <c r="L44" i="2" l="1"/>
  <c r="DE12" i="8"/>
  <c r="L45" i="2" s="1"/>
  <c r="AP12" i="8"/>
  <c r="AO14" i="8"/>
  <c r="DE14" i="8"/>
  <c r="L47" i="2" s="1"/>
  <c r="AQ11" i="8"/>
  <c r="AN13" i="8"/>
  <c r="AO12" i="8"/>
  <c r="DE13" i="8" l="1"/>
  <c r="L46" i="2" s="1"/>
  <c r="AP13" i="8"/>
  <c r="AO13" i="8"/>
  <c r="AO28" i="8" s="1"/>
  <c r="AN28" i="8"/>
  <c r="AQ14" i="8"/>
  <c r="AQ12" i="8"/>
  <c r="AR11" i="8"/>
  <c r="DE28" i="8" l="1"/>
  <c r="G9" i="3" s="1"/>
  <c r="AS11" i="8"/>
  <c r="AQ13" i="8"/>
  <c r="AP28" i="8"/>
  <c r="AR14" i="8"/>
  <c r="AR12" i="8"/>
  <c r="G10" i="3" l="1"/>
  <c r="G11" i="3" s="1"/>
  <c r="AR13" i="8"/>
  <c r="AR28" i="8" s="1"/>
  <c r="AQ28" i="8"/>
  <c r="AS12" i="8"/>
  <c r="AT11" i="8"/>
  <c r="AS14" i="8"/>
  <c r="G21" i="3" l="1"/>
  <c r="G14" i="3"/>
  <c r="AU11" i="8"/>
  <c r="AT12" i="8"/>
  <c r="AS13" i="8"/>
  <c r="AS28" i="8" s="1"/>
  <c r="AT14" i="8"/>
  <c r="G22" i="3" l="1"/>
  <c r="G45" i="3" s="1"/>
  <c r="G46" i="3" s="1"/>
  <c r="AT13" i="8"/>
  <c r="AV11" i="8"/>
  <c r="AU14" i="8"/>
  <c r="AU12" i="8"/>
  <c r="AW11" i="8" l="1"/>
  <c r="AV12" i="8"/>
  <c r="AV14" i="8"/>
  <c r="AU13" i="8"/>
  <c r="AT28" i="8"/>
  <c r="AV13" i="8" l="1"/>
  <c r="AU28" i="8"/>
  <c r="AX11" i="8"/>
  <c r="AW14" i="8"/>
  <c r="AW12" i="8"/>
  <c r="AY11" i="8" l="1"/>
  <c r="AX14" i="8"/>
  <c r="AW13" i="8"/>
  <c r="AW28" i="8" s="1"/>
  <c r="AV28" i="8"/>
  <c r="AX12" i="8"/>
  <c r="AZ11" i="8" l="1"/>
  <c r="AX13" i="8"/>
  <c r="AY14" i="8"/>
  <c r="AY12" i="8"/>
  <c r="L56" i="2"/>
  <c r="L57" i="2" l="1"/>
  <c r="L38" i="2" s="1"/>
  <c r="L37" i="2"/>
  <c r="AZ12" i="8"/>
  <c r="BA11" i="8"/>
  <c r="BC11" i="8" s="1"/>
  <c r="AZ14" i="8"/>
  <c r="AY13" i="8"/>
  <c r="AY28" i="8" s="1"/>
  <c r="AX28" i="8"/>
  <c r="BB11" i="8" l="1"/>
  <c r="DF11" i="8"/>
  <c r="AZ13" i="8"/>
  <c r="BA12" i="8"/>
  <c r="BC12" i="8" s="1"/>
  <c r="BA14" i="8"/>
  <c r="BC14" i="8" s="1"/>
  <c r="M44" i="2" l="1"/>
  <c r="DF14" i="8"/>
  <c r="M47" i="2" s="1"/>
  <c r="BD11" i="8"/>
  <c r="BB14" i="8"/>
  <c r="BB12" i="8"/>
  <c r="DF12" i="8"/>
  <c r="M45" i="2" s="1"/>
  <c r="BA13" i="8"/>
  <c r="BC13" i="8" s="1"/>
  <c r="AZ28" i="8"/>
  <c r="BD14" i="8" l="1"/>
  <c r="BD12" i="8"/>
  <c r="BE11" i="8"/>
  <c r="BB13" i="8"/>
  <c r="BB28" i="8" s="1"/>
  <c r="BA28" i="8"/>
  <c r="DF13" i="8"/>
  <c r="M46" i="2" s="1"/>
  <c r="DF28" i="8" l="1"/>
  <c r="H9" i="3" s="1"/>
  <c r="H10" i="3" s="1"/>
  <c r="H11" i="3" s="1"/>
  <c r="M56" i="2"/>
  <c r="BF11" i="8"/>
  <c r="BD13" i="8"/>
  <c r="BC28" i="8"/>
  <c r="BE14" i="8"/>
  <c r="BE12" i="8"/>
  <c r="P34" i="2"/>
  <c r="D27" i="2" s="1"/>
  <c r="Q34" i="2"/>
  <c r="O34" i="2"/>
  <c r="D12" i="2" s="1"/>
  <c r="K34" i="2"/>
  <c r="G28" i="2" s="1"/>
  <c r="M57" i="2" l="1"/>
  <c r="M38" i="2" s="1"/>
  <c r="M37" i="2"/>
  <c r="H21" i="3"/>
  <c r="H14" i="3"/>
  <c r="BG11" i="8"/>
  <c r="BF12" i="8"/>
  <c r="BF14" i="8"/>
  <c r="BE13" i="8"/>
  <c r="BE28" i="8" s="1"/>
  <c r="BD28" i="8"/>
  <c r="G10" i="2"/>
  <c r="O10" i="7"/>
  <c r="O9" i="7"/>
  <c r="O16" i="7"/>
  <c r="O8" i="7"/>
  <c r="O15" i="7"/>
  <c r="O7" i="7"/>
  <c r="O14" i="7"/>
  <c r="O6" i="7"/>
  <c r="O13" i="7"/>
  <c r="O5" i="7"/>
  <c r="O12" i="7"/>
  <c r="O11" i="7"/>
  <c r="O17" i="7"/>
  <c r="G26" i="7"/>
  <c r="G27" i="7"/>
  <c r="G17" i="7"/>
  <c r="G28" i="7"/>
  <c r="G21" i="7"/>
  <c r="G22" i="7"/>
  <c r="G30" i="7"/>
  <c r="G24" i="7"/>
  <c r="G25" i="7"/>
  <c r="G29" i="7"/>
  <c r="G23" i="7"/>
  <c r="G31" i="7"/>
  <c r="G20" i="7"/>
  <c r="G29" i="2"/>
  <c r="H22" i="3" l="1"/>
  <c r="H45" i="3" s="1"/>
  <c r="BG14" i="8"/>
  <c r="BH11" i="8"/>
  <c r="BF13" i="8"/>
  <c r="BG12" i="8"/>
  <c r="H46" i="3" l="1"/>
  <c r="BG13" i="8"/>
  <c r="BF28" i="8"/>
  <c r="BH12" i="8"/>
  <c r="BH14" i="8"/>
  <c r="BI11" i="8"/>
  <c r="BG28" i="8"/>
  <c r="BI14" i="8" l="1"/>
  <c r="BH13" i="8"/>
  <c r="BH28" i="8" s="1"/>
  <c r="BJ11" i="8"/>
  <c r="BI12" i="8"/>
  <c r="BK11" i="8" l="1"/>
  <c r="BJ14" i="8"/>
  <c r="BJ12" i="8"/>
  <c r="BI13" i="8"/>
  <c r="BK14" i="8" l="1"/>
  <c r="BL11" i="8"/>
  <c r="BK12" i="8"/>
  <c r="BJ13" i="8"/>
  <c r="BI28" i="8"/>
  <c r="BK13" i="8" l="1"/>
  <c r="BJ28" i="8"/>
  <c r="BL14" i="8"/>
  <c r="BL12" i="8"/>
  <c r="BM11" i="8"/>
  <c r="BN11" i="8" l="1"/>
  <c r="BP11" i="8" s="1"/>
  <c r="BM14" i="8"/>
  <c r="BL13" i="8"/>
  <c r="BK28" i="8"/>
  <c r="BM12" i="8"/>
  <c r="DG11" i="8" l="1"/>
  <c r="N44" i="2" s="1"/>
  <c r="BN12" i="8"/>
  <c r="BP12" i="8" s="1"/>
  <c r="BN14" i="8"/>
  <c r="BP14" i="8" s="1"/>
  <c r="BO11" i="8"/>
  <c r="BM13" i="8"/>
  <c r="BM28" i="8" s="1"/>
  <c r="BL28" i="8"/>
  <c r="BN13" i="8" l="1"/>
  <c r="BP13" i="8" s="1"/>
  <c r="BO12" i="8"/>
  <c r="BQ11" i="8"/>
  <c r="BO14" i="8"/>
  <c r="DG12" i="8"/>
  <c r="DG14" i="8"/>
  <c r="N47" i="2" s="1"/>
  <c r="DG13" i="8" l="1"/>
  <c r="N46" i="2" s="1"/>
  <c r="N45" i="2"/>
  <c r="BR11" i="8"/>
  <c r="BQ14" i="8"/>
  <c r="BQ12" i="8"/>
  <c r="BO13" i="8"/>
  <c r="BO28" i="8" s="1"/>
  <c r="BN28" i="8"/>
  <c r="DG28" i="8" l="1"/>
  <c r="I9" i="3" s="1"/>
  <c r="N56" i="2"/>
  <c r="BR12" i="8"/>
  <c r="BS11" i="8"/>
  <c r="BQ13" i="8"/>
  <c r="BR14" i="8"/>
  <c r="BP28" i="8"/>
  <c r="N57" i="2" l="1"/>
  <c r="N38" i="2" s="1"/>
  <c r="N37" i="2"/>
  <c r="I10" i="3"/>
  <c r="I11" i="3" s="1"/>
  <c r="BS14" i="8"/>
  <c r="BR13" i="8"/>
  <c r="BT11" i="8"/>
  <c r="BS12" i="8"/>
  <c r="BQ28" i="8"/>
  <c r="I21" i="3" l="1"/>
  <c r="I14" i="3"/>
  <c r="BS13" i="8"/>
  <c r="BR28" i="8"/>
  <c r="BU11" i="8"/>
  <c r="BT12" i="8"/>
  <c r="BT14" i="8"/>
  <c r="I22" i="3" l="1"/>
  <c r="BU14" i="8"/>
  <c r="BV11" i="8"/>
  <c r="BT13" i="8"/>
  <c r="BS28" i="8"/>
  <c r="BU12" i="8"/>
  <c r="I45" i="3" l="1"/>
  <c r="I46" i="3" s="1"/>
  <c r="M11" i="2"/>
  <c r="M12" i="2" s="1"/>
  <c r="L11" i="2"/>
  <c r="L12" i="2" s="1"/>
  <c r="Q11" i="2"/>
  <c r="Q12" i="2" s="1"/>
  <c r="K11" i="2"/>
  <c r="K12" i="2" s="1"/>
  <c r="P11" i="2"/>
  <c r="P12" i="2" s="1"/>
  <c r="O11" i="2"/>
  <c r="O12" i="2" s="1"/>
  <c r="N11" i="2"/>
  <c r="N12" i="2" s="1"/>
  <c r="BW11" i="8"/>
  <c r="BV12" i="8"/>
  <c r="BV14" i="8"/>
  <c r="BU13" i="8"/>
  <c r="BT28" i="8"/>
  <c r="BW12" i="8" l="1"/>
  <c r="BX11" i="8"/>
  <c r="BV13" i="8"/>
  <c r="BV28" i="8" s="1"/>
  <c r="BU28" i="8"/>
  <c r="BW14" i="8"/>
  <c r="BX12" i="8" l="1"/>
  <c r="BW13" i="8"/>
  <c r="BX14" i="8"/>
  <c r="BY11" i="8"/>
  <c r="BX13" i="8" l="1"/>
  <c r="BW28" i="8"/>
  <c r="BZ11" i="8"/>
  <c r="BY12" i="8"/>
  <c r="BY14" i="8"/>
  <c r="CA11" i="8" l="1"/>
  <c r="CC11" i="8" s="1"/>
  <c r="BZ12" i="8"/>
  <c r="BY13" i="8"/>
  <c r="BX28" i="8"/>
  <c r="BZ14" i="8"/>
  <c r="CA12" i="8" l="1"/>
  <c r="CC12" i="8" s="1"/>
  <c r="CA14" i="8"/>
  <c r="CC14" i="8" s="1"/>
  <c r="CB11" i="8"/>
  <c r="DH11" i="8"/>
  <c r="BZ13" i="8"/>
  <c r="BZ28" i="8" s="1"/>
  <c r="BY28" i="8"/>
  <c r="O44" i="2" l="1"/>
  <c r="DH12" i="8"/>
  <c r="O45" i="2" s="1"/>
  <c r="CA13" i="8"/>
  <c r="CD11" i="8"/>
  <c r="CB14" i="8"/>
  <c r="CB12" i="8"/>
  <c r="DH14" i="8"/>
  <c r="O47" i="2" s="1"/>
  <c r="DH13" i="8" l="1"/>
  <c r="DH28" i="8" s="1"/>
  <c r="J9" i="3" s="1"/>
  <c r="CC13" i="8"/>
  <c r="CB13" i="8"/>
  <c r="CB28" i="8" s="1"/>
  <c r="CA28" i="8"/>
  <c r="CE11" i="8"/>
  <c r="CD12" i="8"/>
  <c r="CD14" i="8"/>
  <c r="O46" i="2" l="1"/>
  <c r="O56" i="2" s="1"/>
  <c r="CD13" i="8"/>
  <c r="CC28" i="8"/>
  <c r="CF11" i="8"/>
  <c r="CE14" i="8"/>
  <c r="CE12" i="8"/>
  <c r="O57" i="2" l="1"/>
  <c r="O38" i="2" s="1"/>
  <c r="O37" i="2"/>
  <c r="J10" i="3"/>
  <c r="J11" i="3" s="1"/>
  <c r="CE13" i="8"/>
  <c r="CD28" i="8"/>
  <c r="CF14" i="8"/>
  <c r="CF12" i="8"/>
  <c r="CG11" i="8"/>
  <c r="J21" i="3" l="1"/>
  <c r="J14" i="3"/>
  <c r="CH11" i="8"/>
  <c r="CG14" i="8"/>
  <c r="CF13" i="8"/>
  <c r="CE28" i="8"/>
  <c r="CG12" i="8"/>
  <c r="J22" i="3" l="1"/>
  <c r="J45" i="3" s="1"/>
  <c r="J46" i="3" s="1"/>
  <c r="CH14" i="8"/>
  <c r="CI11" i="8"/>
  <c r="CH12" i="8"/>
  <c r="CG13" i="8"/>
  <c r="CF28" i="8"/>
  <c r="CH13" i="8" l="1"/>
  <c r="CJ11" i="8"/>
  <c r="CG28" i="8"/>
  <c r="CI12" i="8"/>
  <c r="CI14" i="8"/>
  <c r="CJ12" i="8" l="1"/>
  <c r="CJ14" i="8"/>
  <c r="CK11" i="8"/>
  <c r="CI13" i="8"/>
  <c r="CH28" i="8"/>
  <c r="CL11" i="8" l="1"/>
  <c r="CJ13" i="8"/>
  <c r="CK14" i="8"/>
  <c r="CK12" i="8"/>
  <c r="CI28" i="8"/>
  <c r="CK13" i="8" l="1"/>
  <c r="CJ28" i="8"/>
  <c r="CL12" i="8"/>
  <c r="CM11" i="8"/>
  <c r="CL14" i="8"/>
  <c r="CM14" i="8" l="1"/>
  <c r="CN11" i="8"/>
  <c r="CP11" i="8" s="1"/>
  <c r="DI11" i="8"/>
  <c r="CL13" i="8"/>
  <c r="CM12" i="8"/>
  <c r="CK28" i="8"/>
  <c r="P44" i="2" l="1"/>
  <c r="CO11" i="8"/>
  <c r="CN12" i="8"/>
  <c r="CP12" i="8" s="1"/>
  <c r="CN14" i="8"/>
  <c r="CP14" i="8" s="1"/>
  <c r="CM13" i="8"/>
  <c r="CL28" i="8"/>
  <c r="CN13" i="8" l="1"/>
  <c r="CP13" i="8" s="1"/>
  <c r="CM28" i="8"/>
  <c r="CO14" i="8"/>
  <c r="DI14" i="8"/>
  <c r="P47" i="2" s="1"/>
  <c r="CQ11" i="8"/>
  <c r="DI13" i="8"/>
  <c r="P46" i="2" s="1"/>
  <c r="CO12" i="8"/>
  <c r="CN28" i="8"/>
  <c r="DI12" i="8"/>
  <c r="P45" i="2" l="1"/>
  <c r="P56" i="2" s="1"/>
  <c r="DI28" i="8"/>
  <c r="K9" i="3" s="1"/>
  <c r="CR11" i="8"/>
  <c r="CO13" i="8"/>
  <c r="CO28" i="8" s="1"/>
  <c r="CQ14" i="8"/>
  <c r="CQ12" i="8"/>
  <c r="P57" i="2" l="1"/>
  <c r="P38" i="2" s="1"/>
  <c r="P37" i="2"/>
  <c r="K10" i="3"/>
  <c r="K11" i="3" s="1"/>
  <c r="CQ13" i="8"/>
  <c r="CQ28" i="8" s="1"/>
  <c r="CP28" i="8"/>
  <c r="CS11" i="8"/>
  <c r="CR12" i="8"/>
  <c r="CR14" i="8"/>
  <c r="K14" i="3" l="1"/>
  <c r="K21" i="3"/>
  <c r="CT11" i="8"/>
  <c r="CS14" i="8"/>
  <c r="CS12" i="8"/>
  <c r="CR13" i="8"/>
  <c r="K22" i="3" l="1"/>
  <c r="K45" i="3" s="1"/>
  <c r="K46" i="3" s="1"/>
  <c r="CS13" i="8"/>
  <c r="CS28" i="8" s="1"/>
  <c r="CR28" i="8"/>
  <c r="CT12" i="8"/>
  <c r="CT14" i="8"/>
  <c r="CU11" i="8"/>
  <c r="CT13" i="8" l="1"/>
  <c r="CT28" i="8" s="1"/>
  <c r="CU12" i="8"/>
  <c r="CV11" i="8"/>
  <c r="CU14" i="8"/>
  <c r="CV14" i="8" l="1"/>
  <c r="CV12" i="8"/>
  <c r="CU13" i="8"/>
  <c r="CU28" i="8" s="1"/>
  <c r="CW11" i="8"/>
  <c r="CV13" i="8" l="1"/>
  <c r="CW12" i="8"/>
  <c r="CX11" i="8"/>
  <c r="CV28" i="8"/>
  <c r="CW14" i="8"/>
  <c r="CY11" i="8" l="1"/>
  <c r="CX14" i="8"/>
  <c r="CX12" i="8"/>
  <c r="CW13" i="8"/>
  <c r="CZ11" i="8" l="1"/>
  <c r="CY12" i="8"/>
  <c r="CY14" i="8"/>
  <c r="CX13" i="8"/>
  <c r="CX28" i="8" s="1"/>
  <c r="CW28" i="8"/>
  <c r="CZ14" i="8" l="1"/>
  <c r="CZ12" i="8"/>
  <c r="CY13" i="8"/>
  <c r="CY28" i="8" s="1"/>
  <c r="DA11" i="8"/>
  <c r="DJ11" i="8" s="1"/>
  <c r="Q44" i="2" l="1"/>
  <c r="CZ13" i="8"/>
  <c r="CZ28" i="8" s="1"/>
  <c r="DB11" i="8"/>
  <c r="DA12" i="8"/>
  <c r="DA14" i="8"/>
  <c r="DB12" i="8" l="1"/>
  <c r="DB14" i="8"/>
  <c r="DJ14" i="8"/>
  <c r="Q47" i="2" s="1"/>
  <c r="DJ12" i="8"/>
  <c r="DA13" i="8"/>
  <c r="DA28" i="8" s="1"/>
  <c r="Q45" i="2" l="1"/>
  <c r="DB13" i="8"/>
  <c r="DB28" i="8" s="1"/>
  <c r="DJ13" i="8"/>
  <c r="Q46" i="2" s="1"/>
  <c r="DJ28" i="8" l="1"/>
  <c r="L9" i="3" s="1"/>
  <c r="L10" i="3" s="1"/>
  <c r="L11" i="3" s="1"/>
  <c r="Q56" i="2"/>
  <c r="Q57" i="2" l="1"/>
  <c r="Q38" i="2" s="1"/>
  <c r="Q37" i="2"/>
  <c r="L21" i="3"/>
  <c r="L14" i="3"/>
  <c r="F32" i="7"/>
  <c r="L22" i="3" l="1"/>
  <c r="L45" i="3" s="1"/>
  <c r="L46" i="3" s="1"/>
  <c r="D10" i="2"/>
  <c r="D13" i="2" s="1"/>
  <c r="G9" i="2" s="1"/>
  <c r="D3" i="9"/>
  <c r="G32" i="7"/>
  <c r="D29" i="2" l="1"/>
  <c r="D8" i="9" s="1"/>
  <c r="D12" i="9" s="1"/>
  <c r="D16" i="9" s="1"/>
  <c r="D30" i="2" l="1"/>
  <c r="G11" i="2" s="1"/>
  <c r="D14" i="9"/>
  <c r="D15" i="9"/>
  <c r="D17" i="9" s="1"/>
  <c r="D32" i="2" l="1"/>
  <c r="G27" i="2" s="1"/>
  <c r="G5" i="6" l="1"/>
  <c r="G7" i="6" s="1"/>
  <c r="G8" i="6" s="1"/>
  <c r="G12" i="2"/>
  <c r="F5" i="5"/>
  <c r="F7" i="5" s="1"/>
  <c r="F8" i="5" s="1"/>
  <c r="G33" i="2"/>
  <c r="G35" i="2" s="1"/>
  <c r="G36" i="2" s="1"/>
  <c r="P14" i="3" s="1"/>
  <c r="Q10" i="2"/>
  <c r="P10" i="2"/>
  <c r="N10" i="2"/>
  <c r="G30" i="2"/>
  <c r="P13" i="3" s="1"/>
  <c r="K10" i="2"/>
  <c r="M10" i="2"/>
  <c r="L10" i="2"/>
  <c r="O10" i="2"/>
  <c r="L49" i="3" l="1"/>
  <c r="L31" i="3"/>
  <c r="G31" i="3"/>
  <c r="F31" i="3"/>
  <c r="I31" i="3"/>
  <c r="H31" i="3"/>
  <c r="K31" i="3"/>
  <c r="J31" i="3"/>
  <c r="O15" i="2"/>
  <c r="M15" i="2"/>
  <c r="L15" i="2"/>
  <c r="P15" i="2"/>
  <c r="Q15" i="2"/>
  <c r="N15" i="2"/>
  <c r="K15" i="2"/>
  <c r="D6" i="4"/>
  <c r="C5" i="5"/>
  <c r="C13" i="5" s="1"/>
  <c r="G39" i="2"/>
  <c r="G40" i="2" s="1"/>
  <c r="H5" i="5" l="1"/>
  <c r="E335" i="5"/>
  <c r="E340" i="5"/>
  <c r="E338" i="5"/>
  <c r="E337" i="5"/>
  <c r="E339" i="5"/>
  <c r="E336" i="5"/>
  <c r="E332" i="5"/>
  <c r="E334" i="5"/>
  <c r="E330" i="5"/>
  <c r="E331" i="5"/>
  <c r="E329" i="5"/>
  <c r="E333" i="5"/>
  <c r="J49" i="3"/>
  <c r="K49" i="3"/>
  <c r="G49" i="3"/>
  <c r="I49" i="3"/>
  <c r="H49" i="3"/>
  <c r="F49" i="3"/>
  <c r="E322" i="5"/>
  <c r="E318" i="5"/>
  <c r="E305" i="5"/>
  <c r="E317" i="5"/>
  <c r="E327" i="5"/>
  <c r="E319" i="5"/>
  <c r="E314" i="5"/>
  <c r="E325" i="5"/>
  <c r="E321" i="5"/>
  <c r="E324" i="5"/>
  <c r="E320" i="5"/>
  <c r="E315" i="5"/>
  <c r="E308" i="5"/>
  <c r="E289" i="5"/>
  <c r="E280" i="5"/>
  <c r="E276" i="5"/>
  <c r="E272" i="5"/>
  <c r="E267" i="5"/>
  <c r="E323" i="5"/>
  <c r="E306" i="5"/>
  <c r="E293" i="5"/>
  <c r="E300" i="5"/>
  <c r="E296" i="5"/>
  <c r="E291" i="5"/>
  <c r="E287" i="5"/>
  <c r="E274" i="5"/>
  <c r="E257" i="5"/>
  <c r="E328" i="5"/>
  <c r="E316" i="5"/>
  <c r="E307" i="5"/>
  <c r="E297" i="5"/>
  <c r="E281" i="5"/>
  <c r="E288" i="5"/>
  <c r="E275" i="5"/>
  <c r="E326" i="5"/>
  <c r="E303" i="5"/>
  <c r="E299" i="5"/>
  <c r="E295" i="5"/>
  <c r="E290" i="5"/>
  <c r="E286" i="5"/>
  <c r="E269" i="5"/>
  <c r="E313" i="5"/>
  <c r="E310" i="5"/>
  <c r="E283" i="5"/>
  <c r="E270" i="5"/>
  <c r="E265" i="5"/>
  <c r="E312" i="5"/>
  <c r="E309" i="5"/>
  <c r="E304" i="5"/>
  <c r="E302" i="5"/>
  <c r="E273" i="5"/>
  <c r="E262" i="5"/>
  <c r="E245" i="5"/>
  <c r="E249" i="5"/>
  <c r="E244" i="5"/>
  <c r="E236" i="5"/>
  <c r="E225" i="5"/>
  <c r="E277" i="5"/>
  <c r="E271" i="5"/>
  <c r="E263" i="5"/>
  <c r="E259" i="5"/>
  <c r="E254" i="5"/>
  <c r="E238" i="5"/>
  <c r="E231" i="5"/>
  <c r="E311" i="5"/>
  <c r="E285" i="5"/>
  <c r="E261" i="5"/>
  <c r="E255" i="5"/>
  <c r="E252" i="5"/>
  <c r="E248" i="5"/>
  <c r="E228" i="5"/>
  <c r="E258" i="5"/>
  <c r="E253" i="5"/>
  <c r="E233" i="5"/>
  <c r="E230" i="5"/>
  <c r="E220" i="5"/>
  <c r="E282" i="5"/>
  <c r="E278" i="5"/>
  <c r="E260" i="5"/>
  <c r="E251" i="5"/>
  <c r="E242" i="5"/>
  <c r="E232" i="5"/>
  <c r="E227" i="5"/>
  <c r="E294" i="5"/>
  <c r="E292" i="5"/>
  <c r="E264" i="5"/>
  <c r="E250" i="5"/>
  <c r="E235" i="5"/>
  <c r="E223" i="5"/>
  <c r="E216" i="5"/>
  <c r="E189" i="5"/>
  <c r="E178" i="5"/>
  <c r="E301" i="5"/>
  <c r="E240" i="5"/>
  <c r="E197" i="5"/>
  <c r="E198" i="5"/>
  <c r="E191" i="5"/>
  <c r="E186" i="5"/>
  <c r="E173" i="5"/>
  <c r="E174" i="5"/>
  <c r="E161" i="5"/>
  <c r="E284" i="5"/>
  <c r="E268" i="5"/>
  <c r="E247" i="5"/>
  <c r="E243" i="5"/>
  <c r="E224" i="5"/>
  <c r="E214" i="5"/>
  <c r="E204" i="5"/>
  <c r="E194" i="5"/>
  <c r="E188" i="5"/>
  <c r="E237" i="5"/>
  <c r="E221" i="5"/>
  <c r="E226" i="5"/>
  <c r="E212" i="5"/>
  <c r="E207" i="5"/>
  <c r="E201" i="5"/>
  <c r="E196" i="5"/>
  <c r="E183" i="5"/>
  <c r="E279" i="5"/>
  <c r="E239" i="5"/>
  <c r="E229" i="5"/>
  <c r="E217" i="5"/>
  <c r="E208" i="5"/>
  <c r="E202" i="5"/>
  <c r="E185" i="5"/>
  <c r="E190" i="5"/>
  <c r="E246" i="5"/>
  <c r="E209" i="5"/>
  <c r="E199" i="5"/>
  <c r="E181" i="5"/>
  <c r="E175" i="5"/>
  <c r="E256" i="5"/>
  <c r="E241" i="5"/>
  <c r="E210" i="5"/>
  <c r="E172" i="5"/>
  <c r="E159" i="5"/>
  <c r="E155" i="5"/>
  <c r="E151" i="5"/>
  <c r="E150" i="5"/>
  <c r="E137" i="5"/>
  <c r="E144" i="5"/>
  <c r="E140" i="5"/>
  <c r="E129" i="5"/>
  <c r="E200" i="5"/>
  <c r="E180" i="5"/>
  <c r="E168" i="5"/>
  <c r="E164" i="5"/>
  <c r="E134" i="5"/>
  <c r="E298" i="5"/>
  <c r="E218" i="5"/>
  <c r="E203" i="5"/>
  <c r="E193" i="5"/>
  <c r="E187" i="5"/>
  <c r="E184" i="5"/>
  <c r="E182" i="5"/>
  <c r="E177" i="5"/>
  <c r="E165" i="5"/>
  <c r="E158" i="5"/>
  <c r="E154" i="5"/>
  <c r="E147" i="5"/>
  <c r="E143" i="5"/>
  <c r="E125" i="5"/>
  <c r="E128" i="5"/>
  <c r="E266" i="5"/>
  <c r="E222" i="5"/>
  <c r="E215" i="5"/>
  <c r="E206" i="5"/>
  <c r="E171" i="5"/>
  <c r="E167" i="5"/>
  <c r="E160" i="5"/>
  <c r="E133" i="5"/>
  <c r="E192" i="5"/>
  <c r="E169" i="5"/>
  <c r="E157" i="5"/>
  <c r="E153" i="5"/>
  <c r="E146" i="5"/>
  <c r="E142" i="5"/>
  <c r="E126" i="5"/>
  <c r="E211" i="5"/>
  <c r="E205" i="5"/>
  <c r="E170" i="5"/>
  <c r="E166" i="5"/>
  <c r="E148" i="5"/>
  <c r="E139" i="5"/>
  <c r="E132" i="5"/>
  <c r="E234" i="5"/>
  <c r="E219" i="5"/>
  <c r="E195" i="5"/>
  <c r="E179" i="5"/>
  <c r="E176" i="5"/>
  <c r="E152" i="5"/>
  <c r="E130" i="5"/>
  <c r="E121" i="5"/>
  <c r="E110" i="5"/>
  <c r="E97" i="5"/>
  <c r="E85" i="5"/>
  <c r="E65" i="5"/>
  <c r="E68" i="5"/>
  <c r="E67" i="5"/>
  <c r="E136" i="5"/>
  <c r="E118" i="5"/>
  <c r="E112" i="5"/>
  <c r="E99" i="5"/>
  <c r="E91" i="5"/>
  <c r="E83" i="5"/>
  <c r="E71" i="5"/>
  <c r="E145" i="5"/>
  <c r="E124" i="5"/>
  <c r="E120" i="5"/>
  <c r="E109" i="5"/>
  <c r="E96" i="5"/>
  <c r="E84" i="5"/>
  <c r="E79" i="5"/>
  <c r="E74" i="5"/>
  <c r="E53" i="5"/>
  <c r="E138" i="5"/>
  <c r="E135" i="5"/>
  <c r="E117" i="5"/>
  <c r="E106" i="5"/>
  <c r="E82" i="5"/>
  <c r="E69" i="5"/>
  <c r="E163" i="5"/>
  <c r="E149" i="5"/>
  <c r="E141" i="5"/>
  <c r="E127" i="5"/>
  <c r="E123" i="5"/>
  <c r="E119" i="5"/>
  <c r="E101" i="5"/>
  <c r="E108" i="5"/>
  <c r="E100" i="5"/>
  <c r="E95" i="5"/>
  <c r="E92" i="5"/>
  <c r="E88" i="5"/>
  <c r="E87" i="5"/>
  <c r="E131" i="5"/>
  <c r="E113" i="5"/>
  <c r="E116" i="5"/>
  <c r="E115" i="5"/>
  <c r="E105" i="5"/>
  <c r="E102" i="5"/>
  <c r="E81" i="5"/>
  <c r="E76" i="5"/>
  <c r="E75" i="5"/>
  <c r="E162" i="5"/>
  <c r="E156" i="5"/>
  <c r="E122" i="5"/>
  <c r="E213" i="5"/>
  <c r="E111" i="5"/>
  <c r="E98" i="5"/>
  <c r="E62" i="5"/>
  <c r="E54" i="5"/>
  <c r="E52" i="5"/>
  <c r="E51" i="5"/>
  <c r="E114" i="5"/>
  <c r="E104" i="5"/>
  <c r="E77" i="5"/>
  <c r="E78" i="5"/>
  <c r="E57" i="5"/>
  <c r="E46" i="5"/>
  <c r="E45" i="5"/>
  <c r="H8" i="5"/>
  <c r="E107" i="5"/>
  <c r="E94" i="5"/>
  <c r="E90" i="5"/>
  <c r="E70" i="5"/>
  <c r="E60" i="5"/>
  <c r="E49" i="5"/>
  <c r="E103" i="5"/>
  <c r="E63" i="5"/>
  <c r="E55" i="5"/>
  <c r="E41" i="5"/>
  <c r="E86" i="5"/>
  <c r="E58" i="5"/>
  <c r="E47" i="5"/>
  <c r="E44" i="5"/>
  <c r="E89" i="5"/>
  <c r="E80" i="5"/>
  <c r="E73" i="5"/>
  <c r="E64" i="5"/>
  <c r="E61" i="5"/>
  <c r="E50" i="5"/>
  <c r="E42" i="5"/>
  <c r="H16" i="5"/>
  <c r="D17" i="5" s="1"/>
  <c r="E72" i="5"/>
  <c r="E56" i="5"/>
  <c r="E93" i="5"/>
  <c r="E66" i="5"/>
  <c r="E59" i="5"/>
  <c r="E48" i="5"/>
  <c r="E43" i="5"/>
  <c r="C11" i="5"/>
  <c r="C12" i="5" s="1"/>
  <c r="F7" i="4"/>
  <c r="D15" i="4"/>
  <c r="D10" i="4"/>
  <c r="F23" i="3" l="1"/>
  <c r="H23" i="3"/>
  <c r="G23" i="3"/>
  <c r="G16" i="4"/>
  <c r="D24" i="4"/>
  <c r="D19" i="4"/>
  <c r="F17" i="5"/>
  <c r="E17" i="5" s="1"/>
  <c r="G17" i="5" s="1"/>
  <c r="H17" i="5" l="1"/>
  <c r="F18" i="5" s="1"/>
  <c r="E18" i="5" s="1"/>
  <c r="G18" i="5" s="1"/>
  <c r="H25" i="4"/>
  <c r="D28" i="4"/>
  <c r="D33" i="4"/>
  <c r="D18" i="5" l="1"/>
  <c r="H18" i="5" s="1"/>
  <c r="I34" i="4"/>
  <c r="D42" i="4"/>
  <c r="D51" i="4" s="1"/>
  <c r="D37" i="4"/>
  <c r="D55" i="4" l="1"/>
  <c r="K52" i="4"/>
  <c r="F19" i="5"/>
  <c r="E19" i="5" s="1"/>
  <c r="G19" i="5" s="1"/>
  <c r="D19" i="5"/>
  <c r="J43" i="4"/>
  <c r="D46" i="4"/>
  <c r="H19" i="5" l="1"/>
  <c r="D20" i="5" s="1"/>
  <c r="F20" i="5" l="1"/>
  <c r="E20" i="5" s="1"/>
  <c r="G20" i="5" s="1"/>
  <c r="H20" i="5" l="1"/>
  <c r="F21" i="5" s="1"/>
  <c r="E21" i="5" s="1"/>
  <c r="G21" i="5" s="1"/>
  <c r="D21" i="5" l="1"/>
  <c r="H21" i="5" s="1"/>
  <c r="D22" i="5" s="1"/>
  <c r="F22" i="5" l="1"/>
  <c r="E22" i="5" s="1"/>
  <c r="G22" i="5" s="1"/>
  <c r="H22" i="5" l="1"/>
  <c r="F23" i="5" s="1"/>
  <c r="E23" i="5" s="1"/>
  <c r="G23" i="5" s="1"/>
  <c r="D23" i="5" l="1"/>
  <c r="H23" i="5" s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F27" i="5" s="1"/>
  <c r="E27" i="5" s="1"/>
  <c r="G27" i="5" s="1"/>
  <c r="D27" i="5" l="1"/>
  <c r="H27" i="5" s="1"/>
  <c r="D28" i="5" l="1"/>
  <c r="H28" i="5" s="1"/>
  <c r="F28" i="5"/>
  <c r="E28" i="5" s="1"/>
  <c r="G28" i="5" s="1"/>
  <c r="I28" i="5" s="1"/>
  <c r="E29" i="5"/>
  <c r="D29" i="5" l="1"/>
  <c r="F47" i="3"/>
  <c r="M13" i="2" s="1"/>
  <c r="M14" i="2" s="1"/>
  <c r="M17" i="2" s="1"/>
  <c r="M18" i="2" s="1"/>
  <c r="F29" i="5"/>
  <c r="K13" i="2"/>
  <c r="K14" i="2" s="1"/>
  <c r="K17" i="2" s="1"/>
  <c r="K18" i="2" s="1"/>
  <c r="L13" i="2"/>
  <c r="L14" i="2" s="1"/>
  <c r="L17" i="2" s="1"/>
  <c r="L18" i="2" s="1"/>
  <c r="P13" i="2"/>
  <c r="P14" i="2" s="1"/>
  <c r="P17" i="2" s="1"/>
  <c r="P18" i="2" s="1"/>
  <c r="F48" i="3"/>
  <c r="F50" i="3" s="1"/>
  <c r="F53" i="3" s="1"/>
  <c r="O13" i="2"/>
  <c r="O14" i="2" s="1"/>
  <c r="O17" i="2" s="1"/>
  <c r="O18" i="2" s="1"/>
  <c r="Q13" i="2"/>
  <c r="Q14" i="2" s="1"/>
  <c r="Q17" i="2" s="1"/>
  <c r="Q18" i="2" s="1"/>
  <c r="N13" i="2"/>
  <c r="N14" i="2" s="1"/>
  <c r="N17" i="2" s="1"/>
  <c r="N18" i="2" s="1"/>
  <c r="G29" i="5"/>
  <c r="H29" i="5" s="1"/>
  <c r="D30" i="5" s="1"/>
  <c r="F52" i="3" l="1"/>
  <c r="F30" i="5"/>
  <c r="E30" i="5"/>
  <c r="G30" i="5" l="1"/>
  <c r="H30" i="5" s="1"/>
  <c r="F31" i="5" s="1"/>
  <c r="D31" i="5" l="1"/>
  <c r="E31" i="5"/>
  <c r="G31" i="5" s="1"/>
  <c r="H31" i="5" l="1"/>
  <c r="D32" i="5" s="1"/>
  <c r="F32" i="5"/>
  <c r="E32" i="5" l="1"/>
  <c r="G32" i="5" s="1"/>
  <c r="H32" i="5" s="1"/>
  <c r="F33" i="5" l="1"/>
  <c r="D33" i="5"/>
  <c r="E33" i="5" l="1"/>
  <c r="G33" i="5" s="1"/>
  <c r="H33" i="5" s="1"/>
  <c r="F34" i="5" l="1"/>
  <c r="D34" i="5"/>
  <c r="E34" i="5" l="1"/>
  <c r="G34" i="5" s="1"/>
  <c r="H34" i="5" s="1"/>
  <c r="F35" i="5" l="1"/>
  <c r="D35" i="5"/>
  <c r="E35" i="5" l="1"/>
  <c r="G35" i="5" s="1"/>
  <c r="H35" i="5" s="1"/>
  <c r="F36" i="5" l="1"/>
  <c r="D36" i="5"/>
  <c r="E36" i="5" l="1"/>
  <c r="G36" i="5" s="1"/>
  <c r="H36" i="5" s="1"/>
  <c r="F37" i="5" l="1"/>
  <c r="D37" i="5"/>
  <c r="E37" i="5" l="1"/>
  <c r="G37" i="5" s="1"/>
  <c r="H37" i="5" s="1"/>
  <c r="F38" i="5" l="1"/>
  <c r="D38" i="5"/>
  <c r="E38" i="5" l="1"/>
  <c r="G38" i="5" s="1"/>
  <c r="H38" i="5" s="1"/>
  <c r="F39" i="5" l="1"/>
  <c r="D39" i="5"/>
  <c r="E39" i="5" l="1"/>
  <c r="G39" i="5" s="1"/>
  <c r="H39" i="5" s="1"/>
  <c r="F40" i="5" l="1"/>
  <c r="D40" i="5"/>
  <c r="E40" i="5" l="1"/>
  <c r="G40" i="5" s="1"/>
  <c r="I40" i="5" l="1"/>
  <c r="H40" i="5"/>
  <c r="D41" i="5" l="1"/>
  <c r="G47" i="3"/>
  <c r="G48" i="3" s="1"/>
  <c r="G50" i="3" s="1"/>
  <c r="F41" i="5"/>
  <c r="G41" i="5" s="1"/>
  <c r="F25" i="3"/>
  <c r="G21" i="2"/>
  <c r="F24" i="3"/>
  <c r="G24" i="2" l="1"/>
  <c r="G23" i="2"/>
  <c r="G25" i="2" s="1"/>
  <c r="G53" i="3"/>
  <c r="F9" i="4"/>
  <c r="G52" i="3"/>
  <c r="F28" i="3"/>
  <c r="E44" i="4"/>
  <c r="E46" i="4" s="1"/>
  <c r="E53" i="4"/>
  <c r="E55" i="4" s="1"/>
  <c r="E35" i="4"/>
  <c r="F39" i="3"/>
  <c r="G25" i="3"/>
  <c r="G24" i="3"/>
  <c r="H41" i="5"/>
  <c r="F53" i="4" l="1"/>
  <c r="F55" i="4" s="1"/>
  <c r="G28" i="3"/>
  <c r="G29" i="3" s="1"/>
  <c r="G39" i="3"/>
  <c r="F35" i="4"/>
  <c r="F44" i="4"/>
  <c r="F46" i="4" s="1"/>
  <c r="H24" i="3"/>
  <c r="H25" i="3"/>
  <c r="I23" i="3"/>
  <c r="D42" i="5"/>
  <c r="F42" i="5"/>
  <c r="G42" i="5" s="1"/>
  <c r="F29" i="3"/>
  <c r="F40" i="3"/>
  <c r="E37" i="4"/>
  <c r="E26" i="4"/>
  <c r="G40" i="3" l="1"/>
  <c r="H42" i="5"/>
  <c r="D43" i="5" s="1"/>
  <c r="F37" i="4"/>
  <c r="F26" i="4"/>
  <c r="E17" i="4"/>
  <c r="E28" i="4"/>
  <c r="G53" i="4"/>
  <c r="G55" i="4" s="1"/>
  <c r="G35" i="4"/>
  <c r="G44" i="4"/>
  <c r="G46" i="4" s="1"/>
  <c r="H39" i="3"/>
  <c r="H28" i="3"/>
  <c r="H29" i="3" s="1"/>
  <c r="G32" i="3"/>
  <c r="G35" i="3" s="1"/>
  <c r="G38" i="3" s="1"/>
  <c r="J23" i="3"/>
  <c r="I24" i="3"/>
  <c r="I25" i="3"/>
  <c r="F32" i="3"/>
  <c r="F35" i="3" s="1"/>
  <c r="F38" i="3" s="1"/>
  <c r="F43" i="5" l="1"/>
  <c r="G43" i="5" s="1"/>
  <c r="H43" i="5" s="1"/>
  <c r="G34" i="3"/>
  <c r="G37" i="3" s="1"/>
  <c r="F34" i="3"/>
  <c r="F37" i="3" s="1"/>
  <c r="H35" i="4"/>
  <c r="H44" i="4"/>
  <c r="H46" i="4" s="1"/>
  <c r="I39" i="3"/>
  <c r="H53" i="4"/>
  <c r="H55" i="4" s="1"/>
  <c r="I28" i="3"/>
  <c r="I29" i="3" s="1"/>
  <c r="E19" i="4"/>
  <c r="E8" i="4"/>
  <c r="E10" i="4" s="1"/>
  <c r="J24" i="3"/>
  <c r="K23" i="3"/>
  <c r="J25" i="3"/>
  <c r="G26" i="4"/>
  <c r="G37" i="4"/>
  <c r="F28" i="4"/>
  <c r="F17" i="4"/>
  <c r="H32" i="3"/>
  <c r="H35" i="3" s="1"/>
  <c r="H38" i="3" s="1"/>
  <c r="H34" i="3" l="1"/>
  <c r="H37" i="3" s="1"/>
  <c r="G17" i="4"/>
  <c r="G28" i="4"/>
  <c r="I53" i="4"/>
  <c r="I55" i="4" s="1"/>
  <c r="I35" i="4"/>
  <c r="J39" i="3"/>
  <c r="J28" i="3"/>
  <c r="J29" i="3" s="1"/>
  <c r="I44" i="4"/>
  <c r="I46" i="4" s="1"/>
  <c r="I32" i="3"/>
  <c r="I35" i="3" s="1"/>
  <c r="I38" i="3" s="1"/>
  <c r="F19" i="4"/>
  <c r="F8" i="4"/>
  <c r="F10" i="4" s="1"/>
  <c r="G10" i="4" s="1"/>
  <c r="G41" i="3" s="1"/>
  <c r="F44" i="5"/>
  <c r="G44" i="5" s="1"/>
  <c r="D44" i="5"/>
  <c r="K24" i="3"/>
  <c r="K25" i="3"/>
  <c r="L23" i="3"/>
  <c r="H26" i="4"/>
  <c r="H37" i="4"/>
  <c r="I34" i="3" l="1"/>
  <c r="I37" i="3" s="1"/>
  <c r="H44" i="5"/>
  <c r="F45" i="5" s="1"/>
  <c r="G45" i="5" s="1"/>
  <c r="L24" i="3"/>
  <c r="L25" i="3"/>
  <c r="J53" i="4"/>
  <c r="J55" i="4" s="1"/>
  <c r="K28" i="3"/>
  <c r="K29" i="3" s="1"/>
  <c r="J44" i="4"/>
  <c r="K39" i="3"/>
  <c r="J32" i="3"/>
  <c r="J35" i="3" s="1"/>
  <c r="J38" i="3" s="1"/>
  <c r="J34" i="3" l="1"/>
  <c r="J37" i="3" s="1"/>
  <c r="D45" i="5"/>
  <c r="H45" i="5" s="1"/>
  <c r="K32" i="3"/>
  <c r="K35" i="3" s="1"/>
  <c r="K38" i="3" s="1"/>
  <c r="L39" i="3"/>
  <c r="L28" i="3"/>
  <c r="L29" i="3" s="1"/>
  <c r="K53" i="4"/>
  <c r="K34" i="3" l="1"/>
  <c r="K37" i="3" s="1"/>
  <c r="L32" i="3"/>
  <c r="L35" i="3" s="1"/>
  <c r="L38" i="3" s="1"/>
  <c r="D46" i="5"/>
  <c r="F46" i="5"/>
  <c r="G46" i="5" s="1"/>
  <c r="L34" i="3" l="1"/>
  <c r="L37" i="3" s="1"/>
  <c r="H46" i="5"/>
  <c r="D47" i="5" l="1"/>
  <c r="F47" i="5"/>
  <c r="G47" i="5" s="1"/>
  <c r="H47" i="5" l="1"/>
  <c r="D48" i="5" l="1"/>
  <c r="F48" i="5"/>
  <c r="G48" i="5" s="1"/>
  <c r="H48" i="5" l="1"/>
  <c r="D49" i="5" l="1"/>
  <c r="F49" i="5"/>
  <c r="G49" i="5" s="1"/>
  <c r="H49" i="5" l="1"/>
  <c r="D50" i="5" l="1"/>
  <c r="F50" i="5"/>
  <c r="G50" i="5" s="1"/>
  <c r="H50" i="5" l="1"/>
  <c r="F51" i="5" l="1"/>
  <c r="G51" i="5" s="1"/>
  <c r="D51" i="5"/>
  <c r="H51" i="5" l="1"/>
  <c r="D52" i="5" s="1"/>
  <c r="F52" i="5" l="1"/>
  <c r="G52" i="5" s="1"/>
  <c r="I52" i="5" s="1"/>
  <c r="H52" i="5" l="1"/>
  <c r="D53" i="5" s="1"/>
  <c r="F53" i="5"/>
  <c r="G53" i="5" s="1"/>
  <c r="H53" i="5" l="1"/>
  <c r="F54" i="5" s="1"/>
  <c r="G54" i="5" s="1"/>
  <c r="H47" i="3"/>
  <c r="H48" i="3" s="1"/>
  <c r="H50" i="3" s="1"/>
  <c r="H52" i="3" s="1"/>
  <c r="D54" i="5"/>
  <c r="H40" i="3"/>
  <c r="H53" i="3" l="1"/>
  <c r="G18" i="4"/>
  <c r="G19" i="4" s="1"/>
  <c r="H19" i="4" s="1"/>
  <c r="H41" i="3" s="1"/>
  <c r="H54" i="5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F59" i="5" l="1"/>
  <c r="G59" i="5" s="1"/>
  <c r="D59" i="5"/>
  <c r="H59" i="5" l="1"/>
  <c r="F60" i="5" s="1"/>
  <c r="G60" i="5" s="1"/>
  <c r="D60" i="5" l="1"/>
  <c r="H60" i="5" s="1"/>
  <c r="F61" i="5" l="1"/>
  <c r="G61" i="5" s="1"/>
  <c r="D61" i="5"/>
  <c r="H61" i="5" l="1"/>
  <c r="F62" i="5" s="1"/>
  <c r="G62" i="5" s="1"/>
  <c r="D62" i="5" l="1"/>
  <c r="H62" i="5" s="1"/>
  <c r="F63" i="5" s="1"/>
  <c r="G63" i="5" s="1"/>
  <c r="D63" i="5" l="1"/>
  <c r="H63" i="5" s="1"/>
  <c r="D64" i="5" s="1"/>
  <c r="F64" i="5" l="1"/>
  <c r="G64" i="5" s="1"/>
  <c r="I64" i="5" s="1"/>
  <c r="H64" i="5" l="1"/>
  <c r="I47" i="3" s="1"/>
  <c r="I48" i="3" s="1"/>
  <c r="D65" i="5"/>
  <c r="F65" i="5"/>
  <c r="G65" i="5" s="1"/>
  <c r="I50" i="3"/>
  <c r="I40" i="3"/>
  <c r="H65" i="5" l="1"/>
  <c r="F66" i="5" s="1"/>
  <c r="G66" i="5" s="1"/>
  <c r="I52" i="3"/>
  <c r="I53" i="3"/>
  <c r="H27" i="4"/>
  <c r="H28" i="4" s="1"/>
  <c r="I28" i="4" s="1"/>
  <c r="I41" i="3" s="1"/>
  <c r="D66" i="5" l="1"/>
  <c r="H66" i="5" s="1"/>
  <c r="D67" i="5" s="1"/>
  <c r="F67" i="5" l="1"/>
  <c r="G67" i="5" s="1"/>
  <c r="H67" i="5" s="1"/>
  <c r="F68" i="5" s="1"/>
  <c r="G68" i="5" s="1"/>
  <c r="D68" i="5" l="1"/>
  <c r="H68" i="5" s="1"/>
  <c r="D69" i="5" l="1"/>
  <c r="F69" i="5"/>
  <c r="G69" i="5" s="1"/>
  <c r="H69" i="5" l="1"/>
  <c r="F70" i="5" l="1"/>
  <c r="G70" i="5" s="1"/>
  <c r="D70" i="5"/>
  <c r="H70" i="5" l="1"/>
  <c r="F71" i="5" s="1"/>
  <c r="G71" i="5" s="1"/>
  <c r="D71" i="5" l="1"/>
  <c r="H71" i="5" s="1"/>
  <c r="D72" i="5" l="1"/>
  <c r="F72" i="5"/>
  <c r="G72" i="5" s="1"/>
  <c r="H72" i="5" l="1"/>
  <c r="F73" i="5" l="1"/>
  <c r="G73" i="5" s="1"/>
  <c r="D73" i="5"/>
  <c r="H73" i="5" l="1"/>
  <c r="F74" i="5" s="1"/>
  <c r="G74" i="5" s="1"/>
  <c r="D74" i="5"/>
  <c r="H74" i="5" l="1"/>
  <c r="F75" i="5" s="1"/>
  <c r="G75" i="5" s="1"/>
  <c r="D75" i="5" l="1"/>
  <c r="H75" i="5" s="1"/>
  <c r="D76" i="5" s="1"/>
  <c r="F76" i="5" l="1"/>
  <c r="G76" i="5" s="1"/>
  <c r="I76" i="5" s="1"/>
  <c r="H76" i="5" l="1"/>
  <c r="J47" i="3"/>
  <c r="J48" i="3" s="1"/>
  <c r="D77" i="5"/>
  <c r="F77" i="5"/>
  <c r="G77" i="5" s="1"/>
  <c r="D5" i="6"/>
  <c r="F253" i="6" l="1"/>
  <c r="F258" i="6"/>
  <c r="F146" i="6"/>
  <c r="F131" i="6"/>
  <c r="F194" i="6"/>
  <c r="F246" i="6"/>
  <c r="F212" i="6"/>
  <c r="F316" i="6"/>
  <c r="F238" i="6"/>
  <c r="F226" i="6"/>
  <c r="F172" i="6"/>
  <c r="F44" i="6"/>
  <c r="F181" i="6"/>
  <c r="F331" i="6"/>
  <c r="F299" i="6"/>
  <c r="F308" i="6"/>
  <c r="F216" i="6"/>
  <c r="F222" i="6"/>
  <c r="F155" i="6"/>
  <c r="F99" i="6"/>
  <c r="F230" i="6"/>
  <c r="F192" i="6"/>
  <c r="F72" i="6"/>
  <c r="F293" i="6"/>
  <c r="F283" i="6"/>
  <c r="F127" i="6"/>
  <c r="F90" i="6"/>
  <c r="F245" i="6"/>
  <c r="F224" i="6"/>
  <c r="F220" i="6"/>
  <c r="F311" i="6"/>
  <c r="F235" i="6"/>
  <c r="F153" i="6"/>
  <c r="F104" i="6"/>
  <c r="F50" i="6"/>
  <c r="F64" i="6"/>
  <c r="F120" i="6"/>
  <c r="F63" i="6"/>
  <c r="F326" i="6"/>
  <c r="F319" i="6"/>
  <c r="F313" i="6"/>
  <c r="F82" i="6"/>
  <c r="F187" i="6"/>
  <c r="F337" i="6"/>
  <c r="F307" i="6"/>
  <c r="F241" i="6"/>
  <c r="F176" i="6"/>
  <c r="F322" i="6"/>
  <c r="F130" i="6"/>
  <c r="F144" i="6"/>
  <c r="F183" i="6"/>
  <c r="F265" i="6"/>
  <c r="F227" i="6"/>
  <c r="F53" i="6"/>
  <c r="F200" i="6"/>
  <c r="F278" i="6"/>
  <c r="F161" i="6"/>
  <c r="F143" i="6"/>
  <c r="F97" i="6"/>
  <c r="F116" i="6"/>
  <c r="F240" i="6"/>
  <c r="F171" i="6"/>
  <c r="F335" i="6"/>
  <c r="F260" i="6"/>
  <c r="F170" i="6"/>
  <c r="F112" i="6"/>
  <c r="F47" i="6"/>
  <c r="F163" i="6"/>
  <c r="F174" i="6"/>
  <c r="F169" i="6"/>
  <c r="F327" i="6"/>
  <c r="F255" i="6"/>
  <c r="F166" i="6"/>
  <c r="F114" i="6"/>
  <c r="I16" i="6"/>
  <c r="E17" i="6" s="1"/>
  <c r="G17" i="6" s="1"/>
  <c r="F17" i="6" s="1"/>
  <c r="H17" i="6" s="1"/>
  <c r="I17" i="6" s="1"/>
  <c r="F165" i="6"/>
  <c r="F80" i="6"/>
  <c r="F106" i="6"/>
  <c r="F318" i="6"/>
  <c r="F190" i="6"/>
  <c r="F134" i="6"/>
  <c r="F74" i="6"/>
  <c r="F201" i="6"/>
  <c r="F157" i="6"/>
  <c r="F231" i="6"/>
  <c r="F338" i="6"/>
  <c r="F215" i="6"/>
  <c r="F167" i="6"/>
  <c r="F91" i="6"/>
  <c r="F46" i="6"/>
  <c r="F56" i="6"/>
  <c r="F332" i="6"/>
  <c r="F179" i="6"/>
  <c r="F49" i="6"/>
  <c r="F102" i="6"/>
  <c r="F108" i="6"/>
  <c r="F182" i="6"/>
  <c r="F199" i="6"/>
  <c r="F333" i="6"/>
  <c r="F136" i="6"/>
  <c r="F329" i="6"/>
  <c r="F277" i="6"/>
  <c r="F178" i="6"/>
  <c r="F250" i="6"/>
  <c r="F288" i="6"/>
  <c r="F100" i="6"/>
  <c r="F233" i="6"/>
  <c r="F269" i="6"/>
  <c r="F145" i="6"/>
  <c r="F239" i="6"/>
  <c r="F275" i="6"/>
  <c r="F129" i="6"/>
  <c r="F281" i="6"/>
  <c r="F236" i="6"/>
  <c r="F320" i="6"/>
  <c r="F123" i="6"/>
  <c r="F103" i="6"/>
  <c r="F75" i="6"/>
  <c r="F149" i="6"/>
  <c r="F137" i="6"/>
  <c r="F271" i="6"/>
  <c r="F304" i="6"/>
  <c r="F196" i="6"/>
  <c r="F148" i="6"/>
  <c r="F62" i="6"/>
  <c r="F154" i="6"/>
  <c r="F156" i="6"/>
  <c r="F223" i="6"/>
  <c r="F263" i="6"/>
  <c r="F272" i="6"/>
  <c r="F186" i="6"/>
  <c r="F115" i="6"/>
  <c r="F57" i="6"/>
  <c r="F185" i="6"/>
  <c r="F92" i="6"/>
  <c r="F321" i="6"/>
  <c r="F257" i="6"/>
  <c r="F229" i="6"/>
  <c r="F117" i="6"/>
  <c r="F86" i="6"/>
  <c r="F184" i="6"/>
  <c r="F162" i="6"/>
  <c r="F128" i="6"/>
  <c r="F274" i="6"/>
  <c r="F234" i="6"/>
  <c r="F328" i="6"/>
  <c r="F65" i="6"/>
  <c r="F60" i="6"/>
  <c r="F295" i="6"/>
  <c r="F286" i="6"/>
  <c r="F205" i="6"/>
  <c r="F336" i="6"/>
  <c r="F96" i="6"/>
  <c r="F244" i="6"/>
  <c r="F42" i="6"/>
  <c r="F177" i="6"/>
  <c r="F208" i="6"/>
  <c r="F268" i="6"/>
  <c r="F93" i="6"/>
  <c r="F132" i="6"/>
  <c r="F248" i="6"/>
  <c r="F289" i="6"/>
  <c r="F109" i="6"/>
  <c r="F211" i="6"/>
  <c r="F273" i="6"/>
  <c r="F325" i="6"/>
  <c r="F180" i="6"/>
  <c r="F191" i="6"/>
  <c r="F202" i="6"/>
  <c r="F59" i="6"/>
  <c r="F324" i="6"/>
  <c r="F243" i="6"/>
  <c r="F247" i="6"/>
  <c r="F188" i="6"/>
  <c r="F48" i="6"/>
  <c r="F51" i="6"/>
  <c r="F68" i="6"/>
  <c r="F126" i="6"/>
  <c r="F298" i="6"/>
  <c r="F323" i="6"/>
  <c r="F204" i="6"/>
  <c r="F110" i="6"/>
  <c r="F55" i="6"/>
  <c r="F77" i="6"/>
  <c r="F219" i="6"/>
  <c r="F193" i="6"/>
  <c r="F290" i="6"/>
  <c r="F291" i="6"/>
  <c r="F195" i="6"/>
  <c r="F107" i="6"/>
  <c r="F85" i="6"/>
  <c r="F84" i="6"/>
  <c r="F287" i="6"/>
  <c r="F259" i="6"/>
  <c r="F218" i="6"/>
  <c r="F173" i="6"/>
  <c r="F139" i="6"/>
  <c r="F43" i="6"/>
  <c r="F164" i="6"/>
  <c r="F135" i="6"/>
  <c r="F111" i="6"/>
  <c r="F285" i="6"/>
  <c r="F254" i="6"/>
  <c r="F118" i="6"/>
  <c r="F83" i="6"/>
  <c r="F305" i="6"/>
  <c r="F294" i="6"/>
  <c r="F279" i="6"/>
  <c r="F197" i="6"/>
  <c r="F237" i="6"/>
  <c r="F67" i="6"/>
  <c r="F225" i="6"/>
  <c r="F150" i="6"/>
  <c r="F73" i="6"/>
  <c r="F296" i="6"/>
  <c r="F314" i="6"/>
  <c r="F88" i="6"/>
  <c r="F95" i="6"/>
  <c r="F213" i="6"/>
  <c r="F69" i="6"/>
  <c r="F302" i="6"/>
  <c r="F261" i="6"/>
  <c r="F214" i="6"/>
  <c r="F198" i="6"/>
  <c r="F282" i="6"/>
  <c r="F252" i="6"/>
  <c r="F52" i="6"/>
  <c r="F256" i="6"/>
  <c r="F267" i="6"/>
  <c r="F175" i="6"/>
  <c r="F121" i="6"/>
  <c r="F58" i="6"/>
  <c r="D11" i="6"/>
  <c r="D12" i="6" s="1"/>
  <c r="F66" i="6"/>
  <c r="F119" i="6"/>
  <c r="F309" i="6"/>
  <c r="F206" i="6"/>
  <c r="F138" i="6"/>
  <c r="F98" i="6"/>
  <c r="F284" i="6"/>
  <c r="F125" i="6"/>
  <c r="F71" i="6"/>
  <c r="F160" i="6"/>
  <c r="F301" i="6"/>
  <c r="F315" i="6"/>
  <c r="F133" i="6"/>
  <c r="F94" i="6"/>
  <c r="F303" i="6"/>
  <c r="F81" i="6"/>
  <c r="F251" i="6"/>
  <c r="F300" i="6"/>
  <c r="F210" i="6"/>
  <c r="F207" i="6"/>
  <c r="F151" i="6"/>
  <c r="F61" i="6"/>
  <c r="F142" i="6"/>
  <c r="F122" i="6"/>
  <c r="F105" i="6"/>
  <c r="F310" i="6"/>
  <c r="F189" i="6"/>
  <c r="F124" i="6"/>
  <c r="F70" i="6"/>
  <c r="F312" i="6"/>
  <c r="F217" i="6"/>
  <c r="F264" i="6"/>
  <c r="F203" i="6"/>
  <c r="F276" i="6"/>
  <c r="F45" i="6"/>
  <c r="F76" i="6"/>
  <c r="F334" i="6"/>
  <c r="F221" i="6"/>
  <c r="F141" i="6"/>
  <c r="F101" i="6"/>
  <c r="F266" i="6"/>
  <c r="F113" i="6"/>
  <c r="F140" i="6"/>
  <c r="F330" i="6"/>
  <c r="F340" i="6"/>
  <c r="F158" i="6"/>
  <c r="F79" i="6"/>
  <c r="F339" i="6"/>
  <c r="F249" i="6"/>
  <c r="F306" i="6"/>
  <c r="F270" i="6"/>
  <c r="F297" i="6"/>
  <c r="F262" i="6"/>
  <c r="F209" i="6"/>
  <c r="F242" i="6"/>
  <c r="F41" i="6"/>
  <c r="F168" i="6"/>
  <c r="F159" i="6"/>
  <c r="F317" i="6"/>
  <c r="F280" i="6"/>
  <c r="F232" i="6"/>
  <c r="F89" i="6"/>
  <c r="F228" i="6"/>
  <c r="F54" i="6"/>
  <c r="F152" i="6"/>
  <c r="F78" i="6"/>
  <c r="F292" i="6"/>
  <c r="F147" i="6"/>
  <c r="F87" i="6"/>
  <c r="H77" i="5"/>
  <c r="J40" i="3"/>
  <c r="J50" i="3"/>
  <c r="E18" i="6" l="1"/>
  <c r="G18" i="6"/>
  <c r="F18" i="6" s="1"/>
  <c r="H18" i="6" s="1"/>
  <c r="I18" i="6" s="1"/>
  <c r="D78" i="5"/>
  <c r="F78" i="5"/>
  <c r="G78" i="5" s="1"/>
  <c r="I36" i="4"/>
  <c r="I37" i="4" s="1"/>
  <c r="J37" i="4" s="1"/>
  <c r="J41" i="3" s="1"/>
  <c r="J53" i="3"/>
  <c r="J52" i="3"/>
  <c r="G19" i="6" l="1"/>
  <c r="F19" i="6" s="1"/>
  <c r="H19" i="6" s="1"/>
  <c r="E19" i="6"/>
  <c r="H78" i="5"/>
  <c r="I19" i="6" l="1"/>
  <c r="G20" i="6" s="1"/>
  <c r="F20" i="6" s="1"/>
  <c r="H20" i="6" s="1"/>
  <c r="D79" i="5"/>
  <c r="F79" i="5"/>
  <c r="G79" i="5" s="1"/>
  <c r="E20" i="6" l="1"/>
  <c r="I20" i="6" s="1"/>
  <c r="E21" i="6" s="1"/>
  <c r="H79" i="5"/>
  <c r="D80" i="5" s="1"/>
  <c r="G21" i="6" l="1"/>
  <c r="F21" i="6" s="1"/>
  <c r="H21" i="6" s="1"/>
  <c r="I21" i="6" s="1"/>
  <c r="F80" i="5"/>
  <c r="G80" i="5" s="1"/>
  <c r="H80" i="5" s="1"/>
  <c r="F81" i="5" l="1"/>
  <c r="G81" i="5" s="1"/>
  <c r="D81" i="5"/>
  <c r="E22" i="6"/>
  <c r="G22" i="6"/>
  <c r="F22" i="6" s="1"/>
  <c r="H22" i="6" s="1"/>
  <c r="H81" i="5" l="1"/>
  <c r="F82" i="5" s="1"/>
  <c r="G82" i="5" s="1"/>
  <c r="I22" i="6"/>
  <c r="D82" i="5" l="1"/>
  <c r="H82" i="5" s="1"/>
  <c r="D83" i="5" s="1"/>
  <c r="G23" i="6"/>
  <c r="F23" i="6" s="1"/>
  <c r="H23" i="6" s="1"/>
  <c r="E23" i="6"/>
  <c r="F83" i="5" l="1"/>
  <c r="G83" i="5" s="1"/>
  <c r="H83" i="5" s="1"/>
  <c r="D84" i="5" s="1"/>
  <c r="I23" i="6"/>
  <c r="E24" i="6" s="1"/>
  <c r="G24" i="6" l="1"/>
  <c r="F24" i="6" s="1"/>
  <c r="H24" i="6" s="1"/>
  <c r="I24" i="6" s="1"/>
  <c r="E25" i="6" s="1"/>
  <c r="F84" i="5"/>
  <c r="G84" i="5" s="1"/>
  <c r="H84" i="5" s="1"/>
  <c r="G25" i="6" l="1"/>
  <c r="F25" i="6" s="1"/>
  <c r="H25" i="6" s="1"/>
  <c r="I25" i="6" s="1"/>
  <c r="F85" i="5"/>
  <c r="G85" i="5" s="1"/>
  <c r="D85" i="5"/>
  <c r="H85" i="5" l="1"/>
  <c r="F86" i="5" s="1"/>
  <c r="G86" i="5" s="1"/>
  <c r="G26" i="6"/>
  <c r="F26" i="6" s="1"/>
  <c r="H26" i="6" s="1"/>
  <c r="E26" i="6"/>
  <c r="D86" i="5" l="1"/>
  <c r="H86" i="5" s="1"/>
  <c r="I26" i="6"/>
  <c r="G27" i="6" s="1"/>
  <c r="F27" i="6" s="1"/>
  <c r="H27" i="6" s="1"/>
  <c r="D87" i="5" l="1"/>
  <c r="F87" i="5"/>
  <c r="G87" i="5" s="1"/>
  <c r="E27" i="6"/>
  <c r="I27" i="6" s="1"/>
  <c r="H87" i="5" l="1"/>
  <c r="E28" i="6"/>
  <c r="G28" i="6"/>
  <c r="F28" i="6" s="1"/>
  <c r="H28" i="6" s="1"/>
  <c r="J28" i="6" s="1"/>
  <c r="F88" i="5"/>
  <c r="G88" i="5" s="1"/>
  <c r="I88" i="5" s="1"/>
  <c r="D88" i="5"/>
  <c r="I28" i="6" l="1"/>
  <c r="E29" i="6" s="1"/>
  <c r="H88" i="5"/>
  <c r="F89" i="5" s="1"/>
  <c r="G89" i="5" s="1"/>
  <c r="D89" i="5" l="1"/>
  <c r="H89" i="5" s="1"/>
  <c r="F90" i="5" s="1"/>
  <c r="G90" i="5" s="1"/>
  <c r="G29" i="6"/>
  <c r="F29" i="6" s="1"/>
  <c r="H29" i="6" s="1"/>
  <c r="I29" i="6" s="1"/>
  <c r="K47" i="3"/>
  <c r="K48" i="3" s="1"/>
  <c r="K40" i="3" s="1"/>
  <c r="D90" i="5" l="1"/>
  <c r="H90" i="5" s="1"/>
  <c r="D91" i="5" s="1"/>
  <c r="K50" i="3"/>
  <c r="K52" i="3" s="1"/>
  <c r="G30" i="6"/>
  <c r="F30" i="6" s="1"/>
  <c r="H30" i="6" s="1"/>
  <c r="E30" i="6"/>
  <c r="F91" i="5" l="1"/>
  <c r="G91" i="5" s="1"/>
  <c r="H91" i="5" s="1"/>
  <c r="J45" i="4"/>
  <c r="J46" i="4" s="1"/>
  <c r="K46" i="4" s="1"/>
  <c r="K41" i="3" s="1"/>
  <c r="K53" i="3"/>
  <c r="I30" i="6"/>
  <c r="G31" i="6" s="1"/>
  <c r="F31" i="6" s="1"/>
  <c r="H31" i="6" s="1"/>
  <c r="E31" i="6" l="1"/>
  <c r="I31" i="6" s="1"/>
  <c r="G32" i="6" s="1"/>
  <c r="F32" i="6" s="1"/>
  <c r="H32" i="6" s="1"/>
  <c r="D92" i="5"/>
  <c r="F92" i="5"/>
  <c r="G92" i="5" s="1"/>
  <c r="E32" i="6" l="1"/>
  <c r="I32" i="6" s="1"/>
  <c r="H92" i="5"/>
  <c r="G33" i="6" l="1"/>
  <c r="F33" i="6" s="1"/>
  <c r="H33" i="6" s="1"/>
  <c r="E33" i="6"/>
  <c r="F93" i="5"/>
  <c r="G93" i="5" s="1"/>
  <c r="D93" i="5"/>
  <c r="I33" i="6" l="1"/>
  <c r="G34" i="6" s="1"/>
  <c r="F34" i="6" s="1"/>
  <c r="H34" i="6" s="1"/>
  <c r="H93" i="5"/>
  <c r="F94" i="5" s="1"/>
  <c r="G94" i="5" s="1"/>
  <c r="E34" i="6" l="1"/>
  <c r="I34" i="6" s="1"/>
  <c r="E35" i="6" s="1"/>
  <c r="D94" i="5"/>
  <c r="H94" i="5" s="1"/>
  <c r="F95" i="5" s="1"/>
  <c r="G95" i="5" s="1"/>
  <c r="G35" i="6" l="1"/>
  <c r="F35" i="6" s="1"/>
  <c r="H35" i="6" s="1"/>
  <c r="I35" i="6" s="1"/>
  <c r="D95" i="5"/>
  <c r="H95" i="5" s="1"/>
  <c r="D96" i="5" s="1"/>
  <c r="F96" i="5" l="1"/>
  <c r="G96" i="5" s="1"/>
  <c r="H96" i="5" s="1"/>
  <c r="G36" i="6"/>
  <c r="F36" i="6" s="1"/>
  <c r="H36" i="6" s="1"/>
  <c r="E36" i="6"/>
  <c r="I36" i="6" l="1"/>
  <c r="E37" i="6" s="1"/>
  <c r="F97" i="5"/>
  <c r="G97" i="5" s="1"/>
  <c r="D97" i="5"/>
  <c r="G37" i="6" l="1"/>
  <c r="F37" i="6" s="1"/>
  <c r="H37" i="6" s="1"/>
  <c r="I37" i="6" s="1"/>
  <c r="E38" i="6" s="1"/>
  <c r="H97" i="5"/>
  <c r="D98" i="5" s="1"/>
  <c r="F98" i="5" l="1"/>
  <c r="G98" i="5" s="1"/>
  <c r="H98" i="5" s="1"/>
  <c r="G38" i="6"/>
  <c r="F38" i="6" s="1"/>
  <c r="H38" i="6" s="1"/>
  <c r="I38" i="6" s="1"/>
  <c r="G39" i="6" l="1"/>
  <c r="F39" i="6" s="1"/>
  <c r="H39" i="6" s="1"/>
  <c r="E39" i="6"/>
  <c r="D99" i="5"/>
  <c r="F99" i="5"/>
  <c r="G99" i="5" s="1"/>
  <c r="I39" i="6" l="1"/>
  <c r="G40" i="6" s="1"/>
  <c r="F40" i="6" s="1"/>
  <c r="H40" i="6" s="1"/>
  <c r="J40" i="6" s="1"/>
  <c r="H99" i="5"/>
  <c r="F100" i="5" s="1"/>
  <c r="G100" i="5" s="1"/>
  <c r="I100" i="5" s="1"/>
  <c r="E40" i="6" l="1"/>
  <c r="I40" i="6" s="1"/>
  <c r="D100" i="5"/>
  <c r="H100" i="5" s="1"/>
  <c r="E41" i="6" l="1"/>
  <c r="G41" i="6"/>
  <c r="H41" i="6" s="1"/>
  <c r="D101" i="5"/>
  <c r="L47" i="3"/>
  <c r="L48" i="3" s="1"/>
  <c r="F101" i="5"/>
  <c r="G101" i="5" s="1"/>
  <c r="L40" i="3" l="1"/>
  <c r="L50" i="3"/>
  <c r="H101" i="5"/>
  <c r="I41" i="6"/>
  <c r="E42" i="6" l="1"/>
  <c r="G42" i="6"/>
  <c r="H42" i="6" s="1"/>
  <c r="D102" i="5"/>
  <c r="F102" i="5"/>
  <c r="G102" i="5" s="1"/>
  <c r="L52" i="3"/>
  <c r="K54" i="4"/>
  <c r="K55" i="4" s="1"/>
  <c r="L55" i="4" s="1"/>
  <c r="L41" i="3" s="1"/>
  <c r="L53" i="3"/>
  <c r="H102" i="5" l="1"/>
  <c r="F103" i="5" s="1"/>
  <c r="G103" i="5" s="1"/>
  <c r="I42" i="6"/>
  <c r="D103" i="5" l="1"/>
  <c r="H103" i="5" s="1"/>
  <c r="F104" i="5" s="1"/>
  <c r="G104" i="5" s="1"/>
  <c r="E43" i="6"/>
  <c r="G43" i="6"/>
  <c r="H43" i="6" s="1"/>
  <c r="D104" i="5" l="1"/>
  <c r="H104" i="5" s="1"/>
  <c r="I43" i="6"/>
  <c r="D105" i="5" l="1"/>
  <c r="F105" i="5"/>
  <c r="G105" i="5" s="1"/>
  <c r="G44" i="6"/>
  <c r="H44" i="6" s="1"/>
  <c r="E44" i="6"/>
  <c r="H105" i="5" l="1"/>
  <c r="D106" i="5" s="1"/>
  <c r="I44" i="6"/>
  <c r="G45" i="6" s="1"/>
  <c r="H45" i="6" s="1"/>
  <c r="F106" i="5" l="1"/>
  <c r="G106" i="5" s="1"/>
  <c r="H106" i="5" s="1"/>
  <c r="D107" i="5" s="1"/>
  <c r="E45" i="6"/>
  <c r="I45" i="6" s="1"/>
  <c r="F107" i="5" l="1"/>
  <c r="G107" i="5" s="1"/>
  <c r="H107" i="5" s="1"/>
  <c r="D108" i="5" s="1"/>
  <c r="G46" i="6"/>
  <c r="H46" i="6" s="1"/>
  <c r="E46" i="6"/>
  <c r="F108" i="5" l="1"/>
  <c r="G108" i="5" s="1"/>
  <c r="H108" i="5" s="1"/>
  <c r="F109" i="5" s="1"/>
  <c r="G109" i="5" s="1"/>
  <c r="I46" i="6"/>
  <c r="E47" i="6" s="1"/>
  <c r="D109" i="5" l="1"/>
  <c r="H109" i="5" s="1"/>
  <c r="D110" i="5" s="1"/>
  <c r="G47" i="6"/>
  <c r="H47" i="6" s="1"/>
  <c r="I47" i="6" s="1"/>
  <c r="F110" i="5" l="1"/>
  <c r="G110" i="5" s="1"/>
  <c r="H110" i="5" s="1"/>
  <c r="G48" i="6"/>
  <c r="H48" i="6" s="1"/>
  <c r="E48" i="6"/>
  <c r="F111" i="5" l="1"/>
  <c r="G111" i="5" s="1"/>
  <c r="D111" i="5"/>
  <c r="I48" i="6"/>
  <c r="E49" i="6" s="1"/>
  <c r="G49" i="6" l="1"/>
  <c r="H49" i="6" s="1"/>
  <c r="I49" i="6" s="1"/>
  <c r="H111" i="5"/>
  <c r="F112" i="5" s="1"/>
  <c r="G112" i="5" s="1"/>
  <c r="I112" i="5" s="1"/>
  <c r="D112" i="5" l="1"/>
  <c r="H112" i="5" s="1"/>
  <c r="E50" i="6"/>
  <c r="G50" i="6"/>
  <c r="H50" i="6" s="1"/>
  <c r="F113" i="5" l="1"/>
  <c r="G113" i="5" s="1"/>
  <c r="D113" i="5"/>
  <c r="H113" i="5" s="1"/>
  <c r="F114" i="5" s="1"/>
  <c r="G114" i="5" s="1"/>
  <c r="I50" i="6"/>
  <c r="D114" i="5" l="1"/>
  <c r="H114" i="5" s="1"/>
  <c r="G51" i="6"/>
  <c r="H51" i="6" s="1"/>
  <c r="E51" i="6"/>
  <c r="F115" i="5" l="1"/>
  <c r="G115" i="5" s="1"/>
  <c r="D115" i="5"/>
  <c r="I51" i="6"/>
  <c r="G52" i="6" s="1"/>
  <c r="H52" i="6" s="1"/>
  <c r="J52" i="6" s="1"/>
  <c r="H115" i="5" l="1"/>
  <c r="F116" i="5" s="1"/>
  <c r="G116" i="5" s="1"/>
  <c r="E52" i="6"/>
  <c r="I52" i="6" s="1"/>
  <c r="G53" i="6" s="1"/>
  <c r="H53" i="6" s="1"/>
  <c r="D116" i="5"/>
  <c r="H116" i="5" s="1"/>
  <c r="F117" i="5" s="1"/>
  <c r="G117" i="5" s="1"/>
  <c r="D117" i="5" l="1"/>
  <c r="E53" i="6"/>
  <c r="I53" i="6" s="1"/>
  <c r="H117" i="5"/>
  <c r="D118" i="5" s="1"/>
  <c r="F118" i="5" l="1"/>
  <c r="G118" i="5" s="1"/>
  <c r="G54" i="6"/>
  <c r="H54" i="6" s="1"/>
  <c r="E54" i="6"/>
  <c r="H118" i="5"/>
  <c r="I54" i="6" l="1"/>
  <c r="F119" i="5"/>
  <c r="G119" i="5" s="1"/>
  <c r="D119" i="5"/>
  <c r="E55" i="6"/>
  <c r="G55" i="6"/>
  <c r="H55" i="6" s="1"/>
  <c r="H119" i="5" l="1"/>
  <c r="F120" i="5" s="1"/>
  <c r="G120" i="5" s="1"/>
  <c r="I55" i="6"/>
  <c r="E56" i="6" s="1"/>
  <c r="D120" i="5" l="1"/>
  <c r="H120" i="5" s="1"/>
  <c r="G56" i="6"/>
  <c r="H56" i="6" s="1"/>
  <c r="I56" i="6" s="1"/>
  <c r="G57" i="6" l="1"/>
  <c r="H57" i="6" s="1"/>
  <c r="E57" i="6"/>
  <c r="D121" i="5"/>
  <c r="F121" i="5"/>
  <c r="G121" i="5" s="1"/>
  <c r="I57" i="6" l="1"/>
  <c r="G58" i="6" s="1"/>
  <c r="H58" i="6" s="1"/>
  <c r="H121" i="5"/>
  <c r="D122" i="5" s="1"/>
  <c r="E58" i="6" l="1"/>
  <c r="F122" i="5"/>
  <c r="G122" i="5" s="1"/>
  <c r="H122" i="5" s="1"/>
  <c r="I58" i="6"/>
  <c r="D123" i="5" l="1"/>
  <c r="F123" i="5"/>
  <c r="G123" i="5" s="1"/>
  <c r="E59" i="6"/>
  <c r="G59" i="6"/>
  <c r="H59" i="6" s="1"/>
  <c r="I59" i="6" l="1"/>
  <c r="H123" i="5"/>
  <c r="D124" i="5" l="1"/>
  <c r="F124" i="5"/>
  <c r="G124" i="5" s="1"/>
  <c r="I124" i="5" s="1"/>
  <c r="G60" i="6"/>
  <c r="H60" i="6" s="1"/>
  <c r="E60" i="6"/>
  <c r="I60" i="6" l="1"/>
  <c r="H124" i="5"/>
  <c r="D125" i="5" l="1"/>
  <c r="F125" i="5"/>
  <c r="G125" i="5" s="1"/>
  <c r="G61" i="6"/>
  <c r="H61" i="6" s="1"/>
  <c r="E61" i="6"/>
  <c r="I61" i="6" l="1"/>
  <c r="G62" i="6" s="1"/>
  <c r="H62" i="6" s="1"/>
  <c r="E62" i="6"/>
  <c r="H125" i="5"/>
  <c r="I62" i="6" l="1"/>
  <c r="G63" i="6" s="1"/>
  <c r="H63" i="6" s="1"/>
  <c r="F126" i="5"/>
  <c r="G126" i="5" s="1"/>
  <c r="D126" i="5"/>
  <c r="E63" i="6" l="1"/>
  <c r="I63" i="6" s="1"/>
  <c r="G64" i="6" s="1"/>
  <c r="H64" i="6" s="1"/>
  <c r="J64" i="6" s="1"/>
  <c r="H126" i="5"/>
  <c r="D127" i="5" s="1"/>
  <c r="F127" i="5" l="1"/>
  <c r="G127" i="5" s="1"/>
  <c r="H127" i="5" s="1"/>
  <c r="E64" i="6"/>
  <c r="I64" i="6" s="1"/>
  <c r="G65" i="6" l="1"/>
  <c r="H65" i="6" s="1"/>
  <c r="E65" i="6"/>
  <c r="D128" i="5"/>
  <c r="F128" i="5"/>
  <c r="G128" i="5" s="1"/>
  <c r="I65" i="6" l="1"/>
  <c r="E66" i="6" s="1"/>
  <c r="H128" i="5"/>
  <c r="F129" i="5" s="1"/>
  <c r="G129" i="5" s="1"/>
  <c r="D129" i="5" l="1"/>
  <c r="H129" i="5" s="1"/>
  <c r="F130" i="5" s="1"/>
  <c r="G130" i="5" s="1"/>
  <c r="G66" i="6"/>
  <c r="H66" i="6" s="1"/>
  <c r="I66" i="6" s="1"/>
  <c r="D130" i="5" l="1"/>
  <c r="H130" i="5" s="1"/>
  <c r="D131" i="5" s="1"/>
  <c r="G67" i="6"/>
  <c r="H67" i="6" s="1"/>
  <c r="E67" i="6"/>
  <c r="I67" i="6" l="1"/>
  <c r="G68" i="6" s="1"/>
  <c r="H68" i="6" s="1"/>
  <c r="F131" i="5"/>
  <c r="G131" i="5" s="1"/>
  <c r="H131" i="5" s="1"/>
  <c r="E68" i="6" l="1"/>
  <c r="I68" i="6" s="1"/>
  <c r="G69" i="6" s="1"/>
  <c r="H69" i="6" s="1"/>
  <c r="F132" i="5"/>
  <c r="G132" i="5" s="1"/>
  <c r="D132" i="5"/>
  <c r="E69" i="6" l="1"/>
  <c r="I69" i="6" s="1"/>
  <c r="E70" i="6" s="1"/>
  <c r="H132" i="5"/>
  <c r="F133" i="5" s="1"/>
  <c r="G133" i="5" s="1"/>
  <c r="G70" i="6" l="1"/>
  <c r="H70" i="6" s="1"/>
  <c r="I70" i="6" s="1"/>
  <c r="G71" i="6" s="1"/>
  <c r="H71" i="6" s="1"/>
  <c r="D133" i="5"/>
  <c r="H133" i="5" s="1"/>
  <c r="F134" i="5" s="1"/>
  <c r="G134" i="5" s="1"/>
  <c r="E71" i="6" l="1"/>
  <c r="I71" i="6" s="1"/>
  <c r="E72" i="6" s="1"/>
  <c r="D134" i="5"/>
  <c r="H134" i="5" s="1"/>
  <c r="G72" i="6" l="1"/>
  <c r="H72" i="6" s="1"/>
  <c r="I72" i="6" s="1"/>
  <c r="F135" i="5"/>
  <c r="G135" i="5" s="1"/>
  <c r="D135" i="5"/>
  <c r="H135" i="5" l="1"/>
  <c r="G73" i="6"/>
  <c r="H73" i="6" s="1"/>
  <c r="E73" i="6"/>
  <c r="F136" i="5" l="1"/>
  <c r="G136" i="5" s="1"/>
  <c r="I136" i="5" s="1"/>
  <c r="D136" i="5"/>
  <c r="I73" i="6"/>
  <c r="G74" i="6" s="1"/>
  <c r="H74" i="6" s="1"/>
  <c r="H136" i="5" l="1"/>
  <c r="F137" i="5" s="1"/>
  <c r="G137" i="5" s="1"/>
  <c r="E74" i="6"/>
  <c r="I74" i="6" s="1"/>
  <c r="E75" i="6" s="1"/>
  <c r="D137" i="5"/>
  <c r="H137" i="5" l="1"/>
  <c r="F138" i="5" s="1"/>
  <c r="G138" i="5" s="1"/>
  <c r="G75" i="6"/>
  <c r="H75" i="6" s="1"/>
  <c r="I75" i="6" s="1"/>
  <c r="E76" i="6" s="1"/>
  <c r="D138" i="5" l="1"/>
  <c r="H138" i="5" s="1"/>
  <c r="F139" i="5" s="1"/>
  <c r="G139" i="5" s="1"/>
  <c r="G76" i="6"/>
  <c r="H76" i="6" s="1"/>
  <c r="J76" i="6" s="1"/>
  <c r="D139" i="5"/>
  <c r="H139" i="5" l="1"/>
  <c r="F140" i="5" s="1"/>
  <c r="G140" i="5" s="1"/>
  <c r="I76" i="6"/>
  <c r="E77" i="6" s="1"/>
  <c r="D140" i="5"/>
  <c r="H140" i="5" s="1"/>
  <c r="G77" i="6" l="1"/>
  <c r="H77" i="6" s="1"/>
  <c r="I77" i="6" s="1"/>
  <c r="E78" i="6" s="1"/>
  <c r="F141" i="5"/>
  <c r="G141" i="5" s="1"/>
  <c r="D141" i="5"/>
  <c r="G78" i="6" l="1"/>
  <c r="H78" i="6" s="1"/>
  <c r="I78" i="6" s="1"/>
  <c r="E79" i="6" s="1"/>
  <c r="H141" i="5"/>
  <c r="D142" i="5" s="1"/>
  <c r="G79" i="6" l="1"/>
  <c r="H79" i="6" s="1"/>
  <c r="I79" i="6" s="1"/>
  <c r="E80" i="6" s="1"/>
  <c r="F142" i="5"/>
  <c r="G142" i="5" s="1"/>
  <c r="H142" i="5" s="1"/>
  <c r="D143" i="5" s="1"/>
  <c r="G80" i="6" l="1"/>
  <c r="H80" i="6" s="1"/>
  <c r="I80" i="6" s="1"/>
  <c r="F143" i="5"/>
  <c r="G143" i="5" s="1"/>
  <c r="H143" i="5" s="1"/>
  <c r="D144" i="5" s="1"/>
  <c r="E81" i="6" l="1"/>
  <c r="G81" i="6"/>
  <c r="H81" i="6" s="1"/>
  <c r="F144" i="5"/>
  <c r="G144" i="5" s="1"/>
  <c r="H144" i="5" s="1"/>
  <c r="F145" i="5" s="1"/>
  <c r="G145" i="5" s="1"/>
  <c r="I81" i="6" l="1"/>
  <c r="D145" i="5"/>
  <c r="H145" i="5" s="1"/>
  <c r="F146" i="5" s="1"/>
  <c r="G146" i="5" s="1"/>
  <c r="G82" i="6" l="1"/>
  <c r="H82" i="6" s="1"/>
  <c r="E82" i="6"/>
  <c r="D146" i="5"/>
  <c r="H146" i="5" s="1"/>
  <c r="I82" i="6" l="1"/>
  <c r="E83" i="6" s="1"/>
  <c r="D147" i="5"/>
  <c r="F147" i="5"/>
  <c r="G147" i="5" s="1"/>
  <c r="G83" i="6" l="1"/>
  <c r="H83" i="6" s="1"/>
  <c r="I83" i="6" s="1"/>
  <c r="E84" i="6" s="1"/>
  <c r="H147" i="5"/>
  <c r="G84" i="6" l="1"/>
  <c r="H84" i="6" s="1"/>
  <c r="I84" i="6" s="1"/>
  <c r="D148" i="5"/>
  <c r="F148" i="5"/>
  <c r="G148" i="5" s="1"/>
  <c r="I148" i="5" s="1"/>
  <c r="G85" i="6" l="1"/>
  <c r="H85" i="6" s="1"/>
  <c r="E85" i="6"/>
  <c r="H148" i="5"/>
  <c r="I85" i="6" l="1"/>
  <c r="G86" i="6" s="1"/>
  <c r="H86" i="6" s="1"/>
  <c r="D149" i="5"/>
  <c r="F149" i="5"/>
  <c r="G149" i="5" s="1"/>
  <c r="E86" i="6" l="1"/>
  <c r="I86" i="6" s="1"/>
  <c r="G87" i="6" s="1"/>
  <c r="H87" i="6" s="1"/>
  <c r="H149" i="5"/>
  <c r="E87" i="6" l="1"/>
  <c r="I87" i="6" s="1"/>
  <c r="G88" i="6" s="1"/>
  <c r="H88" i="6" s="1"/>
  <c r="J88" i="6" s="1"/>
  <c r="D150" i="5"/>
  <c r="F150" i="5"/>
  <c r="G150" i="5" s="1"/>
  <c r="E88" i="6" l="1"/>
  <c r="I88" i="6" s="1"/>
  <c r="H150" i="5"/>
  <c r="E89" i="6" l="1"/>
  <c r="G89" i="6"/>
  <c r="H89" i="6" s="1"/>
  <c r="F151" i="5"/>
  <c r="G151" i="5" s="1"/>
  <c r="D151" i="5"/>
  <c r="I89" i="6" l="1"/>
  <c r="G90" i="6" s="1"/>
  <c r="H90" i="6" s="1"/>
  <c r="H151" i="5"/>
  <c r="F152" i="5" s="1"/>
  <c r="G152" i="5" s="1"/>
  <c r="E90" i="6" l="1"/>
  <c r="I90" i="6" s="1"/>
  <c r="D152" i="5"/>
  <c r="H152" i="5" s="1"/>
  <c r="E91" i="6" l="1"/>
  <c r="G91" i="6"/>
  <c r="H91" i="6" s="1"/>
  <c r="D153" i="5"/>
  <c r="F153" i="5"/>
  <c r="G153" i="5" s="1"/>
  <c r="I91" i="6" l="1"/>
  <c r="H153" i="5"/>
  <c r="D154" i="5" s="1"/>
  <c r="G92" i="6" l="1"/>
  <c r="H92" i="6" s="1"/>
  <c r="E92" i="6"/>
  <c r="F154" i="5"/>
  <c r="G154" i="5" s="1"/>
  <c r="H154" i="5" s="1"/>
  <c r="F155" i="5" s="1"/>
  <c r="G155" i="5" s="1"/>
  <c r="I92" i="6" l="1"/>
  <c r="E93" i="6" s="1"/>
  <c r="D155" i="5"/>
  <c r="H155" i="5" s="1"/>
  <c r="G93" i="6" l="1"/>
  <c r="H93" i="6" s="1"/>
  <c r="I93" i="6" s="1"/>
  <c r="F156" i="5"/>
  <c r="G156" i="5" s="1"/>
  <c r="D156" i="5"/>
  <c r="E94" i="6" l="1"/>
  <c r="G94" i="6"/>
  <c r="H94" i="6" s="1"/>
  <c r="H156" i="5"/>
  <c r="D157" i="5" s="1"/>
  <c r="I94" i="6" l="1"/>
  <c r="F157" i="5"/>
  <c r="G157" i="5" s="1"/>
  <c r="H157" i="5" s="1"/>
  <c r="D158" i="5" s="1"/>
  <c r="E95" i="6" l="1"/>
  <c r="G95" i="6"/>
  <c r="H95" i="6" s="1"/>
  <c r="F158" i="5"/>
  <c r="G158" i="5" s="1"/>
  <c r="H158" i="5" s="1"/>
  <c r="I95" i="6" l="1"/>
  <c r="F159" i="5"/>
  <c r="G159" i="5" s="1"/>
  <c r="D159" i="5"/>
  <c r="H159" i="5" l="1"/>
  <c r="F160" i="5" s="1"/>
  <c r="G160" i="5" s="1"/>
  <c r="I160" i="5" s="1"/>
  <c r="G96" i="6"/>
  <c r="H96" i="6" s="1"/>
  <c r="E96" i="6"/>
  <c r="D160" i="5"/>
  <c r="H160" i="5" s="1"/>
  <c r="I96" i="6" l="1"/>
  <c r="G97" i="6" s="1"/>
  <c r="H97" i="6" s="1"/>
  <c r="F161" i="5"/>
  <c r="G161" i="5" s="1"/>
  <c r="D161" i="5"/>
  <c r="E97" i="6" l="1"/>
  <c r="I97" i="6" s="1"/>
  <c r="G98" i="6" s="1"/>
  <c r="H98" i="6" s="1"/>
  <c r="H161" i="5"/>
  <c r="F162" i="5" s="1"/>
  <c r="G162" i="5" s="1"/>
  <c r="E98" i="6" l="1"/>
  <c r="I98" i="6" s="1"/>
  <c r="D162" i="5"/>
  <c r="H162" i="5" s="1"/>
  <c r="F163" i="5" s="1"/>
  <c r="G163" i="5" s="1"/>
  <c r="G99" i="6" l="1"/>
  <c r="H99" i="6" s="1"/>
  <c r="E99" i="6"/>
  <c r="D163" i="5"/>
  <c r="H163" i="5" s="1"/>
  <c r="F164" i="5" s="1"/>
  <c r="G164" i="5" s="1"/>
  <c r="I99" i="6" l="1"/>
  <c r="D164" i="5"/>
  <c r="H164" i="5" s="1"/>
  <c r="D165" i="5" s="1"/>
  <c r="G100" i="6" l="1"/>
  <c r="H100" i="6" s="1"/>
  <c r="J100" i="6" s="1"/>
  <c r="E100" i="6"/>
  <c r="F165" i="5"/>
  <c r="G165" i="5" s="1"/>
  <c r="H165" i="5" s="1"/>
  <c r="F166" i="5" s="1"/>
  <c r="G166" i="5" s="1"/>
  <c r="I100" i="6" l="1"/>
  <c r="E101" i="6" s="1"/>
  <c r="D166" i="5"/>
  <c r="H166" i="5" s="1"/>
  <c r="G101" i="6" l="1"/>
  <c r="H101" i="6" s="1"/>
  <c r="I101" i="6" s="1"/>
  <c r="D167" i="5"/>
  <c r="F167" i="5"/>
  <c r="G167" i="5" s="1"/>
  <c r="E102" i="6" l="1"/>
  <c r="G102" i="6"/>
  <c r="H102" i="6" s="1"/>
  <c r="H167" i="5"/>
  <c r="I102" i="6" l="1"/>
  <c r="E103" i="6"/>
  <c r="G103" i="6"/>
  <c r="H103" i="6" s="1"/>
  <c r="F168" i="5"/>
  <c r="G168" i="5" s="1"/>
  <c r="D168" i="5"/>
  <c r="I103" i="6" l="1"/>
  <c r="H168" i="5"/>
  <c r="F169" i="5" s="1"/>
  <c r="G169" i="5" s="1"/>
  <c r="G104" i="6" l="1"/>
  <c r="H104" i="6" s="1"/>
  <c r="E104" i="6"/>
  <c r="D169" i="5"/>
  <c r="H169" i="5" s="1"/>
  <c r="F170" i="5" s="1"/>
  <c r="G170" i="5" s="1"/>
  <c r="I104" i="6" l="1"/>
  <c r="E105" i="6" s="1"/>
  <c r="D170" i="5"/>
  <c r="H170" i="5" s="1"/>
  <c r="G105" i="6" l="1"/>
  <c r="H105" i="6" s="1"/>
  <c r="I105" i="6" s="1"/>
  <c r="G106" i="6" s="1"/>
  <c r="H106" i="6" s="1"/>
  <c r="D171" i="5"/>
  <c r="F171" i="5"/>
  <c r="G171" i="5" s="1"/>
  <c r="E106" i="6" l="1"/>
  <c r="I106" i="6" s="1"/>
  <c r="E107" i="6" s="1"/>
  <c r="H171" i="5"/>
  <c r="G107" i="6" l="1"/>
  <c r="H107" i="6" s="1"/>
  <c r="I107" i="6" s="1"/>
  <c r="G108" i="6" s="1"/>
  <c r="H108" i="6" s="1"/>
  <c r="D172" i="5"/>
  <c r="F172" i="5"/>
  <c r="G172" i="5" s="1"/>
  <c r="I172" i="5" s="1"/>
  <c r="E108" i="6" l="1"/>
  <c r="I108" i="6" s="1"/>
  <c r="G109" i="6" s="1"/>
  <c r="H109" i="6" s="1"/>
  <c r="H172" i="5"/>
  <c r="E109" i="6" l="1"/>
  <c r="I109" i="6" s="1"/>
  <c r="G110" i="6" s="1"/>
  <c r="H110" i="6" s="1"/>
  <c r="F173" i="5"/>
  <c r="G173" i="5" s="1"/>
  <c r="D173" i="5"/>
  <c r="E110" i="6" l="1"/>
  <c r="I110" i="6" s="1"/>
  <c r="G111" i="6" s="1"/>
  <c r="H111" i="6" s="1"/>
  <c r="H173" i="5"/>
  <c r="D174" i="5" s="1"/>
  <c r="E111" i="6" l="1"/>
  <c r="I111" i="6" s="1"/>
  <c r="G112" i="6" s="1"/>
  <c r="H112" i="6" s="1"/>
  <c r="J112" i="6" s="1"/>
  <c r="F174" i="5"/>
  <c r="G174" i="5" s="1"/>
  <c r="H174" i="5" s="1"/>
  <c r="E112" i="6" l="1"/>
  <c r="I112" i="6" s="1"/>
  <c r="D175" i="5"/>
  <c r="F175" i="5"/>
  <c r="G175" i="5" s="1"/>
  <c r="E113" i="6" l="1"/>
  <c r="G113" i="6"/>
  <c r="H113" i="6" s="1"/>
  <c r="H175" i="5"/>
  <c r="F176" i="5" s="1"/>
  <c r="G176" i="5" s="1"/>
  <c r="I113" i="6" l="1"/>
  <c r="D176" i="5"/>
  <c r="H176" i="5" s="1"/>
  <c r="G114" i="6" l="1"/>
  <c r="H114" i="6" s="1"/>
  <c r="E114" i="6"/>
  <c r="D177" i="5"/>
  <c r="F177" i="5"/>
  <c r="G177" i="5" s="1"/>
  <c r="I114" i="6" l="1"/>
  <c r="H177" i="5"/>
  <c r="D178" i="5" s="1"/>
  <c r="G115" i="6" l="1"/>
  <c r="H115" i="6" s="1"/>
  <c r="E115" i="6"/>
  <c r="F178" i="5"/>
  <c r="G178" i="5" s="1"/>
  <c r="H178" i="5" s="1"/>
  <c r="I115" i="6" l="1"/>
  <c r="E116" i="6" s="1"/>
  <c r="F179" i="5"/>
  <c r="G179" i="5" s="1"/>
  <c r="D179" i="5"/>
  <c r="G116" i="6" l="1"/>
  <c r="H116" i="6" s="1"/>
  <c r="I116" i="6" s="1"/>
  <c r="E117" i="6" s="1"/>
  <c r="H179" i="5"/>
  <c r="D180" i="5" s="1"/>
  <c r="G117" i="6" l="1"/>
  <c r="H117" i="6" s="1"/>
  <c r="F180" i="5"/>
  <c r="G180" i="5" s="1"/>
  <c r="H180" i="5" s="1"/>
  <c r="I117" i="6"/>
  <c r="G118" i="6" s="1"/>
  <c r="H118" i="6" s="1"/>
  <c r="E118" i="6" l="1"/>
  <c r="I118" i="6" s="1"/>
  <c r="F181" i="5"/>
  <c r="G181" i="5" s="1"/>
  <c r="D181" i="5"/>
  <c r="E119" i="6" l="1"/>
  <c r="G119" i="6"/>
  <c r="H119" i="6" s="1"/>
  <c r="H181" i="5"/>
  <c r="F182" i="5" s="1"/>
  <c r="G182" i="5" s="1"/>
  <c r="I119" i="6" l="1"/>
  <c r="E120" i="6" s="1"/>
  <c r="D182" i="5"/>
  <c r="H182" i="5" s="1"/>
  <c r="D183" i="5" s="1"/>
  <c r="G120" i="6" l="1"/>
  <c r="H120" i="6" s="1"/>
  <c r="I120" i="6" s="1"/>
  <c r="G121" i="6" s="1"/>
  <c r="H121" i="6" s="1"/>
  <c r="F183" i="5"/>
  <c r="G183" i="5" s="1"/>
  <c r="H183" i="5" s="1"/>
  <c r="E121" i="6" l="1"/>
  <c r="I121" i="6" s="1"/>
  <c r="D184" i="5"/>
  <c r="F184" i="5"/>
  <c r="G184" i="5" s="1"/>
  <c r="I184" i="5" s="1"/>
  <c r="E122" i="6" l="1"/>
  <c r="G122" i="6"/>
  <c r="H122" i="6" s="1"/>
  <c r="H184" i="5"/>
  <c r="I122" i="6" l="1"/>
  <c r="G123" i="6" s="1"/>
  <c r="H123" i="6" s="1"/>
  <c r="D185" i="5"/>
  <c r="F185" i="5"/>
  <c r="G185" i="5" s="1"/>
  <c r="E123" i="6" l="1"/>
  <c r="I123" i="6" s="1"/>
  <c r="E124" i="6" s="1"/>
  <c r="H185" i="5"/>
  <c r="G124" i="6" l="1"/>
  <c r="H124" i="6" s="1"/>
  <c r="J124" i="6" s="1"/>
  <c r="D186" i="5"/>
  <c r="F186" i="5"/>
  <c r="G186" i="5" s="1"/>
  <c r="I124" i="6" l="1"/>
  <c r="E125" i="6" s="1"/>
  <c r="H186" i="5"/>
  <c r="G125" i="6" l="1"/>
  <c r="H125" i="6" s="1"/>
  <c r="I125" i="6" s="1"/>
  <c r="E126" i="6" s="1"/>
  <c r="D187" i="5"/>
  <c r="F187" i="5"/>
  <c r="G187" i="5" s="1"/>
  <c r="G126" i="6" l="1"/>
  <c r="H126" i="6" s="1"/>
  <c r="I126" i="6" s="1"/>
  <c r="E127" i="6" s="1"/>
  <c r="H187" i="5"/>
  <c r="G127" i="6" l="1"/>
  <c r="H127" i="6" s="1"/>
  <c r="I127" i="6" s="1"/>
  <c r="G128" i="6" s="1"/>
  <c r="H128" i="6" s="1"/>
  <c r="D188" i="5"/>
  <c r="F188" i="5"/>
  <c r="G188" i="5" s="1"/>
  <c r="E128" i="6" l="1"/>
  <c r="I128" i="6" s="1"/>
  <c r="G129" i="6" s="1"/>
  <c r="H129" i="6" s="1"/>
  <c r="H188" i="5"/>
  <c r="E129" i="6" l="1"/>
  <c r="I129" i="6" s="1"/>
  <c r="F189" i="5"/>
  <c r="G189" i="5" s="1"/>
  <c r="D189" i="5"/>
  <c r="G130" i="6" l="1"/>
  <c r="H130" i="6" s="1"/>
  <c r="E130" i="6"/>
  <c r="H189" i="5"/>
  <c r="F190" i="5" s="1"/>
  <c r="G190" i="5" s="1"/>
  <c r="D190" i="5" l="1"/>
  <c r="H190" i="5" s="1"/>
  <c r="F191" i="5" s="1"/>
  <c r="G191" i="5" s="1"/>
  <c r="I130" i="6"/>
  <c r="E131" i="6" s="1"/>
  <c r="G131" i="6" l="1"/>
  <c r="H131" i="6" s="1"/>
  <c r="I131" i="6" s="1"/>
  <c r="D191" i="5"/>
  <c r="H191" i="5" s="1"/>
  <c r="G132" i="6" l="1"/>
  <c r="H132" i="6" s="1"/>
  <c r="E132" i="6"/>
  <c r="D192" i="5"/>
  <c r="F192" i="5"/>
  <c r="G192" i="5" s="1"/>
  <c r="I132" i="6" l="1"/>
  <c r="E133" i="6" s="1"/>
  <c r="H192" i="5"/>
  <c r="D193" i="5" s="1"/>
  <c r="F193" i="5" l="1"/>
  <c r="G193" i="5" s="1"/>
  <c r="H193" i="5" s="1"/>
  <c r="G133" i="6"/>
  <c r="H133" i="6" s="1"/>
  <c r="I133" i="6" s="1"/>
  <c r="E134" i="6" l="1"/>
  <c r="G134" i="6"/>
  <c r="H134" i="6" s="1"/>
  <c r="D194" i="5"/>
  <c r="F194" i="5"/>
  <c r="G194" i="5" s="1"/>
  <c r="H194" i="5" l="1"/>
  <c r="I134" i="6"/>
  <c r="G135" i="6" l="1"/>
  <c r="H135" i="6" s="1"/>
  <c r="E135" i="6"/>
  <c r="F195" i="5"/>
  <c r="G195" i="5" s="1"/>
  <c r="D195" i="5"/>
  <c r="I135" i="6" l="1"/>
  <c r="G136" i="6" s="1"/>
  <c r="H136" i="6" s="1"/>
  <c r="J136" i="6" s="1"/>
  <c r="H195" i="5"/>
  <c r="E136" i="6" l="1"/>
  <c r="I136" i="6" s="1"/>
  <c r="E137" i="6" s="1"/>
  <c r="F196" i="5"/>
  <c r="G196" i="5" s="1"/>
  <c r="I196" i="5" s="1"/>
  <c r="D196" i="5"/>
  <c r="G137" i="6" l="1"/>
  <c r="H137" i="6" s="1"/>
  <c r="I137" i="6" s="1"/>
  <c r="H196" i="5"/>
  <c r="F197" i="5" s="1"/>
  <c r="G197" i="5" s="1"/>
  <c r="D197" i="5" l="1"/>
  <c r="H197" i="5" s="1"/>
  <c r="G138" i="6"/>
  <c r="H138" i="6" s="1"/>
  <c r="E138" i="6"/>
  <c r="I138" i="6" l="1"/>
  <c r="E139" i="6" s="1"/>
  <c r="D198" i="5"/>
  <c r="F198" i="5"/>
  <c r="G198" i="5" s="1"/>
  <c r="G139" i="6" l="1"/>
  <c r="H139" i="6" s="1"/>
  <c r="I139" i="6" s="1"/>
  <c r="H198" i="5"/>
  <c r="F199" i="5" l="1"/>
  <c r="G199" i="5" s="1"/>
  <c r="D199" i="5"/>
  <c r="E140" i="6"/>
  <c r="G140" i="6"/>
  <c r="H140" i="6" s="1"/>
  <c r="H199" i="5" l="1"/>
  <c r="F200" i="5" s="1"/>
  <c r="G200" i="5" s="1"/>
  <c r="I140" i="6"/>
  <c r="D200" i="5" l="1"/>
  <c r="H200" i="5" s="1"/>
  <c r="F201" i="5" s="1"/>
  <c r="G201" i="5" s="1"/>
  <c r="E141" i="6"/>
  <c r="G141" i="6"/>
  <c r="H141" i="6" s="1"/>
  <c r="D201" i="5" l="1"/>
  <c r="H201" i="5" s="1"/>
  <c r="D202" i="5" s="1"/>
  <c r="I141" i="6"/>
  <c r="F202" i="5" l="1"/>
  <c r="G202" i="5" s="1"/>
  <c r="H202" i="5" s="1"/>
  <c r="D203" i="5" s="1"/>
  <c r="G142" i="6"/>
  <c r="H142" i="6" s="1"/>
  <c r="E142" i="6"/>
  <c r="F203" i="5" l="1"/>
  <c r="G203" i="5" s="1"/>
  <c r="H203" i="5" s="1"/>
  <c r="I142" i="6"/>
  <c r="E143" i="6" s="1"/>
  <c r="G143" i="6" l="1"/>
  <c r="H143" i="6" s="1"/>
  <c r="I143" i="6" s="1"/>
  <c r="D204" i="5"/>
  <c r="F204" i="5"/>
  <c r="G204" i="5" s="1"/>
  <c r="G144" i="6" l="1"/>
  <c r="H144" i="6" s="1"/>
  <c r="E144" i="6"/>
  <c r="H204" i="5"/>
  <c r="I144" i="6" l="1"/>
  <c r="G145" i="6" s="1"/>
  <c r="H145" i="6" s="1"/>
  <c r="F205" i="5"/>
  <c r="G205" i="5" s="1"/>
  <c r="D205" i="5"/>
  <c r="E145" i="6"/>
  <c r="H205" i="5" l="1"/>
  <c r="D206" i="5" s="1"/>
  <c r="I145" i="6"/>
  <c r="E146" i="6" s="1"/>
  <c r="F206" i="5" l="1"/>
  <c r="G206" i="5" s="1"/>
  <c r="H206" i="5" s="1"/>
  <c r="D207" i="5" s="1"/>
  <c r="G146" i="6"/>
  <c r="H146" i="6" s="1"/>
  <c r="I146" i="6" s="1"/>
  <c r="F207" i="5" l="1"/>
  <c r="G207" i="5" s="1"/>
  <c r="H207" i="5" s="1"/>
  <c r="E147" i="6"/>
  <c r="G147" i="6"/>
  <c r="H147" i="6" s="1"/>
  <c r="D208" i="5" l="1"/>
  <c r="F208" i="5"/>
  <c r="G208" i="5" s="1"/>
  <c r="I208" i="5" s="1"/>
  <c r="I147" i="6"/>
  <c r="G148" i="6" l="1"/>
  <c r="H148" i="6" s="1"/>
  <c r="J148" i="6" s="1"/>
  <c r="E148" i="6"/>
  <c r="H208" i="5"/>
  <c r="I148" i="6" l="1"/>
  <c r="E149" i="6" s="1"/>
  <c r="F209" i="5"/>
  <c r="G209" i="5" s="1"/>
  <c r="D209" i="5"/>
  <c r="G149" i="6" l="1"/>
  <c r="H149" i="6" s="1"/>
  <c r="I149" i="6" s="1"/>
  <c r="H209" i="5"/>
  <c r="D210" i="5" s="1"/>
  <c r="F210" i="5" l="1"/>
  <c r="G210" i="5" s="1"/>
  <c r="H210" i="5" s="1"/>
  <c r="E150" i="6"/>
  <c r="G150" i="6"/>
  <c r="H150" i="6" s="1"/>
  <c r="I150" i="6" l="1"/>
  <c r="F211" i="5"/>
  <c r="G211" i="5" s="1"/>
  <c r="D211" i="5"/>
  <c r="H211" i="5" l="1"/>
  <c r="F212" i="5" s="1"/>
  <c r="G212" i="5" s="1"/>
  <c r="G151" i="6"/>
  <c r="H151" i="6" s="1"/>
  <c r="E151" i="6"/>
  <c r="D212" i="5" l="1"/>
  <c r="H212" i="5" s="1"/>
  <c r="I151" i="6"/>
  <c r="E152" i="6" s="1"/>
  <c r="G152" i="6" l="1"/>
  <c r="H152" i="6" s="1"/>
  <c r="I152" i="6" s="1"/>
  <c r="D213" i="5"/>
  <c r="F213" i="5"/>
  <c r="G213" i="5" s="1"/>
  <c r="H213" i="5" l="1"/>
  <c r="D214" i="5" s="1"/>
  <c r="G153" i="6"/>
  <c r="H153" i="6" s="1"/>
  <c r="E153" i="6"/>
  <c r="F214" i="5" l="1"/>
  <c r="G214" i="5" s="1"/>
  <c r="H214" i="5" s="1"/>
  <c r="I153" i="6"/>
  <c r="E154" i="6" s="1"/>
  <c r="G154" i="6" l="1"/>
  <c r="H154" i="6" s="1"/>
  <c r="I154" i="6" s="1"/>
  <c r="F215" i="5"/>
  <c r="G215" i="5" s="1"/>
  <c r="D215" i="5"/>
  <c r="H215" i="5" l="1"/>
  <c r="F216" i="5" s="1"/>
  <c r="G216" i="5" s="1"/>
  <c r="G155" i="6"/>
  <c r="H155" i="6" s="1"/>
  <c r="E155" i="6"/>
  <c r="I155" i="6" l="1"/>
  <c r="E156" i="6" s="1"/>
  <c r="D216" i="5"/>
  <c r="H216" i="5" s="1"/>
  <c r="F217" i="5" s="1"/>
  <c r="G217" i="5" s="1"/>
  <c r="G156" i="6" l="1"/>
  <c r="H156" i="6" s="1"/>
  <c r="I156" i="6" s="1"/>
  <c r="D217" i="5"/>
  <c r="H217" i="5" s="1"/>
  <c r="D218" i="5" l="1"/>
  <c r="F218" i="5"/>
  <c r="G218" i="5" s="1"/>
  <c r="E157" i="6"/>
  <c r="G157" i="6"/>
  <c r="H157" i="6" s="1"/>
  <c r="H218" i="5" l="1"/>
  <c r="D219" i="5" s="1"/>
  <c r="I157" i="6"/>
  <c r="F219" i="5" l="1"/>
  <c r="G219" i="5" s="1"/>
  <c r="H219" i="5" s="1"/>
  <c r="E158" i="6"/>
  <c r="G158" i="6"/>
  <c r="H158" i="6" s="1"/>
  <c r="I158" i="6" l="1"/>
  <c r="D220" i="5"/>
  <c r="F220" i="5"/>
  <c r="G220" i="5" s="1"/>
  <c r="I220" i="5" s="1"/>
  <c r="H220" i="5" l="1"/>
  <c r="E159" i="6"/>
  <c r="G159" i="6"/>
  <c r="H159" i="6" s="1"/>
  <c r="I159" i="6" l="1"/>
  <c r="D221" i="5"/>
  <c r="F221" i="5"/>
  <c r="G221" i="5" s="1"/>
  <c r="H221" i="5" l="1"/>
  <c r="G160" i="6"/>
  <c r="H160" i="6" s="1"/>
  <c r="E160" i="6"/>
  <c r="I160" i="6" l="1"/>
  <c r="E161" i="6" s="1"/>
  <c r="D222" i="5"/>
  <c r="F222" i="5"/>
  <c r="G222" i="5" s="1"/>
  <c r="G161" i="6" l="1"/>
  <c r="H161" i="6" s="1"/>
  <c r="I161" i="6" s="1"/>
  <c r="G162" i="6" s="1"/>
  <c r="H162" i="6" s="1"/>
  <c r="H222" i="5"/>
  <c r="E162" i="6" l="1"/>
  <c r="I162" i="6" s="1"/>
  <c r="E163" i="6" s="1"/>
  <c r="F223" i="5"/>
  <c r="G223" i="5" s="1"/>
  <c r="D223" i="5"/>
  <c r="G163" i="6" l="1"/>
  <c r="H163" i="6" s="1"/>
  <c r="H223" i="5"/>
  <c r="D224" i="5" s="1"/>
  <c r="I163" i="6"/>
  <c r="F224" i="5" l="1"/>
  <c r="G224" i="5" s="1"/>
  <c r="H224" i="5" s="1"/>
  <c r="G164" i="6"/>
  <c r="H164" i="6" s="1"/>
  <c r="E164" i="6"/>
  <c r="F225" i="5" l="1"/>
  <c r="G225" i="5" s="1"/>
  <c r="D225" i="5"/>
  <c r="I164" i="6"/>
  <c r="G165" i="6" s="1"/>
  <c r="H165" i="6" s="1"/>
  <c r="H225" i="5" l="1"/>
  <c r="D226" i="5" s="1"/>
  <c r="E165" i="6"/>
  <c r="I165" i="6" s="1"/>
  <c r="F226" i="5" l="1"/>
  <c r="G226" i="5" s="1"/>
  <c r="H226" i="5" s="1"/>
  <c r="D227" i="5" s="1"/>
  <c r="G166" i="6"/>
  <c r="H166" i="6" s="1"/>
  <c r="E166" i="6"/>
  <c r="F227" i="5" l="1"/>
  <c r="G227" i="5" s="1"/>
  <c r="I166" i="6"/>
  <c r="E167" i="6" s="1"/>
  <c r="H227" i="5"/>
  <c r="G167" i="6" l="1"/>
  <c r="H167" i="6" s="1"/>
  <c r="I167" i="6" s="1"/>
  <c r="F228" i="5"/>
  <c r="G228" i="5" s="1"/>
  <c r="D228" i="5"/>
  <c r="H228" i="5" l="1"/>
  <c r="F229" i="5" s="1"/>
  <c r="G229" i="5" s="1"/>
  <c r="E168" i="6"/>
  <c r="G168" i="6"/>
  <c r="H168" i="6" s="1"/>
  <c r="D229" i="5" l="1"/>
  <c r="H229" i="5" s="1"/>
  <c r="D230" i="5" s="1"/>
  <c r="I168" i="6"/>
  <c r="F230" i="5" l="1"/>
  <c r="G230" i="5" s="1"/>
  <c r="H230" i="5" s="1"/>
  <c r="G169" i="6"/>
  <c r="H169" i="6" s="1"/>
  <c r="E169" i="6"/>
  <c r="I169" i="6" l="1"/>
  <c r="G170" i="6" s="1"/>
  <c r="H170" i="6" s="1"/>
  <c r="D231" i="5"/>
  <c r="F231" i="5"/>
  <c r="G231" i="5" s="1"/>
  <c r="E170" i="6" l="1"/>
  <c r="I170" i="6" s="1"/>
  <c r="H231" i="5"/>
  <c r="F232" i="5" l="1"/>
  <c r="G232" i="5" s="1"/>
  <c r="I232" i="5" s="1"/>
  <c r="D232" i="5"/>
  <c r="E171" i="6"/>
  <c r="G171" i="6"/>
  <c r="H171" i="6" s="1"/>
  <c r="H232" i="5" l="1"/>
  <c r="D233" i="5" s="1"/>
  <c r="I171" i="6"/>
  <c r="F233" i="5" l="1"/>
  <c r="G233" i="5" s="1"/>
  <c r="H233" i="5" s="1"/>
  <c r="G172" i="6"/>
  <c r="H172" i="6" s="1"/>
  <c r="E172" i="6"/>
  <c r="I172" i="6" l="1"/>
  <c r="E173" i="6" s="1"/>
  <c r="F234" i="5"/>
  <c r="G234" i="5" s="1"/>
  <c r="D234" i="5"/>
  <c r="G173" i="6" l="1"/>
  <c r="H173" i="6" s="1"/>
  <c r="I173" i="6" s="1"/>
  <c r="H234" i="5"/>
  <c r="D235" i="5" s="1"/>
  <c r="F235" i="5" l="1"/>
  <c r="G235" i="5" s="1"/>
  <c r="H235" i="5" s="1"/>
  <c r="F236" i="5" s="1"/>
  <c r="G236" i="5" s="1"/>
  <c r="G174" i="6"/>
  <c r="H174" i="6" s="1"/>
  <c r="E174" i="6"/>
  <c r="D236" i="5" l="1"/>
  <c r="H236" i="5" s="1"/>
  <c r="I174" i="6"/>
  <c r="G175" i="6" s="1"/>
  <c r="H175" i="6" s="1"/>
  <c r="E175" i="6" l="1"/>
  <c r="I175" i="6" s="1"/>
  <c r="F237" i="5"/>
  <c r="G237" i="5" s="1"/>
  <c r="D237" i="5"/>
  <c r="H237" i="5" l="1"/>
  <c r="D238" i="5" s="1"/>
  <c r="E176" i="6"/>
  <c r="G176" i="6"/>
  <c r="H176" i="6" s="1"/>
  <c r="F238" i="5" l="1"/>
  <c r="G238" i="5" s="1"/>
  <c r="H238" i="5" s="1"/>
  <c r="I176" i="6"/>
  <c r="F239" i="5" l="1"/>
  <c r="G239" i="5" s="1"/>
  <c r="D239" i="5"/>
  <c r="G177" i="6"/>
  <c r="H177" i="6" s="1"/>
  <c r="E177" i="6"/>
  <c r="I177" i="6" l="1"/>
  <c r="E178" i="6" s="1"/>
  <c r="H239" i="5"/>
  <c r="F240" i="5" s="1"/>
  <c r="G240" i="5" s="1"/>
  <c r="D240" i="5" l="1"/>
  <c r="H240" i="5" s="1"/>
  <c r="F241" i="5" s="1"/>
  <c r="G241" i="5" s="1"/>
  <c r="G178" i="6"/>
  <c r="H178" i="6" s="1"/>
  <c r="I178" i="6" s="1"/>
  <c r="D241" i="5" l="1"/>
  <c r="H241" i="5" s="1"/>
  <c r="G179" i="6"/>
  <c r="H179" i="6" s="1"/>
  <c r="E179" i="6"/>
  <c r="D242" i="5" l="1"/>
  <c r="F242" i="5"/>
  <c r="G242" i="5" s="1"/>
  <c r="I179" i="6"/>
  <c r="E180" i="6" s="1"/>
  <c r="H242" i="5" l="1"/>
  <c r="D243" i="5" s="1"/>
  <c r="G180" i="6"/>
  <c r="H180" i="6" s="1"/>
  <c r="I180" i="6" s="1"/>
  <c r="F243" i="5" l="1"/>
  <c r="G243" i="5" s="1"/>
  <c r="H243" i="5" s="1"/>
  <c r="F244" i="5" s="1"/>
  <c r="G244" i="5" s="1"/>
  <c r="I244" i="5" s="1"/>
  <c r="E181" i="6"/>
  <c r="G181" i="6"/>
  <c r="H181" i="6" s="1"/>
  <c r="D244" i="5" l="1"/>
  <c r="H244" i="5" s="1"/>
  <c r="F245" i="5" s="1"/>
  <c r="G245" i="5" s="1"/>
  <c r="I181" i="6"/>
  <c r="D245" i="5" l="1"/>
  <c r="H245" i="5" s="1"/>
  <c r="G182" i="6"/>
  <c r="H182" i="6" s="1"/>
  <c r="E182" i="6"/>
  <c r="F246" i="5" l="1"/>
  <c r="G246" i="5" s="1"/>
  <c r="D246" i="5"/>
  <c r="I182" i="6"/>
  <c r="G183" i="6" s="1"/>
  <c r="H183" i="6" s="1"/>
  <c r="E183" i="6" l="1"/>
  <c r="I183" i="6" s="1"/>
  <c r="E184" i="6" s="1"/>
  <c r="H246" i="5"/>
  <c r="F247" i="5" s="1"/>
  <c r="G247" i="5" s="1"/>
  <c r="D247" i="5" l="1"/>
  <c r="G184" i="6"/>
  <c r="H184" i="6" s="1"/>
  <c r="I184" i="6" s="1"/>
  <c r="H247" i="5"/>
  <c r="D248" i="5" s="1"/>
  <c r="F248" i="5" l="1"/>
  <c r="G248" i="5" s="1"/>
  <c r="H248" i="5" s="1"/>
  <c r="G185" i="6"/>
  <c r="H185" i="6" s="1"/>
  <c r="E185" i="6"/>
  <c r="I185" i="6" l="1"/>
  <c r="E186" i="6" s="1"/>
  <c r="F249" i="5"/>
  <c r="G249" i="5" s="1"/>
  <c r="D249" i="5"/>
  <c r="G186" i="6" l="1"/>
  <c r="H186" i="6" s="1"/>
  <c r="I186" i="6" s="1"/>
  <c r="H249" i="5"/>
  <c r="F250" i="5" s="1"/>
  <c r="G250" i="5" s="1"/>
  <c r="D250" i="5" l="1"/>
  <c r="H250" i="5" s="1"/>
  <c r="G187" i="6"/>
  <c r="H187" i="6" s="1"/>
  <c r="E187" i="6"/>
  <c r="I187" i="6" l="1"/>
  <c r="D251" i="5"/>
  <c r="F251" i="5"/>
  <c r="G251" i="5" s="1"/>
  <c r="H251" i="5" l="1"/>
  <c r="G188" i="6"/>
  <c r="H188" i="6" s="1"/>
  <c r="E188" i="6"/>
  <c r="I188" i="6" l="1"/>
  <c r="E189" i="6" s="1"/>
  <c r="D252" i="5"/>
  <c r="F252" i="5"/>
  <c r="G252" i="5" s="1"/>
  <c r="G189" i="6" l="1"/>
  <c r="H189" i="6" s="1"/>
  <c r="I189" i="6" s="1"/>
  <c r="H252" i="5"/>
  <c r="G190" i="6" l="1"/>
  <c r="H190" i="6" s="1"/>
  <c r="E190" i="6"/>
  <c r="D253" i="5"/>
  <c r="F253" i="5"/>
  <c r="G253" i="5" s="1"/>
  <c r="I190" i="6" l="1"/>
  <c r="G191" i="6" s="1"/>
  <c r="H191" i="6" s="1"/>
  <c r="H253" i="5"/>
  <c r="E191" i="6" l="1"/>
  <c r="I191" i="6" s="1"/>
  <c r="D254" i="5"/>
  <c r="F254" i="5"/>
  <c r="G254" i="5" s="1"/>
  <c r="H254" i="5" l="1"/>
  <c r="G192" i="6"/>
  <c r="H192" i="6" s="1"/>
  <c r="E192" i="6"/>
  <c r="I192" i="6" l="1"/>
  <c r="G193" i="6" s="1"/>
  <c r="H193" i="6" s="1"/>
  <c r="D255" i="5"/>
  <c r="F255" i="5"/>
  <c r="G255" i="5" s="1"/>
  <c r="E193" i="6" l="1"/>
  <c r="I193" i="6" s="1"/>
  <c r="H255" i="5"/>
  <c r="G194" i="6" l="1"/>
  <c r="H194" i="6" s="1"/>
  <c r="E194" i="6"/>
  <c r="F256" i="5"/>
  <c r="G256" i="5" s="1"/>
  <c r="I256" i="5" s="1"/>
  <c r="D256" i="5"/>
  <c r="I194" i="6" l="1"/>
  <c r="E195" i="6" s="1"/>
  <c r="H256" i="5"/>
  <c r="F257" i="5" s="1"/>
  <c r="G257" i="5" s="1"/>
  <c r="D257" i="5" l="1"/>
  <c r="H257" i="5" s="1"/>
  <c r="D258" i="5" s="1"/>
  <c r="G195" i="6"/>
  <c r="H195" i="6" s="1"/>
  <c r="I195" i="6" s="1"/>
  <c r="G196" i="6" s="1"/>
  <c r="H196" i="6" s="1"/>
  <c r="E196" i="6" l="1"/>
  <c r="I196" i="6" s="1"/>
  <c r="F258" i="5"/>
  <c r="G258" i="5" s="1"/>
  <c r="H258" i="5" s="1"/>
  <c r="G197" i="6" l="1"/>
  <c r="H197" i="6" s="1"/>
  <c r="E197" i="6"/>
  <c r="F259" i="5"/>
  <c r="G259" i="5" s="1"/>
  <c r="D259" i="5"/>
  <c r="I197" i="6" l="1"/>
  <c r="G198" i="6" s="1"/>
  <c r="H198" i="6" s="1"/>
  <c r="H259" i="5"/>
  <c r="E198" i="6" l="1"/>
  <c r="I198" i="6" s="1"/>
  <c r="E199" i="6" s="1"/>
  <c r="D260" i="5"/>
  <c r="F260" i="5"/>
  <c r="G260" i="5" s="1"/>
  <c r="G199" i="6" l="1"/>
  <c r="H199" i="6" s="1"/>
  <c r="I199" i="6" s="1"/>
  <c r="G200" i="6" s="1"/>
  <c r="H200" i="6" s="1"/>
  <c r="H260" i="5"/>
  <c r="E200" i="6" l="1"/>
  <c r="I200" i="6" s="1"/>
  <c r="G201" i="6" s="1"/>
  <c r="H201" i="6" s="1"/>
  <c r="D261" i="5"/>
  <c r="F261" i="5"/>
  <c r="G261" i="5" s="1"/>
  <c r="E201" i="6" l="1"/>
  <c r="I201" i="6" s="1"/>
  <c r="E202" i="6" s="1"/>
  <c r="H261" i="5"/>
  <c r="G202" i="6" l="1"/>
  <c r="H202" i="6" s="1"/>
  <c r="I202" i="6" s="1"/>
  <c r="E203" i="6" s="1"/>
  <c r="D262" i="5"/>
  <c r="F262" i="5"/>
  <c r="G262" i="5" s="1"/>
  <c r="G203" i="6" l="1"/>
  <c r="H203" i="6" s="1"/>
  <c r="I203" i="6" s="1"/>
  <c r="G204" i="6" s="1"/>
  <c r="H204" i="6" s="1"/>
  <c r="H262" i="5"/>
  <c r="F263" i="5" s="1"/>
  <c r="G263" i="5" s="1"/>
  <c r="D263" i="5" l="1"/>
  <c r="H263" i="5" s="1"/>
  <c r="E204" i="6"/>
  <c r="I204" i="6" s="1"/>
  <c r="G205" i="6" l="1"/>
  <c r="H205" i="6" s="1"/>
  <c r="E205" i="6"/>
  <c r="F264" i="5"/>
  <c r="G264" i="5" s="1"/>
  <c r="D264" i="5"/>
  <c r="I205" i="6" l="1"/>
  <c r="E206" i="6" s="1"/>
  <c r="H264" i="5"/>
  <c r="D265" i="5" s="1"/>
  <c r="G206" i="6" l="1"/>
  <c r="H206" i="6" s="1"/>
  <c r="I206" i="6" s="1"/>
  <c r="G207" i="6" s="1"/>
  <c r="H207" i="6" s="1"/>
  <c r="F265" i="5"/>
  <c r="G265" i="5" s="1"/>
  <c r="H265" i="5" s="1"/>
  <c r="E207" i="6" l="1"/>
  <c r="I207" i="6" s="1"/>
  <c r="D266" i="5"/>
  <c r="F266" i="5"/>
  <c r="G266" i="5" s="1"/>
  <c r="G208" i="6" l="1"/>
  <c r="H208" i="6" s="1"/>
  <c r="E208" i="6"/>
  <c r="H266" i="5"/>
  <c r="I208" i="6" l="1"/>
  <c r="E209" i="6" s="1"/>
  <c r="F267" i="5"/>
  <c r="G267" i="5" s="1"/>
  <c r="D267" i="5"/>
  <c r="G209" i="6" l="1"/>
  <c r="H209" i="6" s="1"/>
  <c r="I209" i="6" s="1"/>
  <c r="E210" i="6" s="1"/>
  <c r="H267" i="5"/>
  <c r="F268" i="5" s="1"/>
  <c r="G268" i="5" s="1"/>
  <c r="I268" i="5" s="1"/>
  <c r="G210" i="6" l="1"/>
  <c r="H210" i="6" s="1"/>
  <c r="I210" i="6" s="1"/>
  <c r="E211" i="6" s="1"/>
  <c r="D268" i="5"/>
  <c r="H268" i="5" s="1"/>
  <c r="F269" i="5" l="1"/>
  <c r="G269" i="5" s="1"/>
  <c r="D269" i="5"/>
  <c r="G211" i="6"/>
  <c r="H211" i="6" s="1"/>
  <c r="I211" i="6" s="1"/>
  <c r="H269" i="5" l="1"/>
  <c r="D270" i="5" s="1"/>
  <c r="E212" i="6"/>
  <c r="G212" i="6"/>
  <c r="H212" i="6" s="1"/>
  <c r="F270" i="5" l="1"/>
  <c r="G270" i="5" s="1"/>
  <c r="H270" i="5" s="1"/>
  <c r="D271" i="5" s="1"/>
  <c r="I212" i="6"/>
  <c r="F271" i="5" l="1"/>
  <c r="G271" i="5" s="1"/>
  <c r="H271" i="5" s="1"/>
  <c r="G213" i="6"/>
  <c r="H213" i="6" s="1"/>
  <c r="E213" i="6"/>
  <c r="I213" i="6" l="1"/>
  <c r="G214" i="6" s="1"/>
  <c r="H214" i="6" s="1"/>
  <c r="F272" i="5"/>
  <c r="G272" i="5" s="1"/>
  <c r="D272" i="5"/>
  <c r="E214" i="6" l="1"/>
  <c r="I214" i="6" s="1"/>
  <c r="H272" i="5"/>
  <c r="F273" i="5" s="1"/>
  <c r="G273" i="5" s="1"/>
  <c r="E215" i="6" l="1"/>
  <c r="G215" i="6"/>
  <c r="H215" i="6" s="1"/>
  <c r="D273" i="5"/>
  <c r="H273" i="5" s="1"/>
  <c r="D274" i="5" s="1"/>
  <c r="I215" i="6" l="1"/>
  <c r="E216" i="6" s="1"/>
  <c r="F274" i="5"/>
  <c r="G274" i="5" s="1"/>
  <c r="H274" i="5" s="1"/>
  <c r="G216" i="6" l="1"/>
  <c r="H216" i="6" s="1"/>
  <c r="I216" i="6" s="1"/>
  <c r="G217" i="6" s="1"/>
  <c r="H217" i="6" s="1"/>
  <c r="D275" i="5"/>
  <c r="F275" i="5"/>
  <c r="G275" i="5" s="1"/>
  <c r="E217" i="6" l="1"/>
  <c r="I217" i="6" s="1"/>
  <c r="H275" i="5"/>
  <c r="F276" i="5" l="1"/>
  <c r="G276" i="5" s="1"/>
  <c r="D276" i="5"/>
  <c r="G218" i="6"/>
  <c r="H218" i="6" s="1"/>
  <c r="E218" i="6"/>
  <c r="H276" i="5" l="1"/>
  <c r="D277" i="5" s="1"/>
  <c r="I218" i="6"/>
  <c r="F277" i="5" l="1"/>
  <c r="G277" i="5" s="1"/>
  <c r="H277" i="5" s="1"/>
  <c r="G219" i="6"/>
  <c r="H219" i="6" s="1"/>
  <c r="E219" i="6"/>
  <c r="I219" i="6" l="1"/>
  <c r="E220" i="6" s="1"/>
  <c r="F278" i="5"/>
  <c r="G278" i="5" s="1"/>
  <c r="D278" i="5"/>
  <c r="G220" i="6" l="1"/>
  <c r="H220" i="6" s="1"/>
  <c r="I220" i="6" s="1"/>
  <c r="H278" i="5"/>
  <c r="F279" i="5" s="1"/>
  <c r="G279" i="5" s="1"/>
  <c r="D279" i="5" l="1"/>
  <c r="H279" i="5" s="1"/>
  <c r="G221" i="6"/>
  <c r="H221" i="6" s="1"/>
  <c r="E221" i="6"/>
  <c r="D280" i="5" l="1"/>
  <c r="F280" i="5"/>
  <c r="G280" i="5" s="1"/>
  <c r="I280" i="5" s="1"/>
  <c r="I221" i="6"/>
  <c r="G222" i="6" s="1"/>
  <c r="H222" i="6" s="1"/>
  <c r="H280" i="5" l="1"/>
  <c r="F281" i="5" s="1"/>
  <c r="G281" i="5" s="1"/>
  <c r="E222" i="6"/>
  <c r="I222" i="6" s="1"/>
  <c r="D281" i="5" l="1"/>
  <c r="H281" i="5" s="1"/>
  <c r="F282" i="5" s="1"/>
  <c r="G282" i="5" s="1"/>
  <c r="G223" i="6"/>
  <c r="H223" i="6" s="1"/>
  <c r="E223" i="6"/>
  <c r="D282" i="5" l="1"/>
  <c r="H282" i="5" s="1"/>
  <c r="F283" i="5" s="1"/>
  <c r="G283" i="5" s="1"/>
  <c r="I223" i="6"/>
  <c r="D283" i="5" l="1"/>
  <c r="H283" i="5" s="1"/>
  <c r="G224" i="6"/>
  <c r="H224" i="6" s="1"/>
  <c r="E224" i="6"/>
  <c r="I224" i="6" l="1"/>
  <c r="F284" i="5"/>
  <c r="G284" i="5" s="1"/>
  <c r="D284" i="5"/>
  <c r="H284" i="5" l="1"/>
  <c r="F285" i="5" s="1"/>
  <c r="G285" i="5" s="1"/>
  <c r="G225" i="6"/>
  <c r="H225" i="6" s="1"/>
  <c r="E225" i="6"/>
  <c r="D285" i="5"/>
  <c r="I225" i="6" l="1"/>
  <c r="H285" i="5"/>
  <c r="D286" i="5" s="1"/>
  <c r="F286" i="5" l="1"/>
  <c r="G286" i="5" s="1"/>
  <c r="H286" i="5" s="1"/>
  <c r="D287" i="5" s="1"/>
  <c r="E226" i="6"/>
  <c r="G226" i="6"/>
  <c r="H226" i="6" s="1"/>
  <c r="F287" i="5" l="1"/>
  <c r="G287" i="5" s="1"/>
  <c r="H287" i="5" s="1"/>
  <c r="I226" i="6"/>
  <c r="E227" i="6" l="1"/>
  <c r="G227" i="6"/>
  <c r="H227" i="6" s="1"/>
  <c r="D288" i="5"/>
  <c r="F288" i="5"/>
  <c r="G288" i="5" s="1"/>
  <c r="I227" i="6" l="1"/>
  <c r="H288" i="5"/>
  <c r="G228" i="6" l="1"/>
  <c r="H228" i="6" s="1"/>
  <c r="E228" i="6"/>
  <c r="F289" i="5"/>
  <c r="G289" i="5" s="1"/>
  <c r="D289" i="5"/>
  <c r="I228" i="6" l="1"/>
  <c r="G229" i="6" s="1"/>
  <c r="H229" i="6" s="1"/>
  <c r="H289" i="5"/>
  <c r="D290" i="5" s="1"/>
  <c r="E229" i="6" l="1"/>
  <c r="I229" i="6" s="1"/>
  <c r="F290" i="5"/>
  <c r="G290" i="5" s="1"/>
  <c r="H290" i="5" s="1"/>
  <c r="E230" i="6" l="1"/>
  <c r="G230" i="6"/>
  <c r="H230" i="6" s="1"/>
  <c r="D291" i="5"/>
  <c r="F291" i="5"/>
  <c r="G291" i="5" s="1"/>
  <c r="I230" i="6" l="1"/>
  <c r="H291" i="5"/>
  <c r="D292" i="5" s="1"/>
  <c r="F292" i="5" l="1"/>
  <c r="G292" i="5" s="1"/>
  <c r="I292" i="5" s="1"/>
  <c r="E231" i="6"/>
  <c r="G231" i="6"/>
  <c r="H231" i="6" s="1"/>
  <c r="H292" i="5" l="1"/>
  <c r="F293" i="5" s="1"/>
  <c r="G293" i="5" s="1"/>
  <c r="I231" i="6"/>
  <c r="D293" i="5" l="1"/>
  <c r="H293" i="5" s="1"/>
  <c r="F294" i="5" s="1"/>
  <c r="G294" i="5" s="1"/>
  <c r="G232" i="6"/>
  <c r="H232" i="6" s="1"/>
  <c r="E232" i="6"/>
  <c r="I232" i="6" l="1"/>
  <c r="G233" i="6" s="1"/>
  <c r="H233" i="6" s="1"/>
  <c r="D294" i="5"/>
  <c r="H294" i="5" s="1"/>
  <c r="D295" i="5" s="1"/>
  <c r="E233" i="6" l="1"/>
  <c r="I233" i="6" s="1"/>
  <c r="F295" i="5"/>
  <c r="G295" i="5" s="1"/>
  <c r="H295" i="5" s="1"/>
  <c r="E234" i="6" l="1"/>
  <c r="G234" i="6"/>
  <c r="H234" i="6" s="1"/>
  <c r="D296" i="5"/>
  <c r="F296" i="5"/>
  <c r="G296" i="5" s="1"/>
  <c r="I234" i="6" l="1"/>
  <c r="G235" i="6" s="1"/>
  <c r="H235" i="6" s="1"/>
  <c r="H296" i="5"/>
  <c r="E235" i="6" l="1"/>
  <c r="I235" i="6" s="1"/>
  <c r="D297" i="5"/>
  <c r="F297" i="5"/>
  <c r="G297" i="5" s="1"/>
  <c r="G236" i="6" l="1"/>
  <c r="H236" i="6" s="1"/>
  <c r="E236" i="6"/>
  <c r="H297" i="5"/>
  <c r="I236" i="6" l="1"/>
  <c r="G237" i="6" s="1"/>
  <c r="H237" i="6" s="1"/>
  <c r="F298" i="5"/>
  <c r="G298" i="5" s="1"/>
  <c r="D298" i="5"/>
  <c r="E237" i="6" l="1"/>
  <c r="I237" i="6" s="1"/>
  <c r="H298" i="5"/>
  <c r="D299" i="5" s="1"/>
  <c r="F299" i="5" l="1"/>
  <c r="G299" i="5" s="1"/>
  <c r="H299" i="5" s="1"/>
  <c r="G238" i="6"/>
  <c r="H238" i="6" s="1"/>
  <c r="E238" i="6"/>
  <c r="I238" i="6" l="1"/>
  <c r="D300" i="5"/>
  <c r="F300" i="5"/>
  <c r="G300" i="5" s="1"/>
  <c r="G239" i="6" l="1"/>
  <c r="H239" i="6" s="1"/>
  <c r="E239" i="6"/>
  <c r="H300" i="5"/>
  <c r="I239" i="6" l="1"/>
  <c r="G240" i="6" s="1"/>
  <c r="H240" i="6" s="1"/>
  <c r="F301" i="5"/>
  <c r="G301" i="5" s="1"/>
  <c r="D301" i="5"/>
  <c r="E240" i="6" l="1"/>
  <c r="I240" i="6" s="1"/>
  <c r="G241" i="6" s="1"/>
  <c r="H241" i="6" s="1"/>
  <c r="H301" i="5"/>
  <c r="F302" i="5" s="1"/>
  <c r="G302" i="5" s="1"/>
  <c r="E241" i="6" l="1"/>
  <c r="I241" i="6" s="1"/>
  <c r="G242" i="6" s="1"/>
  <c r="H242" i="6" s="1"/>
  <c r="D302" i="5"/>
  <c r="H302" i="5" s="1"/>
  <c r="E242" i="6" l="1"/>
  <c r="I242" i="6" s="1"/>
  <c r="F303" i="5"/>
  <c r="G303" i="5" s="1"/>
  <c r="D303" i="5"/>
  <c r="G243" i="6" l="1"/>
  <c r="H243" i="6" s="1"/>
  <c r="E243" i="6"/>
  <c r="H303" i="5"/>
  <c r="F304" i="5" s="1"/>
  <c r="G304" i="5" s="1"/>
  <c r="D304" i="5" l="1"/>
  <c r="H304" i="5" s="1"/>
  <c r="D305" i="5" s="1"/>
  <c r="I243" i="6"/>
  <c r="E244" i="6" s="1"/>
  <c r="I304" i="5"/>
  <c r="G244" i="6" l="1"/>
  <c r="H244" i="6" s="1"/>
  <c r="I244" i="6" s="1"/>
  <c r="F305" i="5"/>
  <c r="G305" i="5" s="1"/>
  <c r="H305" i="5" s="1"/>
  <c r="D306" i="5" l="1"/>
  <c r="F306" i="5"/>
  <c r="G306" i="5" s="1"/>
  <c r="G245" i="6"/>
  <c r="H245" i="6" s="1"/>
  <c r="E245" i="6"/>
  <c r="I245" i="6" l="1"/>
  <c r="G246" i="6" s="1"/>
  <c r="H246" i="6" s="1"/>
  <c r="H306" i="5"/>
  <c r="E246" i="6" l="1"/>
  <c r="I246" i="6" s="1"/>
  <c r="D307" i="5"/>
  <c r="F307" i="5"/>
  <c r="G307" i="5" s="1"/>
  <c r="E247" i="6" l="1"/>
  <c r="G247" i="6"/>
  <c r="H247" i="6" s="1"/>
  <c r="H307" i="5"/>
  <c r="F308" i="5" s="1"/>
  <c r="G308" i="5" s="1"/>
  <c r="I247" i="6" l="1"/>
  <c r="G248" i="6" s="1"/>
  <c r="H248" i="6" s="1"/>
  <c r="D308" i="5"/>
  <c r="H308" i="5" s="1"/>
  <c r="E248" i="6" l="1"/>
  <c r="I248" i="6" s="1"/>
  <c r="G249" i="6" s="1"/>
  <c r="H249" i="6" s="1"/>
  <c r="D309" i="5"/>
  <c r="F309" i="5"/>
  <c r="G309" i="5" s="1"/>
  <c r="H309" i="5" l="1"/>
  <c r="D310" i="5" s="1"/>
  <c r="E249" i="6"/>
  <c r="I249" i="6" s="1"/>
  <c r="F310" i="5" l="1"/>
  <c r="G310" i="5" s="1"/>
  <c r="H310" i="5" s="1"/>
  <c r="F311" i="5" s="1"/>
  <c r="G311" i="5" s="1"/>
  <c r="E250" i="6"/>
  <c r="G250" i="6"/>
  <c r="H250" i="6" s="1"/>
  <c r="D311" i="5" l="1"/>
  <c r="H311" i="5" s="1"/>
  <c r="I250" i="6"/>
  <c r="E251" i="6" s="1"/>
  <c r="F312" i="5" l="1"/>
  <c r="G312" i="5" s="1"/>
  <c r="D312" i="5"/>
  <c r="G251" i="6"/>
  <c r="H251" i="6" s="1"/>
  <c r="I251" i="6" s="1"/>
  <c r="H312" i="5" l="1"/>
  <c r="F313" i="5" s="1"/>
  <c r="G313" i="5" s="1"/>
  <c r="G252" i="6"/>
  <c r="H252" i="6" s="1"/>
  <c r="E252" i="6"/>
  <c r="D313" i="5" l="1"/>
  <c r="H313" i="5" s="1"/>
  <c r="D314" i="5" s="1"/>
  <c r="I252" i="6"/>
  <c r="E253" i="6" s="1"/>
  <c r="F314" i="5" l="1"/>
  <c r="G314" i="5" s="1"/>
  <c r="H314" i="5" s="1"/>
  <c r="D315" i="5" s="1"/>
  <c r="G253" i="6"/>
  <c r="H253" i="6" s="1"/>
  <c r="I253" i="6" s="1"/>
  <c r="F315" i="5" l="1"/>
  <c r="G315" i="5" s="1"/>
  <c r="H315" i="5" s="1"/>
  <c r="G254" i="6"/>
  <c r="H254" i="6" s="1"/>
  <c r="E254" i="6"/>
  <c r="F316" i="5" l="1"/>
  <c r="G316" i="5" s="1"/>
  <c r="I316" i="5" s="1"/>
  <c r="D316" i="5"/>
  <c r="I254" i="6"/>
  <c r="E255" i="6" s="1"/>
  <c r="H316" i="5" l="1"/>
  <c r="D317" i="5" s="1"/>
  <c r="G255" i="6"/>
  <c r="H255" i="6" s="1"/>
  <c r="I255" i="6" s="1"/>
  <c r="F317" i="5" l="1"/>
  <c r="G317" i="5" s="1"/>
  <c r="H317" i="5" s="1"/>
  <c r="D318" i="5" s="1"/>
  <c r="E256" i="6"/>
  <c r="G256" i="6"/>
  <c r="H256" i="6" s="1"/>
  <c r="F318" i="5" l="1"/>
  <c r="G318" i="5" s="1"/>
  <c r="H318" i="5" s="1"/>
  <c r="I256" i="6"/>
  <c r="G257" i="6" l="1"/>
  <c r="H257" i="6" s="1"/>
  <c r="E257" i="6"/>
  <c r="D319" i="5"/>
  <c r="F319" i="5"/>
  <c r="G319" i="5" s="1"/>
  <c r="I257" i="6" l="1"/>
  <c r="G258" i="6" s="1"/>
  <c r="H258" i="6" s="1"/>
  <c r="H319" i="5"/>
  <c r="E258" i="6" l="1"/>
  <c r="I258" i="6" s="1"/>
  <c r="E259" i="6" s="1"/>
  <c r="F320" i="5"/>
  <c r="G320" i="5" s="1"/>
  <c r="D320" i="5"/>
  <c r="G259" i="6" l="1"/>
  <c r="H259" i="6" s="1"/>
  <c r="I259" i="6" s="1"/>
  <c r="H320" i="5"/>
  <c r="D321" i="5" s="1"/>
  <c r="F321" i="5" l="1"/>
  <c r="G321" i="5" s="1"/>
  <c r="H321" i="5" s="1"/>
  <c r="G260" i="6"/>
  <c r="H260" i="6" s="1"/>
  <c r="E260" i="6"/>
  <c r="I260" i="6" l="1"/>
  <c r="E261" i="6" s="1"/>
  <c r="D322" i="5"/>
  <c r="F322" i="5"/>
  <c r="G322" i="5" s="1"/>
  <c r="G261" i="6" l="1"/>
  <c r="H261" i="6" s="1"/>
  <c r="I261" i="6" s="1"/>
  <c r="H322" i="5"/>
  <c r="G262" i="6" l="1"/>
  <c r="H262" i="6" s="1"/>
  <c r="E262" i="6"/>
  <c r="F323" i="5"/>
  <c r="G323" i="5" s="1"/>
  <c r="D323" i="5"/>
  <c r="I262" i="6" l="1"/>
  <c r="E263" i="6" s="1"/>
  <c r="H323" i="5"/>
  <c r="G263" i="6" l="1"/>
  <c r="H263" i="6" s="1"/>
  <c r="I263" i="6" s="1"/>
  <c r="F324" i="5"/>
  <c r="G324" i="5" s="1"/>
  <c r="D324" i="5"/>
  <c r="H324" i="5" l="1"/>
  <c r="D325" i="5" s="1"/>
  <c r="G264" i="6"/>
  <c r="H264" i="6" s="1"/>
  <c r="E264" i="6"/>
  <c r="F325" i="5" l="1"/>
  <c r="G325" i="5" s="1"/>
  <c r="H325" i="5" s="1"/>
  <c r="I264" i="6"/>
  <c r="D326" i="5" l="1"/>
  <c r="F326" i="5"/>
  <c r="G326" i="5" s="1"/>
  <c r="G265" i="6"/>
  <c r="H265" i="6" s="1"/>
  <c r="E265" i="6"/>
  <c r="I265" i="6" l="1"/>
  <c r="E266" i="6" s="1"/>
  <c r="H326" i="5"/>
  <c r="G266" i="6" l="1"/>
  <c r="H266" i="6" s="1"/>
  <c r="I266" i="6" s="1"/>
  <c r="D327" i="5"/>
  <c r="F327" i="5"/>
  <c r="G327" i="5" s="1"/>
  <c r="G267" i="6" l="1"/>
  <c r="H267" i="6" s="1"/>
  <c r="E267" i="6"/>
  <c r="H327" i="5"/>
  <c r="I267" i="6" l="1"/>
  <c r="G268" i="6" s="1"/>
  <c r="H268" i="6" s="1"/>
  <c r="F328" i="5"/>
  <c r="G328" i="5" s="1"/>
  <c r="I328" i="5" s="1"/>
  <c r="D328" i="5"/>
  <c r="E268" i="6" l="1"/>
  <c r="I268" i="6" s="1"/>
  <c r="G269" i="6" s="1"/>
  <c r="H269" i="6" s="1"/>
  <c r="H328" i="5"/>
  <c r="D329" i="5" l="1"/>
  <c r="F329" i="5"/>
  <c r="G329" i="5" s="1"/>
  <c r="E269" i="6"/>
  <c r="I269" i="6" s="1"/>
  <c r="H329" i="5" l="1"/>
  <c r="E270" i="6"/>
  <c r="G270" i="6"/>
  <c r="H270" i="6" s="1"/>
  <c r="I270" i="6" l="1"/>
  <c r="F330" i="5"/>
  <c r="G330" i="5" s="1"/>
  <c r="D330" i="5"/>
  <c r="E271" i="6"/>
  <c r="G271" i="6"/>
  <c r="H271" i="6" s="1"/>
  <c r="H330" i="5" l="1"/>
  <c r="D331" i="5"/>
  <c r="F331" i="5"/>
  <c r="G331" i="5" s="1"/>
  <c r="I271" i="6"/>
  <c r="G272" i="6" s="1"/>
  <c r="H272" i="6" s="1"/>
  <c r="H331" i="5" l="1"/>
  <c r="E272" i="6"/>
  <c r="I272" i="6" s="1"/>
  <c r="G273" i="6" s="1"/>
  <c r="H273" i="6" s="1"/>
  <c r="F332" i="5" l="1"/>
  <c r="G332" i="5" s="1"/>
  <c r="D332" i="5"/>
  <c r="E273" i="6"/>
  <c r="I273" i="6" s="1"/>
  <c r="E274" i="6" s="1"/>
  <c r="H332" i="5" l="1"/>
  <c r="F333" i="5" s="1"/>
  <c r="G333" i="5" s="1"/>
  <c r="D333" i="5"/>
  <c r="G274" i="6"/>
  <c r="H274" i="6" s="1"/>
  <c r="I274" i="6" s="1"/>
  <c r="H333" i="5" l="1"/>
  <c r="D334" i="5" s="1"/>
  <c r="G275" i="6"/>
  <c r="H275" i="6" s="1"/>
  <c r="E275" i="6"/>
  <c r="F334" i="5" l="1"/>
  <c r="G334" i="5" s="1"/>
  <c r="H334" i="5" s="1"/>
  <c r="I275" i="6"/>
  <c r="G276" i="6" s="1"/>
  <c r="H276" i="6" s="1"/>
  <c r="E276" i="6" l="1"/>
  <c r="F335" i="5"/>
  <c r="G335" i="5" s="1"/>
  <c r="D335" i="5"/>
  <c r="I276" i="6"/>
  <c r="E277" i="6" s="1"/>
  <c r="H335" i="5" l="1"/>
  <c r="D336" i="5"/>
  <c r="F336" i="5"/>
  <c r="G336" i="5" s="1"/>
  <c r="G277" i="6"/>
  <c r="H277" i="6" s="1"/>
  <c r="I277" i="6" s="1"/>
  <c r="H336" i="5" l="1"/>
  <c r="D337" i="5" s="1"/>
  <c r="G278" i="6"/>
  <c r="H278" i="6" s="1"/>
  <c r="E278" i="6"/>
  <c r="F337" i="5" l="1"/>
  <c r="G337" i="5" s="1"/>
  <c r="H337" i="5" s="1"/>
  <c r="I278" i="6"/>
  <c r="E279" i="6" s="1"/>
  <c r="F338" i="5" l="1"/>
  <c r="G338" i="5" s="1"/>
  <c r="D338" i="5"/>
  <c r="G279" i="6"/>
  <c r="H279" i="6" s="1"/>
  <c r="I279" i="6" s="1"/>
  <c r="H338" i="5" l="1"/>
  <c r="F339" i="5"/>
  <c r="G339" i="5" s="1"/>
  <c r="D339" i="5"/>
  <c r="G280" i="6"/>
  <c r="H280" i="6" s="1"/>
  <c r="E280" i="6"/>
  <c r="H339" i="5" l="1"/>
  <c r="D340" i="5"/>
  <c r="F340" i="5"/>
  <c r="G340" i="5" s="1"/>
  <c r="I340" i="5" s="1"/>
  <c r="I280" i="6"/>
  <c r="E281" i="6" s="1"/>
  <c r="H340" i="5" l="1"/>
  <c r="G281" i="6"/>
  <c r="H281" i="6" s="1"/>
  <c r="I281" i="6" s="1"/>
  <c r="E282" i="6" l="1"/>
  <c r="G282" i="6"/>
  <c r="H282" i="6" s="1"/>
  <c r="I282" i="6" l="1"/>
  <c r="G283" i="6" s="1"/>
  <c r="H283" i="6" s="1"/>
  <c r="E283" i="6" l="1"/>
  <c r="I283" i="6" s="1"/>
  <c r="G284" i="6" s="1"/>
  <c r="H284" i="6" s="1"/>
  <c r="E284" i="6" l="1"/>
  <c r="I284" i="6" s="1"/>
  <c r="G285" i="6" l="1"/>
  <c r="H285" i="6" s="1"/>
  <c r="E285" i="6"/>
  <c r="I285" i="6" l="1"/>
  <c r="G286" i="6" s="1"/>
  <c r="H286" i="6" s="1"/>
  <c r="E286" i="6"/>
  <c r="I286" i="6" l="1"/>
  <c r="E287" i="6" s="1"/>
  <c r="G287" i="6" l="1"/>
  <c r="H287" i="6" s="1"/>
  <c r="I287" i="6" s="1"/>
  <c r="G288" i="6" l="1"/>
  <c r="H288" i="6" s="1"/>
  <c r="E288" i="6"/>
  <c r="I288" i="6" l="1"/>
  <c r="G289" i="6" s="1"/>
  <c r="H289" i="6" s="1"/>
  <c r="E289" i="6" l="1"/>
  <c r="I289" i="6" s="1"/>
  <c r="E290" i="6" l="1"/>
  <c r="G290" i="6"/>
  <c r="H290" i="6" s="1"/>
  <c r="I290" i="6" l="1"/>
  <c r="G291" i="6" s="1"/>
  <c r="H291" i="6" s="1"/>
  <c r="E291" i="6" l="1"/>
  <c r="I291" i="6" s="1"/>
  <c r="G292" i="6" l="1"/>
  <c r="H292" i="6" s="1"/>
  <c r="E292" i="6"/>
  <c r="I292" i="6" l="1"/>
  <c r="E293" i="6" s="1"/>
  <c r="G293" i="6" l="1"/>
  <c r="H293" i="6" s="1"/>
  <c r="I293" i="6" s="1"/>
  <c r="G294" i="6" s="1"/>
  <c r="H294" i="6" s="1"/>
  <c r="E294" i="6" l="1"/>
  <c r="I294" i="6" s="1"/>
  <c r="E295" i="6" s="1"/>
  <c r="G295" i="6" l="1"/>
  <c r="H295" i="6" s="1"/>
  <c r="I295" i="6" s="1"/>
  <c r="G296" i="6" l="1"/>
  <c r="H296" i="6" s="1"/>
  <c r="E296" i="6"/>
  <c r="I296" i="6" l="1"/>
  <c r="G297" i="6" s="1"/>
  <c r="H297" i="6" s="1"/>
  <c r="E297" i="6" l="1"/>
  <c r="I297" i="6" s="1"/>
  <c r="G298" i="6" s="1"/>
  <c r="H298" i="6" s="1"/>
  <c r="E298" i="6" l="1"/>
  <c r="I298" i="6" s="1"/>
  <c r="G299" i="6" l="1"/>
  <c r="H299" i="6" s="1"/>
  <c r="E299" i="6"/>
  <c r="I299" i="6" l="1"/>
  <c r="G300" i="6" s="1"/>
  <c r="H300" i="6" s="1"/>
  <c r="E300" i="6" l="1"/>
  <c r="I300" i="6" s="1"/>
  <c r="E301" i="6" l="1"/>
  <c r="G301" i="6"/>
  <c r="H301" i="6" s="1"/>
  <c r="I301" i="6" l="1"/>
  <c r="G302" i="6" s="1"/>
  <c r="H302" i="6" s="1"/>
  <c r="E302" i="6" l="1"/>
  <c r="I302" i="6" s="1"/>
  <c r="E303" i="6" s="1"/>
  <c r="G303" i="6" l="1"/>
  <c r="H303" i="6" s="1"/>
  <c r="I303" i="6" s="1"/>
  <c r="G304" i="6" l="1"/>
  <c r="H304" i="6" s="1"/>
  <c r="E304" i="6"/>
  <c r="I304" i="6" l="1"/>
  <c r="G305" i="6" s="1"/>
  <c r="H305" i="6" s="1"/>
  <c r="E305" i="6" l="1"/>
  <c r="I305" i="6" s="1"/>
  <c r="E306" i="6" s="1"/>
  <c r="G306" i="6" l="1"/>
  <c r="H306" i="6" s="1"/>
  <c r="I306" i="6" s="1"/>
  <c r="G307" i="6" l="1"/>
  <c r="H307" i="6" s="1"/>
  <c r="E307" i="6"/>
  <c r="I307" i="6" l="1"/>
  <c r="G308" i="6" s="1"/>
  <c r="H308" i="6" s="1"/>
  <c r="E308" i="6" l="1"/>
  <c r="I308" i="6" s="1"/>
  <c r="E309" i="6" l="1"/>
  <c r="G309" i="6"/>
  <c r="H309" i="6" s="1"/>
  <c r="I309" i="6" l="1"/>
  <c r="G310" i="6" s="1"/>
  <c r="H310" i="6" s="1"/>
  <c r="E310" i="6" l="1"/>
  <c r="I310" i="6"/>
  <c r="E311" i="6" s="1"/>
  <c r="G311" i="6" l="1"/>
  <c r="H311" i="6" s="1"/>
  <c r="I311" i="6" s="1"/>
  <c r="G312" i="6" l="1"/>
  <c r="H312" i="6" s="1"/>
  <c r="E312" i="6"/>
  <c r="I312" i="6" l="1"/>
  <c r="G313" i="6" s="1"/>
  <c r="H313" i="6" s="1"/>
  <c r="E313" i="6" l="1"/>
  <c r="I313" i="6" s="1"/>
  <c r="E314" i="6" l="1"/>
  <c r="G314" i="6"/>
  <c r="H314" i="6" s="1"/>
  <c r="I314" i="6" l="1"/>
  <c r="G315" i="6" s="1"/>
  <c r="H315" i="6" s="1"/>
  <c r="E315" i="6" l="1"/>
  <c r="I315" i="6" s="1"/>
  <c r="E316" i="6" s="1"/>
  <c r="G316" i="6" l="1"/>
  <c r="H316" i="6" s="1"/>
  <c r="I316" i="6" s="1"/>
  <c r="E317" i="6" s="1"/>
  <c r="G317" i="6" l="1"/>
  <c r="H317" i="6" s="1"/>
  <c r="I317" i="6" s="1"/>
  <c r="G318" i="6" l="1"/>
  <c r="H318" i="6" s="1"/>
  <c r="E318" i="6"/>
  <c r="I318" i="6" l="1"/>
  <c r="E319" i="6" s="1"/>
  <c r="G319" i="6" l="1"/>
  <c r="H319" i="6" s="1"/>
  <c r="I319" i="6" s="1"/>
  <c r="G320" i="6" l="1"/>
  <c r="H320" i="6" s="1"/>
  <c r="E320" i="6"/>
  <c r="I320" i="6" l="1"/>
  <c r="G321" i="6" s="1"/>
  <c r="H321" i="6" s="1"/>
  <c r="E321" i="6" l="1"/>
  <c r="I321" i="6" s="1"/>
  <c r="G322" i="6" s="1"/>
  <c r="H322" i="6" s="1"/>
  <c r="E322" i="6" l="1"/>
  <c r="I322" i="6" s="1"/>
  <c r="G323" i="6" l="1"/>
  <c r="H323" i="6" s="1"/>
  <c r="E323" i="6"/>
  <c r="I323" i="6" l="1"/>
  <c r="G324" i="6" s="1"/>
  <c r="H324" i="6" s="1"/>
  <c r="E324" i="6" l="1"/>
  <c r="I324" i="6" s="1"/>
  <c r="E325" i="6" l="1"/>
  <c r="G325" i="6"/>
  <c r="H325" i="6" s="1"/>
  <c r="I325" i="6" l="1"/>
  <c r="G326" i="6" s="1"/>
  <c r="H326" i="6" s="1"/>
  <c r="E326" i="6" l="1"/>
  <c r="I326" i="6" s="1"/>
  <c r="E327" i="6" s="1"/>
  <c r="G327" i="6" l="1"/>
  <c r="H327" i="6" s="1"/>
  <c r="I327" i="6" s="1"/>
  <c r="G328" i="6" l="1"/>
  <c r="H328" i="6" s="1"/>
  <c r="E328" i="6"/>
  <c r="I328" i="6" l="1"/>
  <c r="G329" i="6" s="1"/>
  <c r="H329" i="6" s="1"/>
  <c r="E329" i="6" l="1"/>
  <c r="I329" i="6" s="1"/>
  <c r="E330" i="6" s="1"/>
  <c r="G330" i="6" l="1"/>
  <c r="H330" i="6" s="1"/>
  <c r="I330" i="6" s="1"/>
  <c r="G331" i="6" l="1"/>
  <c r="H331" i="6" s="1"/>
  <c r="E331" i="6"/>
  <c r="I331" i="6" l="1"/>
  <c r="G332" i="6" s="1"/>
  <c r="H332" i="6" s="1"/>
  <c r="E332" i="6" l="1"/>
  <c r="I332" i="6" s="1"/>
  <c r="E333" i="6" s="1"/>
  <c r="G333" i="6" l="1"/>
  <c r="H333" i="6" s="1"/>
  <c r="I333" i="6" s="1"/>
  <c r="G334" i="6" l="1"/>
  <c r="H334" i="6" s="1"/>
  <c r="E334" i="6"/>
  <c r="I334" i="6" l="1"/>
  <c r="E335" i="6" s="1"/>
  <c r="G335" i="6"/>
  <c r="H335" i="6" s="1"/>
  <c r="I335" i="6" l="1"/>
  <c r="G336" i="6" l="1"/>
  <c r="H336" i="6" s="1"/>
  <c r="E336" i="6"/>
  <c r="I336" i="6" l="1"/>
  <c r="G337" i="6" s="1"/>
  <c r="H337" i="6" s="1"/>
  <c r="E337" i="6" l="1"/>
  <c r="I337" i="6" s="1"/>
  <c r="E338" i="6" s="1"/>
  <c r="G338" i="6" l="1"/>
  <c r="H338" i="6" s="1"/>
  <c r="I338" i="6" s="1"/>
  <c r="G339" i="6" l="1"/>
  <c r="H339" i="6" s="1"/>
  <c r="E339" i="6"/>
  <c r="I339" i="6" l="1"/>
  <c r="G340" i="6" s="1"/>
  <c r="H340" i="6" s="1"/>
  <c r="E340" i="6" l="1"/>
  <c r="I340" i="6"/>
</calcChain>
</file>

<file path=xl/sharedStrings.xml><?xml version="1.0" encoding="utf-8"?>
<sst xmlns="http://schemas.openxmlformats.org/spreadsheetml/2006/main" count="447" uniqueCount="273">
  <si>
    <t>Columbia, SC</t>
  </si>
  <si>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</si>
  <si>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</si>
  <si>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</si>
  <si>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</si>
  <si>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</si>
  <si>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</si>
  <si>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</si>
  <si>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</si>
  <si>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</si>
  <si>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</si>
  <si>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</si>
  <si>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</si>
  <si>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</si>
  <si>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</si>
  <si>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</si>
  <si>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</si>
  <si>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</si>
  <si>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</si>
  <si>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</si>
  <si>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</si>
  <si>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</si>
  <si>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</si>
  <si>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</si>
  <si>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</si>
  <si>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</si>
  <si>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</si>
  <si>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</si>
  <si>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</si>
  <si>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</si>
  <si>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</si>
  <si>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</si>
  <si>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</si>
  <si>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</si>
  <si>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</si>
  <si>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Project Return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</si>
  <si>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</si>
  <si>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</si>
  <si>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</si>
  <si>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</si>
  <si>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</si>
  <si>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</si>
  <si>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</si>
  <si>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</si>
  <si>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</si>
  <si>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</si>
  <si>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Commission/Closing Costs</t>
  </si>
  <si>
    <t>Misc. Income (Fees)</t>
  </si>
  <si>
    <t>Total Cash Equity</t>
  </si>
  <si>
    <t>Total Revenue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</si>
  <si>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</si>
  <si>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</si>
  <si>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</si>
  <si>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</si>
  <si>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</si>
  <si>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</si>
  <si>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</si>
  <si>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</si>
  <si>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</si>
  <si>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</si>
  <si>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</si>
  <si>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</si>
  <si>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</si>
  <si>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</si>
  <si>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</si>
  <si>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</si>
  <si>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</si>
  <si>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</si>
  <si>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</si>
  <si>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</si>
  <si>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</si>
  <si>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</si>
  <si>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</si>
  <si>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</si>
  <si>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</si>
  <si>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</si>
  <si>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</si>
  <si>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</si>
  <si>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</si>
  <si>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</si>
  <si>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</si>
  <si>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</si>
  <si>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</si>
  <si>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</si>
  <si>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</si>
  <si>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</si>
  <si>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</si>
  <si>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</si>
  <si>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</si>
  <si>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</si>
  <si>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</si>
  <si>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</si>
  <si>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</si>
  <si>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</si>
  <si>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</si>
  <si>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</si>
  <si>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>Insert Cost Category</t>
  </si>
  <si>
    <t>Yr 1</t>
  </si>
  <si>
    <t>Yr 2</t>
  </si>
  <si>
    <t>Sale IRR Calculation - Year 2</t>
  </si>
  <si>
    <t>Sale IRR Calculation - Year 3</t>
  </si>
  <si>
    <t>Yr 3</t>
  </si>
  <si>
    <t>Acquisition</t>
  </si>
  <si>
    <t>Year 2</t>
  </si>
  <si>
    <t>Year 3</t>
  </si>
  <si>
    <t>Year 4</t>
  </si>
  <si>
    <t>Year 5</t>
  </si>
  <si>
    <t>Year 6</t>
  </si>
  <si>
    <t>Sale IRR Calculation - Year 4</t>
  </si>
  <si>
    <t>Yr 4</t>
  </si>
  <si>
    <t>Proforma Assumptions</t>
  </si>
  <si>
    <t>Land Sale Broker Fee</t>
  </si>
  <si>
    <t>Sale Cap Rate Goal</t>
  </si>
  <si>
    <t>Interest Only Period (Months)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</si>
  <si>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</si>
  <si>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</si>
  <si>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</si>
  <si>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</si>
  <si>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</si>
  <si>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</si>
  <si>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</si>
  <si>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</si>
  <si>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</si>
  <si>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</si>
  <si>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</si>
  <si>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</si>
  <si>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</si>
  <si>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</si>
  <si>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</si>
  <si>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</si>
  <si>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</si>
  <si>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</si>
  <si>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</si>
  <si>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</si>
  <si>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</si>
  <si>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</si>
  <si>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</si>
  <si>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</si>
  <si>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</si>
  <si>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</si>
  <si>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</si>
  <si>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</si>
  <si>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</si>
  <si>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</si>
  <si>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</si>
  <si>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</si>
  <si>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</si>
  <si>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</si>
  <si>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</si>
  <si>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End of lease</t>
  </si>
  <si>
    <t>New tenant</t>
  </si>
  <si>
    <t>Renewal option executed</t>
  </si>
  <si>
    <t>Rent Change</t>
  </si>
  <si>
    <t>Unit</t>
  </si>
  <si>
    <t>BLDG %</t>
  </si>
  <si>
    <t>Avg. Rent PSF</t>
  </si>
  <si>
    <t>Annual Rent $</t>
  </si>
  <si>
    <t>Totals</t>
  </si>
  <si>
    <t>Base Rent Roll</t>
  </si>
  <si>
    <t>UPPER LEVEL</t>
  </si>
  <si>
    <t>Year 0</t>
  </si>
  <si>
    <t>Vacancy</t>
  </si>
  <si>
    <t>Expense Increases</t>
  </si>
  <si>
    <t xml:space="preserve">   Less: Vacancy Loss</t>
  </si>
  <si>
    <t>Reserves</t>
  </si>
  <si>
    <t>$0.20/sf</t>
  </si>
  <si>
    <t>Reimbursements</t>
  </si>
  <si>
    <t>Reserves ($0.20/ sf)</t>
  </si>
  <si>
    <t>Property Taxes</t>
  </si>
  <si>
    <t>Insurance</t>
  </si>
  <si>
    <t>Cam</t>
  </si>
  <si>
    <t xml:space="preserve">Management Fees </t>
  </si>
  <si>
    <t xml:space="preserve">Class B Investor Return </t>
  </si>
  <si>
    <t>Class A Investor Return</t>
  </si>
  <si>
    <t>Investor Snapshot</t>
  </si>
  <si>
    <t>70%/30% profit share</t>
  </si>
  <si>
    <t>YoY Change</t>
  </si>
  <si>
    <t>%/Yr Inc</t>
  </si>
  <si>
    <t>Tax</t>
  </si>
  <si>
    <t>Ins</t>
  </si>
  <si>
    <t>CAM</t>
  </si>
  <si>
    <t>y</t>
  </si>
  <si>
    <t>n</t>
  </si>
  <si>
    <t>Reimburse? Y/N</t>
  </si>
  <si>
    <t xml:space="preserve">Taxes </t>
  </si>
  <si>
    <t>Sitework</t>
  </si>
  <si>
    <t>Addt'l Import</t>
  </si>
  <si>
    <t>U/G Detention</t>
  </si>
  <si>
    <t>Landscaping</t>
  </si>
  <si>
    <t>Site Lighting</t>
  </si>
  <si>
    <t>Signage</t>
  </si>
  <si>
    <t>Interior Demo</t>
  </si>
  <si>
    <t>Asbestos Abatement</t>
  </si>
  <si>
    <t>Expenses</t>
  </si>
  <si>
    <t>Property Management Fee</t>
  </si>
  <si>
    <t>Annual Expense Increase</t>
  </si>
  <si>
    <t>Vacancy Rate</t>
  </si>
  <si>
    <t>Yr 5</t>
  </si>
  <si>
    <t>Yr 6</t>
  </si>
  <si>
    <t>Sale IRR Calculation - Year 5</t>
  </si>
  <si>
    <t>Sale IRR Calculation - Year 6</t>
  </si>
  <si>
    <t>Levered Cap Rate Valuation (Year 4 Sale)</t>
  </si>
  <si>
    <t>Proceeds to Class B Investor</t>
  </si>
  <si>
    <t>Proceeds to Class A Investor</t>
  </si>
  <si>
    <t>Revenue</t>
  </si>
  <si>
    <t>Developer Entry Return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</si>
  <si>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</si>
  <si>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</si>
  <si>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</si>
  <si>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</si>
  <si>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</si>
  <si>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</si>
  <si>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</si>
  <si>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</si>
  <si>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</si>
  <si>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</si>
  <si>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</si>
  <si>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</si>
  <si>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</si>
  <si>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</si>
  <si>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</si>
  <si>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</si>
  <si>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</si>
  <si>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</si>
  <si>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</si>
  <si>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</si>
  <si>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Tax Credit Syndication Value Available</t>
  </si>
  <si>
    <t>Project Return-</t>
  </si>
  <si>
    <t>ROE-</t>
  </si>
  <si>
    <t>Leasing Commissions</t>
  </si>
  <si>
    <t>Leasing Costs</t>
  </si>
  <si>
    <t>Cost</t>
  </si>
  <si>
    <t>Year 1 (2026)</t>
  </si>
  <si>
    <t>Yr 7</t>
  </si>
  <si>
    <t>Months of Construction</t>
  </si>
  <si>
    <t>Construction I/O</t>
  </si>
  <si>
    <t>Operating I/O</t>
  </si>
  <si>
    <t>Year 1 Amortizing Months</t>
  </si>
  <si>
    <t>Year 1 I/O</t>
  </si>
  <si>
    <t>Year 2 I/O</t>
  </si>
  <si>
    <t>Year 3 I/O</t>
  </si>
  <si>
    <t>Year 2 Amortizing Months</t>
  </si>
  <si>
    <t>Year 3 Amortizing Months</t>
  </si>
  <si>
    <t>IO Monthly Pmt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</si>
  <si>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</si>
  <si>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</si>
  <si>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</si>
  <si>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</si>
  <si>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</si>
  <si>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</si>
  <si>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</si>
  <si>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</si>
  <si>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</si>
  <si>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*Always enable macros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</si>
  <si>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</si>
  <si>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</si>
  <si>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</si>
  <si>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</si>
  <si>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</si>
  <si>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</si>
  <si>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</si>
  <si>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</si>
  <si>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</si>
  <si>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Sale </t>
  </si>
  <si>
    <t>Build To Suit</t>
  </si>
  <si>
    <t>B</t>
  </si>
  <si>
    <t>Leasing Commission</t>
  </si>
  <si>
    <t>Swig</t>
  </si>
  <si>
    <t>Sleep Number</t>
  </si>
  <si>
    <t>Verizon</t>
  </si>
  <si>
    <t>A Endcap</t>
  </si>
  <si>
    <t>C Endcap</t>
  </si>
  <si>
    <t>Knox Abbot 3 Tenant Bldg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</si>
</sst>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0\ &quot;SQFT&quot;"/>
    <numFmt numFmtId="177" formatCode="&quot;   Less: Closing Costs (&quot;0%&quot;)&quot;"/>
    <numFmt numFmtId="178" formatCode="0.000%"/>
  </numFmts>
  <fonts count="3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9"/>
      <name val="Aptos Narrow"/>
      <family val="2"/>
      <scheme val="minor"/>
    </font>
    <font>
      <sz val="11"/>
      <color rgb="FF242424"/>
      <name val="Inherit"/>
    </font>
  </fonts>
  <fills count="21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BBDB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461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44" fontId="0" fillId="0" borderId="8" xfId="0" applyNumberForma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44" fontId="0" fillId="0" borderId="16" xfId="2" applyFont="1" applyBorder="1" applyAlignment="1">
      <alignment horizontal="center"/>
    </xf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3" borderId="8" xfId="3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7" borderId="0" xfId="0" applyFont="1" applyFill="1" applyAlignment="1">
      <alignment horizontal="center"/>
    </xf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5" xfId="0" applyFill="1" applyBorder="1"/>
    <xf numFmtId="0" fontId="0" fillId="13" borderId="6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0" fontId="0" fillId="0" borderId="12" xfId="0" applyBorder="1"/>
    <xf numFmtId="44" fontId="20" fillId="12" borderId="41" xfId="2" applyFont="1" applyFill="1" applyBorder="1" applyAlignment="1" applyProtection="1">
      <alignment vertical="center"/>
      <protection locked="0"/>
    </xf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5" fillId="14" borderId="1" xfId="4" applyFont="1" applyFill="1" applyBorder="1" applyAlignment="1">
      <alignment horizontal="center"/>
    </xf>
    <xf numFmtId="0" fontId="25" fillId="14" borderId="3" xfId="4" applyFont="1" applyFill="1" applyBorder="1" applyAlignment="1">
      <alignment horizontal="center"/>
    </xf>
    <xf numFmtId="164" fontId="25" fillId="14" borderId="3" xfId="5" applyNumberFormat="1" applyFont="1" applyFill="1" applyBorder="1" applyAlignment="1" applyProtection="1">
      <alignment horizontal="center"/>
      <protection locked="0"/>
    </xf>
    <xf numFmtId="43" fontId="25" fillId="14" borderId="3" xfId="5" applyFont="1" applyFill="1" applyBorder="1" applyAlignment="1" applyProtection="1">
      <alignment horizontal="center"/>
      <protection locked="0"/>
    </xf>
    <xf numFmtId="44" fontId="25" fillId="14" borderId="3" xfId="6" applyFont="1" applyFill="1" applyBorder="1" applyAlignment="1">
      <alignment horizontal="center"/>
    </xf>
    <xf numFmtId="44" fontId="25" fillId="14" borderId="2" xfId="6" applyFont="1" applyFill="1" applyBorder="1" applyAlignment="1">
      <alignment horizontal="center"/>
    </xf>
    <xf numFmtId="0" fontId="26" fillId="0" borderId="0" xfId="4" applyFont="1" applyAlignment="1">
      <alignment horizontal="left"/>
    </xf>
    <xf numFmtId="164" fontId="26" fillId="0" borderId="0" xfId="5" applyNumberFormat="1" applyFont="1" applyFill="1" applyBorder="1" applyAlignment="1" applyProtection="1">
      <alignment horizontal="left"/>
      <protection locked="0"/>
    </xf>
    <xf numFmtId="43" fontId="26" fillId="0" borderId="0" xfId="5" applyFont="1" applyFill="1" applyBorder="1" applyAlignment="1" applyProtection="1">
      <alignment horizontal="left"/>
      <protection locked="0"/>
    </xf>
    <xf numFmtId="44" fontId="26" fillId="0" borderId="8" xfId="6" applyFont="1" applyFill="1" applyBorder="1" applyAlignment="1">
      <alignment horizontal="left"/>
    </xf>
    <xf numFmtId="165" fontId="25" fillId="0" borderId="25" xfId="6" applyNumberFormat="1" applyFont="1" applyFill="1" applyBorder="1" applyAlignment="1">
      <alignment horizontal="left"/>
    </xf>
    <xf numFmtId="0" fontId="25" fillId="0" borderId="46" xfId="4" applyFont="1" applyBorder="1" applyAlignment="1">
      <alignment horizontal="left"/>
    </xf>
    <xf numFmtId="0" fontId="26" fillId="0" borderId="25" xfId="4" applyFont="1" applyBorder="1" applyAlignment="1">
      <alignment horizontal="left"/>
    </xf>
    <xf numFmtId="164" fontId="26" fillId="0" borderId="25" xfId="5" applyNumberFormat="1" applyFont="1" applyFill="1" applyBorder="1" applyAlignment="1" applyProtection="1">
      <alignment horizontal="left"/>
      <protection locked="0"/>
    </xf>
    <xf numFmtId="43" fontId="26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8" fillId="15" borderId="17" xfId="0" applyNumberFormat="1" applyFont="1" applyFill="1" applyBorder="1" applyAlignment="1">
      <alignment horizontal="center"/>
    </xf>
    <xf numFmtId="166" fontId="28" fillId="15" borderId="50" xfId="0" applyNumberFormat="1" applyFont="1" applyFill="1" applyBorder="1" applyAlignment="1">
      <alignment horizontal="center"/>
    </xf>
    <xf numFmtId="166" fontId="28" fillId="15" borderId="33" xfId="0" applyNumberFormat="1" applyFont="1" applyFill="1" applyBorder="1" applyAlignment="1">
      <alignment horizontal="center"/>
    </xf>
    <xf numFmtId="166" fontId="28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165" fontId="4" fillId="0" borderId="27" xfId="2" applyNumberFormat="1" applyFont="1" applyBorder="1" applyAlignment="1">
      <alignment horizontal="center"/>
    </xf>
    <xf numFmtId="44" fontId="26" fillId="0" borderId="27" xfId="6" applyFont="1" applyFill="1" applyBorder="1" applyAlignment="1">
      <alignment horizontal="left"/>
    </xf>
    <xf numFmtId="0" fontId="25" fillId="0" borderId="7" xfId="4" applyFont="1" applyBorder="1" applyAlignment="1" applyProtection="1">
      <alignment horizontal="left"/>
      <protection locked="0"/>
    </xf>
    <xf numFmtId="0" fontId="26" fillId="12" borderId="7" xfId="4" applyFont="1" applyFill="1" applyBorder="1" applyAlignment="1" applyProtection="1">
      <alignment horizontal="left"/>
      <protection locked="0"/>
    </xf>
    <xf numFmtId="165" fontId="27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7" fontId="0" fillId="0" borderId="0" xfId="0" applyNumberFormat="1"/>
    <xf numFmtId="168" fontId="0" fillId="0" borderId="0" xfId="0" applyNumberFormat="1"/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165" fontId="1" fillId="0" borderId="0" xfId="2" applyNumberFormat="1" applyFont="1" applyFill="1" applyBorder="1" applyAlignment="1">
      <alignment horizont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44" fontId="0" fillId="16" borderId="0" xfId="0" applyNumberFormat="1" applyFill="1"/>
    <xf numFmtId="44" fontId="0" fillId="17" borderId="0" xfId="0" applyNumberFormat="1" applyFill="1"/>
    <xf numFmtId="44" fontId="0" fillId="18" borderId="0" xfId="0" applyNumberFormat="1" applyFill="1"/>
    <xf numFmtId="0" fontId="0" fillId="11" borderId="0" xfId="0" applyFill="1"/>
    <xf numFmtId="0" fontId="0" fillId="0" borderId="23" xfId="0" applyBorder="1"/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15" borderId="52" xfId="0" applyFont="1" applyFill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5" borderId="54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0" fillId="19" borderId="0" xfId="0" applyFill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0" fillId="0" borderId="57" xfId="0" applyNumberFormat="1" applyBorder="1"/>
    <xf numFmtId="44" fontId="0" fillId="0" borderId="58" xfId="0" applyNumberFormat="1" applyBorder="1"/>
    <xf numFmtId="0" fontId="0" fillId="0" borderId="46" xfId="0" applyBorder="1"/>
    <xf numFmtId="164" fontId="4" fillId="0" borderId="25" xfId="0" applyNumberFormat="1" applyFont="1" applyBorder="1" applyAlignment="1">
      <alignment horizontal="center"/>
    </xf>
    <xf numFmtId="165" fontId="4" fillId="0" borderId="11" xfId="0" applyNumberFormat="1" applyFont="1" applyBorder="1"/>
    <xf numFmtId="0" fontId="16" fillId="15" borderId="60" xfId="0" applyFont="1" applyFill="1" applyBorder="1" applyAlignment="1">
      <alignment horizontal="center"/>
    </xf>
    <xf numFmtId="0" fontId="0" fillId="15" borderId="58" xfId="0" applyFill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0" fillId="0" borderId="55" xfId="0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19" borderId="61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10" fillId="12" borderId="7" xfId="0" applyFont="1" applyFill="1" applyBorder="1" applyProtection="1">
      <protection locked="0"/>
    </xf>
    <xf numFmtId="0" fontId="10" fillId="12" borderId="0" xfId="0" applyFont="1" applyFill="1" applyProtection="1">
      <protection locked="0"/>
    </xf>
    <xf numFmtId="164" fontId="10" fillId="12" borderId="0" xfId="0" applyNumberFormat="1" applyFont="1" applyFill="1" applyAlignment="1" applyProtection="1">
      <alignment horizontal="center"/>
      <protection locked="0"/>
    </xf>
    <xf numFmtId="44" fontId="10" fillId="12" borderId="0" xfId="2" applyFont="1" applyFill="1" applyBorder="1" applyAlignment="1" applyProtection="1">
      <alignment horizontal="center"/>
      <protection locked="0"/>
    </xf>
    <xf numFmtId="44" fontId="0" fillId="0" borderId="56" xfId="0" applyNumberFormat="1" applyBorder="1"/>
    <xf numFmtId="44" fontId="0" fillId="0" borderId="0" xfId="2" applyFont="1" applyBorder="1"/>
    <xf numFmtId="167" fontId="4" fillId="0" borderId="25" xfId="3" applyNumberFormat="1" applyFont="1" applyBorder="1" applyAlignment="1">
      <alignment horizontal="center"/>
    </xf>
    <xf numFmtId="44" fontId="0" fillId="0" borderId="59" xfId="0" applyNumberFormat="1" applyBorder="1"/>
    <xf numFmtId="164" fontId="4" fillId="0" borderId="0" xfId="0" applyNumberFormat="1" applyFont="1" applyAlignment="1">
      <alignment horizontal="center"/>
    </xf>
    <xf numFmtId="178" fontId="4" fillId="0" borderId="0" xfId="3" applyNumberFormat="1" applyFont="1" applyBorder="1" applyAlignment="1">
      <alignment horizontal="center"/>
    </xf>
    <xf numFmtId="44" fontId="4" fillId="0" borderId="0" xfId="0" applyNumberFormat="1" applyFont="1"/>
    <xf numFmtId="165" fontId="4" fillId="0" borderId="0" xfId="2" applyNumberFormat="1" applyFont="1" applyBorder="1" applyAlignment="1">
      <alignment horizontal="center"/>
    </xf>
    <xf numFmtId="165" fontId="15" fillId="0" borderId="33" xfId="0" applyNumberFormat="1" applyFont="1" applyBorder="1"/>
    <xf numFmtId="9" fontId="0" fillId="0" borderId="0" xfId="0" applyNumberFormat="1" applyAlignment="1">
      <alignment horizontal="left"/>
    </xf>
    <xf numFmtId="0" fontId="0" fillId="0" borderId="62" xfId="0" applyBorder="1"/>
    <xf numFmtId="0" fontId="2" fillId="2" borderId="55" xfId="0" applyFont="1" applyFill="1" applyBorder="1" applyAlignment="1">
      <alignment horizontal="center"/>
    </xf>
    <xf numFmtId="166" fontId="2" fillId="8" borderId="63" xfId="0" applyNumberFormat="1" applyFont="1" applyFill="1" applyBorder="1"/>
    <xf numFmtId="166" fontId="2" fillId="8" borderId="33" xfId="0" applyNumberFormat="1" applyFont="1" applyFill="1" applyBorder="1"/>
    <xf numFmtId="0" fontId="30" fillId="8" borderId="57" xfId="0" applyFont="1" applyFill="1" applyBorder="1" applyAlignment="1">
      <alignment horizontal="center" wrapText="1"/>
    </xf>
    <xf numFmtId="0" fontId="0" fillId="8" borderId="57" xfId="0" applyFill="1" applyBorder="1"/>
    <xf numFmtId="0" fontId="7" fillId="8" borderId="57" xfId="0" applyFont="1" applyFill="1" applyBorder="1"/>
    <xf numFmtId="0" fontId="31" fillId="8" borderId="57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2" fillId="8" borderId="5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8" borderId="64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165" fontId="0" fillId="0" borderId="30" xfId="0" applyNumberFormat="1" applyBorder="1" applyAlignment="1">
      <alignment horizontal="center"/>
    </xf>
    <xf numFmtId="10" fontId="1" fillId="0" borderId="19" xfId="3" applyNumberFormat="1" applyFont="1" applyBorder="1"/>
    <xf numFmtId="0" fontId="0" fillId="0" borderId="21" xfId="0" applyBorder="1" applyAlignment="1">
      <alignment horizontal="center"/>
    </xf>
    <xf numFmtId="10" fontId="1" fillId="0" borderId="20" xfId="3" applyNumberFormat="1" applyFont="1" applyBorder="1"/>
    <xf numFmtId="44" fontId="0" fillId="0" borderId="0" xfId="2" applyFont="1" applyFill="1" applyBorder="1"/>
    <xf numFmtId="165" fontId="20" fillId="12" borderId="42" xfId="2" applyNumberFormat="1" applyFont="1" applyFill="1" applyBorder="1" applyAlignment="1" applyProtection="1">
      <alignment vertical="center"/>
      <protection locked="0"/>
    </xf>
    <xf numFmtId="0" fontId="9" fillId="0" borderId="65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165" fontId="0" fillId="0" borderId="10" xfId="0" applyNumberFormat="1" applyBorder="1"/>
    <xf numFmtId="0" fontId="4" fillId="0" borderId="67" xfId="0" applyFont="1" applyBorder="1"/>
    <xf numFmtId="0" fontId="4" fillId="0" borderId="54" xfId="0" applyFont="1" applyBorder="1"/>
    <xf numFmtId="165" fontId="0" fillId="0" borderId="61" xfId="0" applyNumberFormat="1" applyBorder="1"/>
    <xf numFmtId="165" fontId="0" fillId="0" borderId="51" xfId="0" applyNumberForma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6" fontId="28" fillId="15" borderId="1" xfId="0" applyNumberFormat="1" applyFont="1" applyFill="1" applyBorder="1" applyAlignment="1">
      <alignment horizontal="center"/>
    </xf>
    <xf numFmtId="166" fontId="28" fillId="15" borderId="3" xfId="0" applyNumberFormat="1" applyFont="1" applyFill="1" applyBorder="1" applyAlignment="1">
      <alignment horizontal="center"/>
    </xf>
    <xf numFmtId="166" fontId="28" fillId="15" borderId="2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165" fontId="10" fillId="12" borderId="0" xfId="2" applyNumberFormat="1" applyFont="1" applyFill="1" applyProtection="1">
      <protection locked="0"/>
    </xf>
    <xf numFmtId="165" fontId="0" fillId="0" borderId="31" xfId="0" applyNumberFormat="1" applyBorder="1"/>
    <xf numFmtId="165" fontId="4" fillId="0" borderId="0" xfId="2" applyNumberFormat="1" applyFont="1" applyBorder="1"/>
    <xf numFmtId="2" fontId="0" fillId="0" borderId="0" xfId="0" applyNumberFormat="1"/>
    <xf numFmtId="166" fontId="2" fillId="8" borderId="19" xfId="0" applyNumberFormat="1" applyFont="1" applyFill="1" applyBorder="1" applyAlignment="1">
      <alignment horizontal="left"/>
    </xf>
    <xf numFmtId="165" fontId="4" fillId="0" borderId="40" xfId="0" applyNumberFormat="1" applyFont="1" applyBorder="1"/>
    <xf numFmtId="166" fontId="2" fillId="8" borderId="38" xfId="0" applyNumberFormat="1" applyFont="1" applyFill="1" applyBorder="1" applyAlignment="1">
      <alignment horizontal="left"/>
    </xf>
    <xf numFmtId="176" fontId="0" fillId="0" borderId="0" xfId="0" applyNumberFormat="1"/>
    <xf numFmtId="0" fontId="20" fillId="12" borderId="43" xfId="3" applyNumberFormat="1" applyFont="1" applyFill="1" applyBorder="1" applyAlignment="1" applyProtection="1">
      <alignment vertical="center"/>
      <protection locked="0"/>
    </xf>
    <xf numFmtId="0" fontId="0" fillId="0" borderId="6" xfId="0" applyBorder="1"/>
    <xf numFmtId="44" fontId="0" fillId="0" borderId="12" xfId="0" applyNumberFormat="1" applyBorder="1"/>
    <xf numFmtId="0" fontId="5" fillId="10" borderId="68" xfId="0" applyFont="1" applyFill="1" applyBorder="1"/>
    <xf numFmtId="44" fontId="0" fillId="0" borderId="64" xfId="0" applyNumberFormat="1" applyBorder="1"/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5" fontId="0" fillId="0" borderId="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8" xfId="0" applyNumberFormat="1" applyBorder="1" applyProtection="1">
      <protection locked="0"/>
    </xf>
    <xf numFmtId="44" fontId="0" fillId="19" borderId="56" xfId="0" applyNumberFormat="1" applyFill="1" applyBorder="1" applyProtection="1">
      <protection locked="0"/>
    </xf>
    <xf numFmtId="44" fontId="0" fillId="19" borderId="0" xfId="0" applyNumberFormat="1" applyFill="1" applyProtection="1">
      <protection locked="0"/>
    </xf>
    <xf numFmtId="44" fontId="0" fillId="19" borderId="39" xfId="0" applyNumberFormat="1" applyFill="1" applyBorder="1" applyProtection="1">
      <protection locked="0"/>
    </xf>
    <xf numFmtId="44" fontId="0" fillId="19" borderId="7" xfId="0" applyNumberFormat="1" applyFill="1" applyBorder="1" applyProtection="1">
      <protection locked="0"/>
    </xf>
    <xf numFmtId="44" fontId="0" fillId="19" borderId="14" xfId="0" applyNumberFormat="1" applyFill="1" applyBorder="1" applyProtection="1">
      <protection locked="0"/>
    </xf>
    <xf numFmtId="44" fontId="0" fillId="19" borderId="16" xfId="0" applyNumberFormat="1" applyFill="1" applyBorder="1" applyProtection="1">
      <protection locked="0"/>
    </xf>
    <xf numFmtId="44" fontId="0" fillId="0" borderId="54" xfId="0" applyNumberFormat="1" applyBorder="1"/>
    <xf numFmtId="44" fontId="0" fillId="19" borderId="54" xfId="0" applyNumberFormat="1" applyFill="1" applyBorder="1" applyProtection="1">
      <protection locked="0"/>
    </xf>
    <xf numFmtId="0" fontId="10" fillId="12" borderId="8" xfId="0" applyFont="1" applyFill="1" applyBorder="1" applyProtection="1">
      <protection locked="0"/>
    </xf>
    <xf numFmtId="9" fontId="10" fillId="12" borderId="23" xfId="0" applyNumberFormat="1" applyFont="1" applyFill="1" applyBorder="1" applyProtection="1">
      <protection locked="0"/>
    </xf>
    <xf numFmtId="0" fontId="10" fillId="12" borderId="11" xfId="0" applyFont="1" applyFill="1" applyBorder="1" applyProtection="1">
      <protection locked="0"/>
    </xf>
    <xf numFmtId="0" fontId="10" fillId="12" borderId="13" xfId="0" applyFont="1" applyFill="1" applyBorder="1" applyProtection="1">
      <protection locked="0"/>
    </xf>
    <xf numFmtId="0" fontId="10" fillId="12" borderId="12" xfId="0" applyFont="1" applyFill="1" applyBorder="1" applyProtection="1">
      <protection locked="0"/>
    </xf>
    <xf numFmtId="9" fontId="10" fillId="12" borderId="29" xfId="0" applyNumberFormat="1" applyFont="1" applyFill="1" applyBorder="1" applyProtection="1">
      <protection locked="0"/>
    </xf>
    <xf numFmtId="165" fontId="10" fillId="12" borderId="0" xfId="2" applyNumberFormat="1" applyFont="1" applyFill="1" applyBorder="1" applyProtection="1">
      <protection locked="0"/>
    </xf>
    <xf numFmtId="165" fontId="10" fillId="12" borderId="8" xfId="2" applyNumberFormat="1" applyFont="1" applyFill="1" applyBorder="1" applyProtection="1">
      <protection locked="0"/>
    </xf>
    <xf numFmtId="165" fontId="10" fillId="12" borderId="13" xfId="2" applyNumberFormat="1" applyFont="1" applyFill="1" applyBorder="1" applyProtection="1">
      <protection locked="0"/>
    </xf>
    <xf numFmtId="165" fontId="10" fillId="12" borderId="12" xfId="2" applyNumberFormat="1" applyFont="1" applyFill="1" applyBorder="1" applyProtection="1">
      <protection locked="0"/>
    </xf>
    <xf numFmtId="0" fontId="26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2" fillId="13" borderId="4" xfId="0" applyFont="1" applyFill="1" applyBorder="1"/>
    <xf numFmtId="0" fontId="22" fillId="13" borderId="5" xfId="0" applyFont="1" applyFill="1" applyBorder="1"/>
    <xf numFmtId="164" fontId="0" fillId="0" borderId="8" xfId="1" applyNumberFormat="1" applyFont="1" applyBorder="1"/>
    <xf numFmtId="0" fontId="30" fillId="0" borderId="0" xfId="0" applyFont="1"/>
    <xf numFmtId="10" fontId="30" fillId="0" borderId="0" xfId="3" applyNumberFormat="1" applyFont="1" applyFill="1" applyBorder="1" applyAlignment="1">
      <alignment horizontal="left"/>
    </xf>
    <xf numFmtId="2" fontId="0" fillId="0" borderId="8" xfId="0" applyNumberFormat="1" applyBorder="1"/>
    <xf numFmtId="0" fontId="30" fillId="0" borderId="1" xfId="0" applyFont="1" applyBorder="1" applyAlignment="1">
      <alignment vertical="center"/>
    </xf>
    <xf numFmtId="10" fontId="30" fillId="0" borderId="2" xfId="3" applyNumberFormat="1" applyFont="1" applyFill="1" applyBorder="1" applyAlignment="1">
      <alignment horizontal="left" vertical="center"/>
    </xf>
    <xf numFmtId="0" fontId="30" fillId="0" borderId="46" xfId="0" applyFont="1" applyBorder="1" applyAlignment="1">
      <alignment vertical="center"/>
    </xf>
    <xf numFmtId="10" fontId="30" fillId="0" borderId="27" xfId="3" applyNumberFormat="1" applyFont="1" applyFill="1" applyBorder="1" applyAlignment="1">
      <alignment horizontal="left" vertical="center"/>
    </xf>
    <xf numFmtId="0" fontId="33" fillId="0" borderId="0" xfId="0" applyFont="1" applyAlignment="1">
      <alignment horizontal="left" vertical="center" wrapText="1" indent="1"/>
    </xf>
    <xf numFmtId="0" fontId="2" fillId="2" borderId="18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4" fillId="20" borderId="63" xfId="0" applyFont="1" applyFill="1" applyBorder="1" applyAlignment="1">
      <alignment horizontal="center"/>
    </xf>
    <xf numFmtId="0" fontId="4" fillId="20" borderId="49" xfId="0" applyFont="1" applyFill="1" applyBorder="1" applyAlignment="1">
      <alignment horizontal="center"/>
    </xf>
    <xf numFmtId="0" fontId="20" fillId="12" borderId="4" xfId="0" applyFont="1" applyFill="1" applyBorder="1" applyAlignment="1" applyProtection="1">
      <alignment horizontal="center"/>
      <protection locked="0"/>
    </xf>
    <xf numFmtId="0" fontId="20" fillId="12" borderId="6" xfId="0" applyFont="1" applyFill="1" applyBorder="1" applyAlignment="1" applyProtection="1">
      <alignment horizontal="center"/>
      <protection locked="0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6" fontId="20" fillId="12" borderId="14" xfId="0" applyNumberFormat="1" applyFont="1" applyFill="1" applyBorder="1" applyAlignment="1" applyProtection="1">
      <alignment horizontal="center"/>
      <protection locked="0"/>
    </xf>
    <xf numFmtId="176" fontId="20" fillId="12" borderId="15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29" fillId="13" borderId="0" xfId="0" applyFont="1" applyFill="1" applyAlignment="1">
      <alignment horizontal="center"/>
    </xf>
    <xf numFmtId="0" fontId="29" fillId="13" borderId="8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176" fontId="22" fillId="13" borderId="11" xfId="0" applyNumberFormat="1" applyFont="1" applyFill="1" applyBorder="1" applyAlignment="1">
      <alignment horizontal="center"/>
    </xf>
    <xf numFmtId="176" fontId="22" fillId="13" borderId="13" xfId="0" applyNumberFormat="1" applyFont="1" applyFill="1" applyBorder="1" applyAlignment="1">
      <alignment horizontal="center"/>
    </xf>
    <xf numFmtId="176" fontId="22" fillId="13" borderId="12" xfId="0" applyNumberFormat="1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63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6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B4C4C1"/>
      <color rgb="FFABBDBA"/>
      <color rgb="FF9BB0AD"/>
      <color rgb="FF254744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2</xdr:row>
          <xdr:rowOff>85725</xdr:rowOff>
        </xdr:from>
        <xdr:to>
          <xdr:col>19</xdr:col>
          <xdr:colOff>762000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90078</xdr:colOff>
      <xdr:row>1</xdr:row>
      <xdr:rowOff>123264</xdr:rowOff>
    </xdr:from>
    <xdr:to>
      <xdr:col>11</xdr:col>
      <xdr:colOff>44825</xdr:colOff>
      <xdr:row>2</xdr:row>
      <xdr:rowOff>11206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4813" y="403411"/>
          <a:ext cx="3092394" cy="381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35</xdr:row>
          <xdr:rowOff>28575</xdr:rowOff>
        </xdr:from>
        <xdr:to>
          <xdr:col>21</xdr:col>
          <xdr:colOff>628650</xdr:colOff>
          <xdr:row>36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35</xdr:row>
          <xdr:rowOff>209550</xdr:rowOff>
        </xdr:from>
        <xdr:to>
          <xdr:col>21</xdr:col>
          <xdr:colOff>638175</xdr:colOff>
          <xdr:row>37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36</xdr:row>
          <xdr:rowOff>200025</xdr:rowOff>
        </xdr:from>
        <xdr:to>
          <xdr:col>21</xdr:col>
          <xdr:colOff>638175</xdr:colOff>
          <xdr:row>38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9"/>
  <sheetViews>
    <sheetView showGridLines="0" tabSelected="1" zoomScale="85" zoomScaleNormal="85" workbookViewId="0">
      <selection activeCell="S12" sqref="S12:T12"/>
    </sheetView>
  </sheetViews>
  <sheetFormatPr defaultColWidth="8.85546875" defaultRowHeight="15" outlineLevelRow="1" outlineLevelCol="1"/>
  <cols>
    <col min="1" max="1" width="6.7109375" customWidth="1"/>
    <col min="2" max="2" width="3.28515625" customWidth="1"/>
    <col min="3" max="3" width="28.28515625" customWidth="1" outlineLevel="1"/>
    <col min="4" max="4" width="15.7109375" customWidth="1" outlineLevel="1"/>
    <col min="5" max="5" width="6.5703125" customWidth="1"/>
    <col min="6" max="6" width="23.85546875" customWidth="1"/>
    <col min="7" max="7" width="16.42578125" customWidth="1"/>
    <col min="8" max="8" width="3.5703125" customWidth="1"/>
    <col min="9" max="9" width="4.140625" customWidth="1"/>
    <col min="10" max="10" width="23.85546875" bestFit="1" customWidth="1"/>
    <col min="11" max="12" width="15.42578125" customWidth="1"/>
    <col min="13" max="13" width="17" bestFit="1" customWidth="1"/>
    <col min="14" max="18" width="15.42578125" customWidth="1"/>
    <col min="19" max="19" width="30.42578125" customWidth="1" outlineLevel="1"/>
    <col min="20" max="20" width="17.85546875" customWidth="1" outlineLevel="1"/>
    <col min="21" max="21" width="15.85546875" customWidth="1" outlineLevel="1"/>
    <col min="22" max="22" width="12.85546875" customWidth="1" outlineLevel="1"/>
    <col min="23" max="23" width="12.42578125" bestFit="1" customWidth="1"/>
    <col min="24" max="24" width="13.7109375" bestFit="1" customWidth="1"/>
    <col min="25" max="25" width="15" bestFit="1" customWidth="1"/>
    <col min="26" max="30" width="10" bestFit="1" customWidth="1"/>
  </cols>
  <sheetData>
    <row r="1" spans="1:21" ht="21.75" thickBot="1">
      <c r="D1" s="426"/>
      <c r="E1" s="426"/>
      <c r="F1" t="s">
        <v>253</v>
      </c>
    </row>
    <row r="2" spans="1:21" ht="39" customHeight="1" thickBot="1">
      <c r="C2" s="405"/>
      <c r="D2" s="406"/>
      <c r="E2" s="406"/>
      <c r="F2" s="406"/>
      <c r="G2" s="406"/>
      <c r="H2" s="191"/>
      <c r="I2" s="191"/>
      <c r="J2" s="191"/>
      <c r="K2" s="191"/>
      <c r="L2" s="191"/>
      <c r="M2" s="191"/>
      <c r="N2" s="191"/>
      <c r="O2" s="191"/>
      <c r="P2" s="191"/>
      <c r="Q2" s="192"/>
      <c r="S2" s="416" t="s">
        <v>121</v>
      </c>
      <c r="T2" s="417"/>
    </row>
    <row r="3" spans="1:21" ht="30.75" customHeight="1">
      <c r="A3" s="1"/>
      <c r="B3" s="1"/>
      <c r="C3" s="429" t="str">
        <f>S6</f>
        <v>Knox Abbot 3 Tenant Bldg</v>
      </c>
      <c r="D3" s="430"/>
      <c r="E3" s="430"/>
      <c r="F3" s="430"/>
      <c r="G3" s="430"/>
      <c r="H3" s="430"/>
      <c r="I3" s="430"/>
      <c r="J3" s="430"/>
      <c r="K3" s="430"/>
      <c r="L3" s="430"/>
      <c r="M3" s="430"/>
      <c r="N3" s="430"/>
      <c r="O3" s="430"/>
      <c r="P3" s="430"/>
      <c r="Q3" s="431"/>
      <c r="S3" s="7"/>
      <c r="T3" s="10"/>
    </row>
    <row r="4" spans="1:21" ht="18.75" customHeight="1" thickBot="1">
      <c r="A4" s="1"/>
      <c r="B4" s="1"/>
      <c r="C4" s="432" t="str">
        <f>S7</f>
        <v>Columbia, SC</v>
      </c>
      <c r="D4" s="433"/>
      <c r="E4" s="433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4"/>
      <c r="S4" s="7"/>
      <c r="T4" s="10"/>
    </row>
    <row r="5" spans="1:21" ht="18.75" customHeight="1" thickBot="1">
      <c r="A5" s="1"/>
      <c r="B5" s="1"/>
      <c r="C5" s="432" t="str">
        <f>S8</f>
        <v>Build To Suit</v>
      </c>
      <c r="D5" s="433"/>
      <c r="E5" s="433"/>
      <c r="F5" s="433"/>
      <c r="G5" s="433"/>
      <c r="H5" s="433"/>
      <c r="I5" s="433"/>
      <c r="J5" s="433"/>
      <c r="K5" s="433"/>
      <c r="L5" s="433"/>
      <c r="M5" s="433"/>
      <c r="N5" s="433"/>
      <c r="O5" s="433"/>
      <c r="P5" s="433"/>
      <c r="Q5" s="434"/>
      <c r="S5" s="416" t="s">
        <v>110</v>
      </c>
      <c r="T5" s="417"/>
    </row>
    <row r="6" spans="1:21" ht="19.5" customHeight="1" thickBot="1">
      <c r="C6" s="435">
        <f>S9</f>
        <v>5500</v>
      </c>
      <c r="D6" s="436"/>
      <c r="E6" s="436"/>
      <c r="F6" s="436"/>
      <c r="G6" s="436"/>
      <c r="H6" s="436"/>
      <c r="I6" s="436"/>
      <c r="J6" s="436"/>
      <c r="K6" s="436"/>
      <c r="L6" s="436"/>
      <c r="M6" s="436"/>
      <c r="N6" s="436"/>
      <c r="O6" s="436"/>
      <c r="P6" s="436"/>
      <c r="Q6" s="437"/>
      <c r="S6" s="420" t="s">
        <v>272</v>
      </c>
      <c r="T6" s="421"/>
    </row>
    <row r="7" spans="1:21" ht="19.5" thickBot="1">
      <c r="D7" s="3"/>
      <c r="E7" s="4"/>
      <c r="S7" s="422" t="s">
        <v>0</v>
      </c>
      <c r="T7" s="423"/>
    </row>
    <row r="8" spans="1:21" ht="15.75" thickBot="1">
      <c r="C8" s="427" t="s">
        <v>1</v>
      </c>
      <c r="D8" s="428"/>
      <c r="E8" s="6"/>
      <c r="F8" s="427" t="s">
        <v>145</v>
      </c>
      <c r="G8" s="428"/>
      <c r="J8" s="416" t="s">
        <v>201</v>
      </c>
      <c r="K8" s="438"/>
      <c r="L8" s="438"/>
      <c r="M8" s="438"/>
      <c r="N8" s="438"/>
      <c r="O8" s="438"/>
      <c r="P8" s="438"/>
      <c r="Q8" s="417"/>
      <c r="S8" s="422" t="s">
        <v>264</v>
      </c>
      <c r="T8" s="423"/>
    </row>
    <row r="9" spans="1:21" ht="17.100000000000001" customHeight="1">
      <c r="C9" s="7" t="str">
        <f>S11</f>
        <v>Acquisition Cost</v>
      </c>
      <c r="D9" s="167">
        <f>T11</f>
        <v>1200000</v>
      </c>
      <c r="F9" s="195" t="s">
        <v>143</v>
      </c>
      <c r="G9" s="8">
        <f>D13</f>
        <v>3055000</v>
      </c>
      <c r="J9" s="196" t="s">
        <v>33</v>
      </c>
      <c r="K9" s="37">
        <f>+L9-0.001</f>
        <v>6.2E-2</v>
      </c>
      <c r="L9" s="37">
        <f>+M9-0.001</f>
        <v>6.3E-2</v>
      </c>
      <c r="M9" s="37">
        <f>+N9-0.001</f>
        <v>6.4000000000000001E-2</v>
      </c>
      <c r="N9" s="173">
        <f>$T$30</f>
        <v>6.5000000000000002E-2</v>
      </c>
      <c r="O9" s="38">
        <f>+N9+0.001</f>
        <v>6.6000000000000003E-2</v>
      </c>
      <c r="P9" s="38">
        <f>+O9+0.001</f>
        <v>6.7000000000000004E-2</v>
      </c>
      <c r="Q9" s="39">
        <f>+P9+0.001</f>
        <v>6.8000000000000005E-2</v>
      </c>
      <c r="S9" s="424">
        <v>5500</v>
      </c>
      <c r="T9" s="425"/>
      <c r="U9" s="369"/>
    </row>
    <row r="10" spans="1:21" ht="17.100000000000001" customHeight="1">
      <c r="C10" s="7" t="s">
        <v>129</v>
      </c>
      <c r="D10" s="167">
        <f>Costs!F32</f>
        <v>1200000</v>
      </c>
      <c r="E10" s="12"/>
      <c r="F10" s="24" t="s">
        <v>144</v>
      </c>
      <c r="G10" s="19">
        <f>D27</f>
        <v>511088.67000000004</v>
      </c>
      <c r="J10" s="36" t="s">
        <v>95</v>
      </c>
      <c r="K10" s="226">
        <f t="shared" ref="K10:Q10" si="0">$G$27-K9</f>
        <v>2.5361389569278858E-2</v>
      </c>
      <c r="L10" s="226">
        <f t="shared" si="0"/>
        <v>2.4361389569278857E-2</v>
      </c>
      <c r="M10" s="226">
        <f t="shared" si="0"/>
        <v>2.3361389569278856E-2</v>
      </c>
      <c r="N10" s="258">
        <f t="shared" si="0"/>
        <v>2.2361389569278856E-2</v>
      </c>
      <c r="O10" s="227">
        <f t="shared" si="0"/>
        <v>2.1361389569278855E-2</v>
      </c>
      <c r="P10" s="227">
        <f t="shared" si="0"/>
        <v>2.0361389569278854E-2</v>
      </c>
      <c r="Q10" s="259">
        <f t="shared" si="0"/>
        <v>1.9361389569278853E-2</v>
      </c>
      <c r="S10" s="7" t="s">
        <v>118</v>
      </c>
      <c r="T10" s="199">
        <v>46023</v>
      </c>
    </row>
    <row r="11" spans="1:21" ht="17.100000000000001" customHeight="1">
      <c r="C11" s="7" t="s">
        <v>147</v>
      </c>
      <c r="D11" s="167">
        <f>Costs!F17</f>
        <v>380000</v>
      </c>
      <c r="E11" s="12"/>
      <c r="F11" s="195">
        <f>T21</f>
        <v>0.04</v>
      </c>
      <c r="G11" s="8">
        <f>D30</f>
        <v>142643.54680000001</v>
      </c>
      <c r="J11" s="36" t="s">
        <v>64</v>
      </c>
      <c r="K11" s="163">
        <f>Proforma!$I$22/K9</f>
        <v>4999032.2580645159</v>
      </c>
      <c r="L11" s="163">
        <f>Proforma!$I$22/L9</f>
        <v>4919682.5396825401</v>
      </c>
      <c r="M11" s="163">
        <f>Proforma!$I$22/M9</f>
        <v>4842812.5</v>
      </c>
      <c r="N11" s="41">
        <f>Proforma!$I$22/N9</f>
        <v>4768307.692307692</v>
      </c>
      <c r="O11" s="164">
        <f>Proforma!$I$22/O9</f>
        <v>4696060.6060606055</v>
      </c>
      <c r="P11" s="164">
        <f>Proforma!$I$22/P9</f>
        <v>4625970.1492537307</v>
      </c>
      <c r="Q11" s="42">
        <f>Proforma!$I$22/Q9</f>
        <v>4557941.176470588</v>
      </c>
      <c r="S11" s="24" t="s">
        <v>4</v>
      </c>
      <c r="T11" s="340">
        <v>1200000</v>
      </c>
    </row>
    <row r="12" spans="1:21" ht="17.100000000000001" customHeight="1" thickBot="1">
      <c r="C12" s="24" t="s">
        <v>130</v>
      </c>
      <c r="D12" s="19">
        <f>O34</f>
        <v>275000</v>
      </c>
      <c r="E12" s="12"/>
      <c r="F12" s="256" t="s">
        <v>34</v>
      </c>
      <c r="G12" s="257">
        <f>D32</f>
        <v>3708732.2168000001</v>
      </c>
      <c r="J12" s="255">
        <f>T29</f>
        <v>0.04</v>
      </c>
      <c r="K12" s="163">
        <f>K11*$J$12</f>
        <v>199961.29032258064</v>
      </c>
      <c r="L12" s="163">
        <f t="shared" ref="L12:Q12" si="1">L11*$J$12</f>
        <v>196787.3015873016</v>
      </c>
      <c r="M12" s="163">
        <f t="shared" si="1"/>
        <v>193712.5</v>
      </c>
      <c r="N12" s="41">
        <f t="shared" si="1"/>
        <v>190732.30769230769</v>
      </c>
      <c r="O12" s="164">
        <f t="shared" si="1"/>
        <v>187842.42424242423</v>
      </c>
      <c r="P12" s="164">
        <f t="shared" si="1"/>
        <v>185038.80597014923</v>
      </c>
      <c r="Q12" s="42">
        <f t="shared" si="1"/>
        <v>182317.64705882352</v>
      </c>
      <c r="S12" s="418" t="s">
        <v>18</v>
      </c>
      <c r="T12" s="419"/>
    </row>
    <row r="13" spans="1:21" ht="17.100000000000001" customHeight="1" thickBot="1">
      <c r="C13" s="29" t="s">
        <v>16</v>
      </c>
      <c r="D13" s="30">
        <f>SUM(D9:D12)</f>
        <v>3055000</v>
      </c>
      <c r="E13" s="12"/>
      <c r="J13" s="36" t="s">
        <v>66</v>
      </c>
      <c r="K13" s="163">
        <f>Proforma!F47</f>
        <v>2966985.7734400001</v>
      </c>
      <c r="L13" s="163">
        <f>Proforma!F47</f>
        <v>2966985.7734400001</v>
      </c>
      <c r="M13" s="163">
        <f>Proforma!F47</f>
        <v>2966985.7734400001</v>
      </c>
      <c r="N13" s="41">
        <f>Proforma!F47</f>
        <v>2966985.7734400001</v>
      </c>
      <c r="O13" s="164">
        <f>Proforma!F47</f>
        <v>2966985.7734400001</v>
      </c>
      <c r="P13" s="164">
        <f>Proforma!F47</f>
        <v>2966985.7734400001</v>
      </c>
      <c r="Q13" s="42">
        <f>Proforma!F47</f>
        <v>2966985.7734400001</v>
      </c>
      <c r="S13" s="36" t="s">
        <v>111</v>
      </c>
      <c r="T13" s="201">
        <v>0</v>
      </c>
    </row>
    <row r="14" spans="1:21" ht="17.100000000000001" customHeight="1">
      <c r="C14" s="427" t="s">
        <v>18</v>
      </c>
      <c r="D14" s="428"/>
      <c r="E14" s="12"/>
      <c r="F14" s="427" t="s">
        <v>3</v>
      </c>
      <c r="G14" s="428"/>
      <c r="J14" s="36" t="s">
        <v>67</v>
      </c>
      <c r="K14" s="163">
        <f>K11-K12-K13</f>
        <v>1832085.1943019354</v>
      </c>
      <c r="L14" s="163">
        <f t="shared" ref="L14:Q14" si="2">L11-L12-L13</f>
        <v>1755909.4646552387</v>
      </c>
      <c r="M14" s="163">
        <f t="shared" si="2"/>
        <v>1682114.2265599999</v>
      </c>
      <c r="N14" s="41">
        <f t="shared" si="2"/>
        <v>1610589.6111753839</v>
      </c>
      <c r="O14" s="164">
        <f t="shared" si="2"/>
        <v>1541232.4083781815</v>
      </c>
      <c r="P14" s="164">
        <f t="shared" si="2"/>
        <v>1473945.5698435814</v>
      </c>
      <c r="Q14" s="42">
        <f t="shared" si="2"/>
        <v>1408637.7559717647</v>
      </c>
      <c r="S14" s="7" t="s">
        <v>146</v>
      </c>
      <c r="T14" s="198">
        <v>20000</v>
      </c>
    </row>
    <row r="15" spans="1:21" ht="17.100000000000001" customHeight="1">
      <c r="C15" s="168">
        <f>T13</f>
        <v>0</v>
      </c>
      <c r="D15" s="169">
        <f>C15*D9</f>
        <v>0</v>
      </c>
      <c r="F15" s="9" t="s">
        <v>6</v>
      </c>
      <c r="G15" s="224">
        <f>Proforma!F9</f>
        <v>324000</v>
      </c>
      <c r="J15" s="36" t="s">
        <v>131</v>
      </c>
      <c r="K15" s="163">
        <f t="shared" ref="K15:Q15" si="3">$G$36</f>
        <v>741746.44335999992</v>
      </c>
      <c r="L15" s="163">
        <f t="shared" si="3"/>
        <v>741746.44335999992</v>
      </c>
      <c r="M15" s="163">
        <f t="shared" si="3"/>
        <v>741746.44335999992</v>
      </c>
      <c r="N15" s="41">
        <f t="shared" si="3"/>
        <v>741746.44335999992</v>
      </c>
      <c r="O15" s="164">
        <f t="shared" si="3"/>
        <v>741746.44335999992</v>
      </c>
      <c r="P15" s="164">
        <f t="shared" si="3"/>
        <v>741746.44335999992</v>
      </c>
      <c r="Q15" s="42">
        <f t="shared" si="3"/>
        <v>741746.44335999992</v>
      </c>
      <c r="S15" s="7" t="s">
        <v>25</v>
      </c>
      <c r="T15" s="198">
        <v>100000</v>
      </c>
    </row>
    <row r="16" spans="1:21" ht="17.100000000000001" customHeight="1">
      <c r="C16" s="7" t="s">
        <v>146</v>
      </c>
      <c r="D16" s="169">
        <f>T14</f>
        <v>20000</v>
      </c>
      <c r="E16" s="12"/>
      <c r="F16" s="7" t="s">
        <v>161</v>
      </c>
      <c r="G16" s="8">
        <f>-Proforma!F10</f>
        <v>0</v>
      </c>
      <c r="J16" s="228"/>
      <c r="K16" s="229"/>
      <c r="L16" s="229"/>
      <c r="M16" s="229"/>
      <c r="N16" s="230"/>
      <c r="O16" s="231"/>
      <c r="P16" s="231"/>
      <c r="Q16" s="232"/>
      <c r="S16" s="7" t="s">
        <v>27</v>
      </c>
      <c r="T16" s="198">
        <v>15000</v>
      </c>
    </row>
    <row r="17" spans="3:20" ht="15.75" customHeight="1" thickBot="1">
      <c r="C17" s="7" t="s">
        <v>25</v>
      </c>
      <c r="D17" s="169">
        <f>T15</f>
        <v>100000</v>
      </c>
      <c r="E17" s="12"/>
      <c r="F17" s="7" t="s">
        <v>166</v>
      </c>
      <c r="G17" s="19">
        <f>Proforma!F12</f>
        <v>0</v>
      </c>
      <c r="J17" s="90" t="s">
        <v>36</v>
      </c>
      <c r="K17" s="225">
        <f t="shared" ref="K17:Q17" si="4">K14-K15</f>
        <v>1090338.7509419355</v>
      </c>
      <c r="L17" s="48">
        <f t="shared" si="4"/>
        <v>1014163.0212952388</v>
      </c>
      <c r="M17" s="48">
        <f t="shared" si="4"/>
        <v>940367.78319999995</v>
      </c>
      <c r="N17" s="49">
        <f t="shared" si="4"/>
        <v>868843.16781538399</v>
      </c>
      <c r="O17" s="50">
        <f t="shared" si="4"/>
        <v>799485.9650181816</v>
      </c>
      <c r="P17" s="50">
        <f t="shared" si="4"/>
        <v>732199.12648358149</v>
      </c>
      <c r="Q17" s="51">
        <f t="shared" si="4"/>
        <v>666891.31261176476</v>
      </c>
      <c r="S17" s="7" t="s">
        <v>28</v>
      </c>
      <c r="T17" s="198">
        <v>2500</v>
      </c>
    </row>
    <row r="18" spans="3:20" ht="17.100000000000001" customHeight="1" thickBot="1">
      <c r="C18" s="7" t="s">
        <v>26</v>
      </c>
      <c r="D18" s="208">
        <v>164184.41</v>
      </c>
      <c r="E18" s="2"/>
      <c r="F18" s="7" t="s">
        <v>204</v>
      </c>
      <c r="G18" s="8">
        <f>SUM(G15:G17)</f>
        <v>324000</v>
      </c>
      <c r="J18" s="236" t="s">
        <v>61</v>
      </c>
      <c r="K18" s="262">
        <f t="shared" ref="K18" si="5">SUM(K15:K17)/K15</f>
        <v>2.4699615491283851</v>
      </c>
      <c r="L18" s="262">
        <f t="shared" ref="L18" si="6">SUM(L15:L17)/L15</f>
        <v>2.3672637467612687</v>
      </c>
      <c r="M18" s="262">
        <f t="shared" ref="M18" si="7">SUM(M15:M17)/M15</f>
        <v>2.267775250718123</v>
      </c>
      <c r="N18" s="263">
        <f t="shared" ref="N18" si="8">SUM(N15:N17)/N15</f>
        <v>2.1713479391686126</v>
      </c>
      <c r="O18" s="264">
        <f t="shared" ref="O18" si="9">SUM(O15:O17)/O15</f>
        <v>2.0778426673630284</v>
      </c>
      <c r="P18" s="264">
        <f t="shared" ref="P18" si="10">SUM(P15:P17)/P15</f>
        <v>1.9871285977008928</v>
      </c>
      <c r="Q18" s="265">
        <f t="shared" ref="Q18" si="11">SUM(Q15:Q17)/Q15</f>
        <v>1.8990825889111747</v>
      </c>
      <c r="S18" s="7" t="s">
        <v>30</v>
      </c>
      <c r="T18" s="198">
        <v>15000</v>
      </c>
    </row>
    <row r="19" spans="3:20" ht="17.100000000000001" customHeight="1" thickBot="1">
      <c r="C19" s="7" t="s">
        <v>115</v>
      </c>
      <c r="D19" s="208">
        <v>39404.26</v>
      </c>
      <c r="F19" s="172" t="s">
        <v>193</v>
      </c>
      <c r="G19" s="19">
        <f>-SUM(Proforma!F16:F21)</f>
        <v>-14060</v>
      </c>
      <c r="S19" s="267" t="s">
        <v>266</v>
      </c>
      <c r="T19" s="198">
        <v>160000</v>
      </c>
    </row>
    <row r="20" spans="3:20" ht="17.100000000000001" customHeight="1" thickBot="1">
      <c r="C20" s="7" t="s">
        <v>27</v>
      </c>
      <c r="D20" s="169">
        <f>T16</f>
        <v>15000</v>
      </c>
      <c r="E20" s="2"/>
      <c r="F20" s="7" t="s">
        <v>14</v>
      </c>
      <c r="G20" s="8">
        <f>G18+G19</f>
        <v>309940</v>
      </c>
      <c r="J20" s="416" t="s">
        <v>19</v>
      </c>
      <c r="K20" s="438"/>
      <c r="L20" s="438"/>
      <c r="M20" s="438"/>
      <c r="N20" s="438"/>
      <c r="O20" s="438"/>
      <c r="P20" s="438"/>
      <c r="Q20" s="417"/>
      <c r="S20" s="268" t="s">
        <v>96</v>
      </c>
      <c r="T20" s="200">
        <v>0</v>
      </c>
    </row>
    <row r="21" spans="3:20" ht="17.100000000000001" customHeight="1">
      <c r="C21" s="7" t="s">
        <v>28</v>
      </c>
      <c r="D21" s="169">
        <f>T17</f>
        <v>2500</v>
      </c>
      <c r="F21" s="7" t="s">
        <v>53</v>
      </c>
      <c r="G21" s="8">
        <f>-Proforma!F23</f>
        <v>-218390.57646411276</v>
      </c>
      <c r="J21" s="237" t="s">
        <v>120</v>
      </c>
      <c r="K21" s="238" t="s">
        <v>20</v>
      </c>
      <c r="L21" s="239" t="s">
        <v>122</v>
      </c>
      <c r="M21" s="239"/>
      <c r="N21" s="239" t="s">
        <v>21</v>
      </c>
      <c r="O21" s="239" t="s">
        <v>22</v>
      </c>
      <c r="P21" s="239" t="s">
        <v>23</v>
      </c>
      <c r="Q21" s="240" t="s">
        <v>24</v>
      </c>
      <c r="S21" s="45" t="s">
        <v>119</v>
      </c>
      <c r="T21" s="203">
        <v>0.04</v>
      </c>
    </row>
    <row r="22" spans="3:20" ht="23.25" customHeight="1">
      <c r="C22" s="7" t="s">
        <v>29</v>
      </c>
      <c r="D22" s="169">
        <f>Costs!N17</f>
        <v>0</v>
      </c>
      <c r="F22" s="7"/>
      <c r="G22" s="10"/>
      <c r="J22" s="337" t="str">
        <f>IF('Rent Roll'!F11=0,"",'Rent Roll'!F11)</f>
        <v>Swig</v>
      </c>
      <c r="K22" s="234">
        <f>IF('Rent Roll'!H11=0,"",'Rent Roll'!H11)</f>
        <v>1500</v>
      </c>
      <c r="L22" s="171">
        <f>IF('Rent Roll'!J11=0,"",'Rent Roll'!J11)</f>
        <v>68</v>
      </c>
      <c r="M22" s="266"/>
      <c r="N22" s="171">
        <f>IF('Rent Roll'!K11=0,"",'Rent Roll'!K11)</f>
        <v>50</v>
      </c>
      <c r="O22" s="32">
        <f>IFERROR(N22*K22," ")</f>
        <v>75000</v>
      </c>
      <c r="P22" s="75">
        <f>IFERROR(L22*K22," ")</f>
        <v>102000</v>
      </c>
      <c r="Q22" s="8">
        <f>IFERROR(P22/12," ")</f>
        <v>8500</v>
      </c>
      <c r="S22" s="418" t="s">
        <v>193</v>
      </c>
      <c r="T22" s="419"/>
    </row>
    <row r="23" spans="3:20" ht="15" customHeight="1">
      <c r="C23" s="7" t="s">
        <v>30</v>
      </c>
      <c r="D23" s="169">
        <v>10000</v>
      </c>
      <c r="F23" s="7" t="s">
        <v>15</v>
      </c>
      <c r="G23" s="8">
        <f>SUM(G20:G21)</f>
        <v>91549.423535887239</v>
      </c>
      <c r="J23" s="337" t="str">
        <f>IF('Rent Roll'!F12=0,"",'Rent Roll'!F12)</f>
        <v>Sleep Number</v>
      </c>
      <c r="K23" s="234">
        <f>IF('Rent Roll'!H12=0,"",'Rent Roll'!H12)</f>
        <v>2500</v>
      </c>
      <c r="L23" s="171">
        <f>IF('Rent Roll'!J12=0,"",'Rent Roll'!J12)</f>
        <v>48</v>
      </c>
      <c r="M23" s="266"/>
      <c r="N23" s="171">
        <f>IF('Rent Roll'!K12=0,"",'Rent Roll'!K12)</f>
        <v>50</v>
      </c>
      <c r="O23" s="32">
        <f t="shared" ref="O23:O33" si="12">IFERROR(N23*K23," ")</f>
        <v>125000</v>
      </c>
      <c r="P23" s="75">
        <f t="shared" ref="P23:P33" si="13">IFERROR(L23*K23," ")</f>
        <v>120000</v>
      </c>
      <c r="Q23" s="8">
        <f t="shared" ref="Q23:Q33" si="14">IFERROR(P23/12," ")</f>
        <v>10000</v>
      </c>
      <c r="S23" s="7" t="s">
        <v>184</v>
      </c>
      <c r="T23" s="198">
        <v>0</v>
      </c>
    </row>
    <row r="24" spans="3:20" ht="17.100000000000001" customHeight="1">
      <c r="C24" s="7" t="str">
        <f>S19</f>
        <v>Leasing Commission</v>
      </c>
      <c r="D24" s="169">
        <f>T19</f>
        <v>160000</v>
      </c>
      <c r="F24" s="7" t="s">
        <v>17</v>
      </c>
      <c r="G24" s="410">
        <f>G20/G21*-1</f>
        <v>1.4192004298817866</v>
      </c>
      <c r="J24" s="337" t="str">
        <f>IF('Rent Roll'!F13=0,"",'Rent Roll'!F13)</f>
        <v>Verizon</v>
      </c>
      <c r="K24" s="234">
        <f>IF('Rent Roll'!H13=0,"",'Rent Roll'!H13)</f>
        <v>1500</v>
      </c>
      <c r="L24" s="171">
        <f>IF('Rent Roll'!J13=0,"",'Rent Roll'!J13)</f>
        <v>68</v>
      </c>
      <c r="M24" s="266"/>
      <c r="N24" s="171">
        <f>IF('Rent Roll'!K13=0,"",'Rent Roll'!K13)</f>
        <v>50</v>
      </c>
      <c r="O24" s="32">
        <f t="shared" si="12"/>
        <v>75000</v>
      </c>
      <c r="P24" s="75">
        <f t="shared" si="13"/>
        <v>102000</v>
      </c>
      <c r="Q24" s="8">
        <f t="shared" si="14"/>
        <v>8500</v>
      </c>
      <c r="S24" s="7" t="s">
        <v>169</v>
      </c>
      <c r="T24" s="198">
        <v>0</v>
      </c>
    </row>
    <row r="25" spans="3:20" ht="20.25" customHeight="1" thickBot="1">
      <c r="C25" s="7" t="str">
        <f>S20</f>
        <v>Insert Cost Category</v>
      </c>
      <c r="D25" s="169">
        <f>T20</f>
        <v>0</v>
      </c>
      <c r="F25" s="413" t="s">
        <v>228</v>
      </c>
      <c r="G25" s="414">
        <f>G23/G36</f>
        <v>0.12342414898706101</v>
      </c>
      <c r="J25" s="337" t="str">
        <f>IF('Rent Roll'!F14=0,"",'Rent Roll'!F14)</f>
        <v/>
      </c>
      <c r="K25" s="234" t="str">
        <f>IF('Rent Roll'!H14=0,"",'Rent Roll'!H14)</f>
        <v/>
      </c>
      <c r="L25" s="171" t="str">
        <f>IF('Rent Roll'!J14=0,"",'Rent Roll'!J14)</f>
        <v/>
      </c>
      <c r="M25" s="266"/>
      <c r="N25" s="171" t="str">
        <f>IF('Rent Roll'!K14=0,"",'Rent Roll'!K14)</f>
        <v/>
      </c>
      <c r="O25" s="32" t="str">
        <f t="shared" si="12"/>
        <v xml:space="preserve"> </v>
      </c>
      <c r="P25" s="75" t="str">
        <f t="shared" si="13"/>
        <v xml:space="preserve"> </v>
      </c>
      <c r="Q25" s="8" t="str">
        <f t="shared" si="14"/>
        <v xml:space="preserve"> </v>
      </c>
      <c r="S25" s="7" t="s">
        <v>180</v>
      </c>
      <c r="T25" s="198">
        <v>0</v>
      </c>
    </row>
    <row r="26" spans="3:20" ht="17.100000000000001" customHeight="1" thickBot="1">
      <c r="C26" s="24"/>
      <c r="D26" s="170"/>
      <c r="F26" s="408"/>
      <c r="G26" s="409"/>
      <c r="J26" s="337" t="str">
        <f>IF('Rent Roll'!F15=0,"",'Rent Roll'!F15)</f>
        <v/>
      </c>
      <c r="K26" s="234" t="str">
        <f>IF('Rent Roll'!H15=0,"",'Rent Roll'!H15)</f>
        <v/>
      </c>
      <c r="L26" s="171" t="str">
        <f>IF('Rent Roll'!J15=0,"",'Rent Roll'!J15)</f>
        <v/>
      </c>
      <c r="M26" s="266"/>
      <c r="N26" s="171" t="str">
        <f>IF('Rent Roll'!K15=0,"",'Rent Roll'!K15)</f>
        <v/>
      </c>
      <c r="O26" s="32" t="str">
        <f t="shared" si="12"/>
        <v xml:space="preserve"> </v>
      </c>
      <c r="P26" s="75" t="str">
        <f t="shared" si="13"/>
        <v xml:space="preserve"> </v>
      </c>
      <c r="Q26" s="8" t="str">
        <f t="shared" si="14"/>
        <v xml:space="preserve"> </v>
      </c>
      <c r="S26" s="7" t="s">
        <v>195</v>
      </c>
      <c r="T26" s="202">
        <v>0</v>
      </c>
    </row>
    <row r="27" spans="3:20" ht="17.100000000000001" customHeight="1" thickBot="1">
      <c r="C27" s="29" t="s">
        <v>31</v>
      </c>
      <c r="D27" s="30">
        <f>SUM(D15:D26)</f>
        <v>511088.67000000004</v>
      </c>
      <c r="F27" s="411" t="s">
        <v>227</v>
      </c>
      <c r="G27" s="412">
        <f>G29/D32</f>
        <v>8.7361389569278858E-2</v>
      </c>
      <c r="J27" s="337" t="str">
        <f>IF('Rent Roll'!F16=0,"",'Rent Roll'!F16)</f>
        <v/>
      </c>
      <c r="K27" s="234" t="str">
        <f>IF('Rent Roll'!H16=0,"",'Rent Roll'!H16)</f>
        <v/>
      </c>
      <c r="L27" s="171" t="str">
        <f>IF('Rent Roll'!J16=0,"",'Rent Roll'!J16)</f>
        <v/>
      </c>
      <c r="M27" s="266"/>
      <c r="N27" s="171" t="str">
        <f>IF('Rent Roll'!K16=0,"",'Rent Roll'!K16)</f>
        <v/>
      </c>
      <c r="O27" s="32" t="str">
        <f t="shared" si="12"/>
        <v xml:space="preserve"> </v>
      </c>
      <c r="P27" s="75" t="str">
        <f t="shared" si="13"/>
        <v xml:space="preserve"> </v>
      </c>
      <c r="Q27" s="8" t="str">
        <f t="shared" si="14"/>
        <v xml:space="preserve"> </v>
      </c>
      <c r="S27" s="7" t="s">
        <v>194</v>
      </c>
      <c r="T27" s="202">
        <v>0.04</v>
      </c>
    </row>
    <row r="28" spans="3:20">
      <c r="C28" s="7"/>
      <c r="D28" s="10"/>
      <c r="F28" s="7" t="s">
        <v>37</v>
      </c>
      <c r="G28" s="407">
        <f>K34</f>
        <v>5500</v>
      </c>
      <c r="H28" s="14"/>
      <c r="J28" s="337" t="str">
        <f>IF('Rent Roll'!F17=0,"",'Rent Roll'!F17)</f>
        <v/>
      </c>
      <c r="K28" s="234" t="str">
        <f>IF('Rent Roll'!H17=0,"",'Rent Roll'!H17)</f>
        <v/>
      </c>
      <c r="L28" s="171" t="str">
        <f>IF('Rent Roll'!J17=0,"",'Rent Roll'!J17)</f>
        <v/>
      </c>
      <c r="M28" s="266"/>
      <c r="N28" s="171" t="str">
        <f>IF('Rent Roll'!K17=0,"",'Rent Roll'!K17)</f>
        <v/>
      </c>
      <c r="O28" s="32" t="str">
        <f t="shared" si="12"/>
        <v xml:space="preserve"> </v>
      </c>
      <c r="P28" s="75" t="str">
        <f t="shared" si="13"/>
        <v xml:space="preserve"> </v>
      </c>
      <c r="Q28" s="8" t="str">
        <f t="shared" si="14"/>
        <v xml:space="preserve"> </v>
      </c>
      <c r="S28" s="418" t="s">
        <v>263</v>
      </c>
      <c r="T28" s="419"/>
    </row>
    <row r="29" spans="3:20" ht="17.100000000000001" customHeight="1" thickBot="1">
      <c r="C29" s="7" t="s">
        <v>32</v>
      </c>
      <c r="D29" s="8">
        <f>D27+D13</f>
        <v>3566088.67</v>
      </c>
      <c r="F29" s="7" t="s">
        <v>38</v>
      </c>
      <c r="G29" s="15">
        <f>P34</f>
        <v>324000</v>
      </c>
      <c r="H29" s="14"/>
      <c r="J29" s="337" t="str">
        <f>IF('Rent Roll'!F18=0,"",'Rent Roll'!F18)</f>
        <v/>
      </c>
      <c r="K29" s="234" t="str">
        <f>IF('Rent Roll'!H18=0,"",'Rent Roll'!H18)</f>
        <v/>
      </c>
      <c r="L29" s="171" t="str">
        <f>IF('Rent Roll'!J18=0,"",'Rent Roll'!J18)</f>
        <v/>
      </c>
      <c r="M29" s="266"/>
      <c r="N29" s="171" t="str">
        <f>IF('Rent Roll'!K18=0,"",'Rent Roll'!K18)</f>
        <v/>
      </c>
      <c r="O29" s="32" t="str">
        <f t="shared" si="12"/>
        <v xml:space="preserve"> </v>
      </c>
      <c r="P29" s="75" t="str">
        <f t="shared" si="13"/>
        <v xml:space="preserve"> </v>
      </c>
      <c r="Q29" s="8" t="str">
        <f t="shared" si="14"/>
        <v xml:space="preserve"> </v>
      </c>
      <c r="S29" s="7" t="s">
        <v>27</v>
      </c>
      <c r="T29" s="202">
        <v>0.04</v>
      </c>
    </row>
    <row r="30" spans="3:20" ht="17.100000000000001" customHeight="1" thickBot="1">
      <c r="C30" s="195">
        <f>T21</f>
        <v>0.04</v>
      </c>
      <c r="D30" s="8">
        <f>D29*C30</f>
        <v>142643.54680000001</v>
      </c>
      <c r="F30" s="155" t="s">
        <v>94</v>
      </c>
      <c r="G30" s="156">
        <f>G27</f>
        <v>8.7361389569278858E-2</v>
      </c>
      <c r="H30" s="107"/>
      <c r="J30" s="337" t="str">
        <f>IF('Rent Roll'!F19=0,"",'Rent Roll'!F19)</f>
        <v/>
      </c>
      <c r="K30" s="234" t="str">
        <f>IF('Rent Roll'!H19=0,"",'Rent Roll'!H19)</f>
        <v/>
      </c>
      <c r="L30" s="171" t="str">
        <f>IF('Rent Roll'!J19=0,"",'Rent Roll'!J19)</f>
        <v/>
      </c>
      <c r="M30" s="266"/>
      <c r="N30" s="171" t="str">
        <f>IF('Rent Roll'!K19=0,"",'Rent Roll'!K19)</f>
        <v/>
      </c>
      <c r="O30" s="32" t="str">
        <f t="shared" si="12"/>
        <v xml:space="preserve"> </v>
      </c>
      <c r="P30" s="75" t="str">
        <f t="shared" si="13"/>
        <v xml:space="preserve"> </v>
      </c>
      <c r="Q30" s="8" t="str">
        <f t="shared" si="14"/>
        <v xml:space="preserve"> </v>
      </c>
      <c r="S30" s="24" t="s">
        <v>112</v>
      </c>
      <c r="T30" s="205">
        <v>6.5000000000000002E-2</v>
      </c>
    </row>
    <row r="31" spans="3:20" ht="17.100000000000001" customHeight="1" thickBot="1">
      <c r="C31" s="24"/>
      <c r="D31" s="161"/>
      <c r="H31" s="14"/>
      <c r="J31" s="337" t="str">
        <f>IF('Rent Roll'!F20=0,"",'Rent Roll'!F20)</f>
        <v/>
      </c>
      <c r="K31" s="234" t="str">
        <f>IF('Rent Roll'!H20=0,"",'Rent Roll'!H20)</f>
        <v/>
      </c>
      <c r="L31" s="171" t="str">
        <f>IF('Rent Roll'!J20=0,"",'Rent Roll'!J20)</f>
        <v/>
      </c>
      <c r="M31" s="266"/>
      <c r="N31" s="171" t="str">
        <f>IF('Rent Roll'!K20=0,"",'Rent Roll'!K20)</f>
        <v/>
      </c>
      <c r="O31" s="32" t="str">
        <f t="shared" si="12"/>
        <v xml:space="preserve"> </v>
      </c>
      <c r="P31" s="75" t="str">
        <f t="shared" si="13"/>
        <v xml:space="preserve"> </v>
      </c>
      <c r="Q31" s="8" t="str">
        <f t="shared" si="14"/>
        <v xml:space="preserve"> </v>
      </c>
      <c r="S31" s="7" t="s">
        <v>196</v>
      </c>
      <c r="T31" s="202">
        <v>0</v>
      </c>
    </row>
    <row r="32" spans="3:20" ht="17.100000000000001" customHeight="1" thickBot="1">
      <c r="C32" s="43" t="s">
        <v>34</v>
      </c>
      <c r="D32" s="44">
        <f>D29+D30</f>
        <v>3708732.2168000001</v>
      </c>
      <c r="F32" s="427" t="s">
        <v>117</v>
      </c>
      <c r="G32" s="428"/>
      <c r="H32" s="97"/>
      <c r="J32" s="337" t="str">
        <f>IF('Rent Roll'!F21=0,"",'Rent Roll'!F21)</f>
        <v/>
      </c>
      <c r="K32" s="234" t="str">
        <f>IF('Rent Roll'!H21=0,"",'Rent Roll'!H21)</f>
        <v/>
      </c>
      <c r="L32" s="171" t="str">
        <f>IF('Rent Roll'!J21=0,"",'Rent Roll'!J21)</f>
        <v/>
      </c>
      <c r="M32" s="266"/>
      <c r="N32" s="171" t="str">
        <f>IF('Rent Roll'!K21=0,"",'Rent Roll'!K21)</f>
        <v/>
      </c>
      <c r="O32" s="32" t="str">
        <f t="shared" si="12"/>
        <v xml:space="preserve"> </v>
      </c>
      <c r="P32" s="75" t="str">
        <f t="shared" si="13"/>
        <v xml:space="preserve"> </v>
      </c>
      <c r="Q32" s="8" t="str">
        <f t="shared" si="14"/>
        <v xml:space="preserve"> </v>
      </c>
      <c r="S32" s="418" t="s">
        <v>2</v>
      </c>
      <c r="T32" s="419"/>
    </row>
    <row r="33" spans="4:30" ht="17.100000000000001" customHeight="1">
      <c r="D33" s="2"/>
      <c r="E33" s="31"/>
      <c r="F33" s="7" t="s">
        <v>5</v>
      </c>
      <c r="G33" s="8">
        <f>D32</f>
        <v>3708732.2168000001</v>
      </c>
      <c r="H33" s="2"/>
      <c r="J33" s="337" t="str">
        <f>IF('Rent Roll'!F22=0,"",'Rent Roll'!F22)</f>
        <v/>
      </c>
      <c r="K33" s="234" t="str">
        <f>IF('Rent Roll'!H22=0,"",'Rent Roll'!H22)</f>
        <v/>
      </c>
      <c r="L33" s="171" t="str">
        <f>IF('Rent Roll'!J22=0,"",'Rent Roll'!J22)</f>
        <v/>
      </c>
      <c r="M33" s="34"/>
      <c r="N33" s="171" t="str">
        <f>IF('Rent Roll'!K22=0,"",'Rent Roll'!K22)</f>
        <v/>
      </c>
      <c r="O33" s="32" t="str">
        <f t="shared" si="12"/>
        <v xml:space="preserve"> </v>
      </c>
      <c r="P33" s="75" t="str">
        <f t="shared" si="13"/>
        <v xml:space="preserve"> </v>
      </c>
      <c r="Q33" s="8" t="str">
        <f t="shared" si="14"/>
        <v xml:space="preserve"> </v>
      </c>
      <c r="S33" s="7" t="s">
        <v>142</v>
      </c>
      <c r="T33" s="206">
        <v>6.25E-2</v>
      </c>
    </row>
    <row r="34" spans="4:30" ht="17.100000000000001" customHeight="1" thickBot="1">
      <c r="E34" s="31"/>
      <c r="F34" s="7" t="s">
        <v>7</v>
      </c>
      <c r="G34" s="159">
        <f>Financing!F6</f>
        <v>0.8</v>
      </c>
      <c r="J34" s="123"/>
      <c r="K34" s="241">
        <f>SUM(K22:K33)</f>
        <v>5500</v>
      </c>
      <c r="L34" s="242"/>
      <c r="M34" s="242"/>
      <c r="N34" s="242"/>
      <c r="O34" s="243">
        <f>SUM(O22:O33)</f>
        <v>275000</v>
      </c>
      <c r="P34" s="243">
        <f>SUM(P22:P33)</f>
        <v>324000</v>
      </c>
      <c r="Q34" s="244">
        <f>SUM(Q22:Q33)</f>
        <v>27000</v>
      </c>
      <c r="S34" s="7" t="s">
        <v>114</v>
      </c>
      <c r="T34" s="204">
        <v>25</v>
      </c>
    </row>
    <row r="35" spans="4:30" ht="17.100000000000001" customHeight="1" thickBot="1">
      <c r="F35" s="7" t="s">
        <v>8</v>
      </c>
      <c r="G35" s="8">
        <f>G34*G33</f>
        <v>2966985.7734400001</v>
      </c>
      <c r="H35" s="25"/>
      <c r="S35" s="7" t="s">
        <v>113</v>
      </c>
      <c r="T35" s="204">
        <v>12</v>
      </c>
      <c r="U35" s="403" t="s">
        <v>222</v>
      </c>
      <c r="V35" s="404"/>
    </row>
    <row r="36" spans="4:30" ht="17.100000000000001" customHeight="1" thickBot="1">
      <c r="F36" s="7" t="s">
        <v>9</v>
      </c>
      <c r="G36" s="17">
        <f>G33-G35</f>
        <v>741746.44335999992</v>
      </c>
      <c r="J36" s="416" t="s">
        <v>39</v>
      </c>
      <c r="K36" s="438"/>
      <c r="L36" s="438"/>
      <c r="M36" s="438"/>
      <c r="N36" s="438"/>
      <c r="O36" s="438"/>
      <c r="P36" s="438"/>
      <c r="Q36" s="417"/>
      <c r="S36" s="36" t="s">
        <v>7</v>
      </c>
      <c r="T36" s="201">
        <v>0.8</v>
      </c>
      <c r="U36" s="356" t="s">
        <v>223</v>
      </c>
      <c r="V36" s="10"/>
    </row>
    <row r="37" spans="4:30" ht="17.100000000000001" customHeight="1" thickBot="1">
      <c r="F37" s="7" t="s">
        <v>10</v>
      </c>
      <c r="G37" s="10">
        <f>Financing!C7</f>
        <v>25</v>
      </c>
      <c r="H37" s="154"/>
      <c r="J37" s="235" t="s">
        <v>40</v>
      </c>
      <c r="K37" s="53">
        <f>K56</f>
        <v>324000</v>
      </c>
      <c r="L37" s="53">
        <f t="shared" ref="L37:Q37" si="15">L56</f>
        <v>324000</v>
      </c>
      <c r="M37" s="53">
        <f t="shared" si="15"/>
        <v>324000</v>
      </c>
      <c r="N37" s="53">
        <f t="shared" si="15"/>
        <v>324000</v>
      </c>
      <c r="O37" s="53">
        <f t="shared" si="15"/>
        <v>324000</v>
      </c>
      <c r="P37" s="53">
        <f t="shared" si="15"/>
        <v>324000</v>
      </c>
      <c r="Q37" s="54">
        <f t="shared" si="15"/>
        <v>324000</v>
      </c>
      <c r="S37" s="16" t="s">
        <v>116</v>
      </c>
      <c r="T37" s="207">
        <v>0.01</v>
      </c>
      <c r="U37" s="356" t="s">
        <v>224</v>
      </c>
      <c r="V37" s="10"/>
    </row>
    <row r="38" spans="4:30" ht="17.100000000000001" customHeight="1" thickBot="1">
      <c r="F38" s="7" t="s">
        <v>11</v>
      </c>
      <c r="G38" s="160">
        <f>Financing!C6</f>
        <v>6.25E-2</v>
      </c>
      <c r="H38" s="154"/>
      <c r="J38" s="335" t="s">
        <v>176</v>
      </c>
      <c r="K38" s="336"/>
      <c r="L38" s="336">
        <f t="shared" ref="L38:Q38" si="16">L57</f>
        <v>0</v>
      </c>
      <c r="M38" s="336">
        <f t="shared" si="16"/>
        <v>0</v>
      </c>
      <c r="N38" s="336">
        <f t="shared" si="16"/>
        <v>0</v>
      </c>
      <c r="O38" s="336">
        <f t="shared" si="16"/>
        <v>0</v>
      </c>
      <c r="P38" s="336">
        <f t="shared" si="16"/>
        <v>0</v>
      </c>
      <c r="Q38" s="338">
        <f t="shared" si="16"/>
        <v>0</v>
      </c>
      <c r="S38" s="16" t="s">
        <v>234</v>
      </c>
      <c r="T38" s="370">
        <v>8</v>
      </c>
      <c r="U38" s="357" t="s">
        <v>225</v>
      </c>
      <c r="V38" s="197"/>
    </row>
    <row r="39" spans="4:30" ht="17.100000000000001" customHeight="1">
      <c r="F39" s="7" t="s">
        <v>12</v>
      </c>
      <c r="G39" s="22">
        <f>PMT(G38/12,G37*12,G35,0)</f>
        <v>-19572.296606347427</v>
      </c>
      <c r="AC39" s="28"/>
      <c r="AD39" s="28"/>
    </row>
    <row r="40" spans="4:30" ht="17.100000000000001" customHeight="1" thickBot="1">
      <c r="F40" s="16" t="s">
        <v>13</v>
      </c>
      <c r="G40" s="23">
        <f>G39*12</f>
        <v>-234867.55927616911</v>
      </c>
      <c r="AC40" s="28"/>
      <c r="AD40" s="28"/>
    </row>
    <row r="41" spans="4:30" ht="17.100000000000001" hidden="1" customHeight="1" outlineLevel="1" thickBot="1"/>
    <row r="42" spans="4:30" ht="17.100000000000001" hidden="1" customHeight="1" outlineLevel="1" thickBot="1">
      <c r="J42" s="416" t="s">
        <v>39</v>
      </c>
      <c r="K42" s="438"/>
      <c r="L42" s="438"/>
      <c r="M42" s="438"/>
      <c r="N42" s="438"/>
      <c r="O42" s="438"/>
      <c r="P42" s="438"/>
      <c r="Q42" s="417"/>
    </row>
    <row r="43" spans="4:30" ht="17.100000000000001" hidden="1" customHeight="1" outlineLevel="1">
      <c r="J43" s="358" t="s">
        <v>153</v>
      </c>
      <c r="K43" s="359">
        <v>2026</v>
      </c>
      <c r="L43" s="359">
        <v>2027</v>
      </c>
      <c r="M43" s="359">
        <v>2028</v>
      </c>
      <c r="N43" s="359">
        <v>2029</v>
      </c>
      <c r="O43" s="359">
        <v>2030</v>
      </c>
      <c r="P43" s="359">
        <v>2031</v>
      </c>
      <c r="Q43" s="360">
        <v>2032</v>
      </c>
    </row>
    <row r="44" spans="4:30" ht="17.100000000000001" hidden="1" customHeight="1" outlineLevel="1">
      <c r="J44" s="337" t="str">
        <f>IF('Rent Roll'!G11=0,"",'Rent Roll'!G11)</f>
        <v>A Endcap</v>
      </c>
      <c r="K44" s="14">
        <f>IF('Rent Roll'!DD11=0,"",'Rent Roll'!DD11)</f>
        <v>102000</v>
      </c>
      <c r="L44" s="14">
        <f>IF('Rent Roll'!DE11=0,"",'Rent Roll'!DE11)</f>
        <v>102000</v>
      </c>
      <c r="M44" s="14">
        <f>IF('Rent Roll'!DF11=0,"",'Rent Roll'!DF11)</f>
        <v>102000</v>
      </c>
      <c r="N44" s="14">
        <f>IF('Rent Roll'!DG11=0,"",'Rent Roll'!DG11)</f>
        <v>102000</v>
      </c>
      <c r="O44" s="14">
        <f>IF('Rent Roll'!DH11=0,"",'Rent Roll'!DH11)</f>
        <v>102000</v>
      </c>
      <c r="P44" s="14">
        <f>IF('Rent Roll'!DI11=0,"",'Rent Roll'!DI11)</f>
        <v>102000</v>
      </c>
      <c r="Q44" s="8">
        <f>IF('Rent Roll'!DJ11=0,"",'Rent Roll'!DJ11)</f>
        <v>102000</v>
      </c>
    </row>
    <row r="45" spans="4:30" ht="17.100000000000001" hidden="1" customHeight="1" outlineLevel="1">
      <c r="J45" s="337" t="str">
        <f>IF('Rent Roll'!G12=0,"",'Rent Roll'!G12)</f>
        <v>B</v>
      </c>
      <c r="K45" s="14">
        <f>IF('Rent Roll'!DD12=0,"",'Rent Roll'!DD12)</f>
        <v>120000</v>
      </c>
      <c r="L45" s="14">
        <f>IF('Rent Roll'!DE12=0,"",'Rent Roll'!DE12)</f>
        <v>120000</v>
      </c>
      <c r="M45" s="14">
        <f>IF('Rent Roll'!DF12=0,"",'Rent Roll'!DF12)</f>
        <v>120000</v>
      </c>
      <c r="N45" s="14">
        <f>IF('Rent Roll'!DG12=0,"",'Rent Roll'!DG12)</f>
        <v>120000</v>
      </c>
      <c r="O45" s="14">
        <f>IF('Rent Roll'!DH12=0,"",'Rent Roll'!DH12)</f>
        <v>120000</v>
      </c>
      <c r="P45" s="14">
        <f>IF('Rent Roll'!DI12=0,"",'Rent Roll'!DI12)</f>
        <v>120000</v>
      </c>
      <c r="Q45" s="8">
        <f>IF('Rent Roll'!DJ12=0,"",'Rent Roll'!DJ12)</f>
        <v>120000</v>
      </c>
    </row>
    <row r="46" spans="4:30" ht="17.100000000000001" hidden="1" customHeight="1" outlineLevel="1">
      <c r="J46" s="337" t="str">
        <f>IF('Rent Roll'!G13=0,"",'Rent Roll'!G13)</f>
        <v>C Endcap</v>
      </c>
      <c r="K46" s="14">
        <f>IF('Rent Roll'!DD13=0,"",'Rent Roll'!DD13)</f>
        <v>102000</v>
      </c>
      <c r="L46" s="14">
        <f>IF('Rent Roll'!DE13=0,"",'Rent Roll'!DE13)</f>
        <v>102000</v>
      </c>
      <c r="M46" s="14">
        <f>IF('Rent Roll'!DF13=0,"",'Rent Roll'!DF13)</f>
        <v>102000</v>
      </c>
      <c r="N46" s="14">
        <f>IF('Rent Roll'!DG13=0,"",'Rent Roll'!DG13)</f>
        <v>102000</v>
      </c>
      <c r="O46" s="14">
        <f>IF('Rent Roll'!DH13=0,"",'Rent Roll'!DH13)</f>
        <v>102000</v>
      </c>
      <c r="P46" s="14">
        <f>IF('Rent Roll'!DI13=0,"",'Rent Roll'!DI13)</f>
        <v>102000</v>
      </c>
      <c r="Q46" s="8">
        <f>IF('Rent Roll'!DJ13=0,"",'Rent Roll'!DJ13)</f>
        <v>102000</v>
      </c>
    </row>
    <row r="47" spans="4:30" ht="17.100000000000001" hidden="1" customHeight="1" outlineLevel="1">
      <c r="J47" s="337" t="str">
        <f>IF('Rent Roll'!G14=0,"",'Rent Roll'!G14)</f>
        <v/>
      </c>
      <c r="K47" s="14" t="str">
        <f>IF('Rent Roll'!DD14=0,"",'Rent Roll'!DD14)</f>
        <v/>
      </c>
      <c r="L47" s="14" t="str">
        <f>IF('Rent Roll'!DE14=0,"",'Rent Roll'!DE14)</f>
        <v/>
      </c>
      <c r="M47" s="14" t="str">
        <f>IF('Rent Roll'!DF14=0,"",'Rent Roll'!DF14)</f>
        <v/>
      </c>
      <c r="N47" s="14" t="str">
        <f>IF('Rent Roll'!DG14=0,"",'Rent Roll'!DG14)</f>
        <v/>
      </c>
      <c r="O47" s="14" t="str">
        <f>IF('Rent Roll'!DH14=0,"",'Rent Roll'!DH14)</f>
        <v/>
      </c>
      <c r="P47" s="14" t="str">
        <f>IF('Rent Roll'!DI14=0,"",'Rent Roll'!DI14)</f>
        <v/>
      </c>
      <c r="Q47" s="8" t="str">
        <f>IF('Rent Roll'!DJ14=0,"",'Rent Roll'!DJ14)</f>
        <v/>
      </c>
    </row>
    <row r="48" spans="4:30" ht="17.100000000000001" hidden="1" customHeight="1" outlineLevel="1">
      <c r="J48" s="337" t="str">
        <f>IF('Rent Roll'!G15=0,"",'Rent Roll'!G15)</f>
        <v/>
      </c>
      <c r="K48" s="14" t="str">
        <f>IF('Rent Roll'!DD15=0,"",'Rent Roll'!DD15)</f>
        <v/>
      </c>
      <c r="L48" s="14" t="str">
        <f>IF('Rent Roll'!DE15=0,"",'Rent Roll'!DE15)</f>
        <v/>
      </c>
      <c r="M48" s="14" t="str">
        <f>IF('Rent Roll'!DF15=0,"",'Rent Roll'!DF15)</f>
        <v/>
      </c>
      <c r="N48" s="14" t="str">
        <f>IF('Rent Roll'!DG15=0,"",'Rent Roll'!DG15)</f>
        <v/>
      </c>
      <c r="O48" s="14" t="str">
        <f>IF('Rent Roll'!DH15=0,"",'Rent Roll'!DH15)</f>
        <v/>
      </c>
      <c r="P48" s="14" t="str">
        <f>IF('Rent Roll'!DI15=0,"",'Rent Roll'!DI15)</f>
        <v/>
      </c>
      <c r="Q48" s="8" t="str">
        <f>IF('Rent Roll'!DJ15=0,"",'Rent Roll'!DJ15)</f>
        <v/>
      </c>
    </row>
    <row r="49" spans="10:20" ht="17.100000000000001" hidden="1" customHeight="1" outlineLevel="1">
      <c r="J49" s="337" t="str">
        <f>IF('Rent Roll'!G16=0,"",'Rent Roll'!G16)</f>
        <v/>
      </c>
      <c r="K49" s="14" t="str">
        <f>IF('Rent Roll'!DD16=0,"",'Rent Roll'!DD16)</f>
        <v/>
      </c>
      <c r="L49" s="14" t="str">
        <f>IF('Rent Roll'!DE16=0,"",'Rent Roll'!DE16)</f>
        <v/>
      </c>
      <c r="M49" s="14" t="str">
        <f>IF('Rent Roll'!DF16=0,"",'Rent Roll'!DF16)</f>
        <v/>
      </c>
      <c r="N49" s="14" t="str">
        <f>IF('Rent Roll'!DG16=0,"",'Rent Roll'!DG16)</f>
        <v/>
      </c>
      <c r="O49" s="14" t="str">
        <f>IF('Rent Roll'!DH16=0,"",'Rent Roll'!DH16)</f>
        <v/>
      </c>
      <c r="P49" s="14" t="str">
        <f>IF('Rent Roll'!DI16=0,"",'Rent Roll'!DI16)</f>
        <v/>
      </c>
      <c r="Q49" s="8" t="str">
        <f>IF('Rent Roll'!DJ16=0,"",'Rent Roll'!DJ16)</f>
        <v/>
      </c>
    </row>
    <row r="50" spans="10:20" ht="17.100000000000001" hidden="1" customHeight="1" outlineLevel="1">
      <c r="J50" s="337" t="str">
        <f>IF('Rent Roll'!G17=0,"",'Rent Roll'!G17)</f>
        <v/>
      </c>
      <c r="K50" s="14" t="str">
        <f>IF('Rent Roll'!DD17=0,"",'Rent Roll'!DD17)</f>
        <v/>
      </c>
      <c r="L50" s="14" t="str">
        <f>IF('Rent Roll'!DE17=0,"",'Rent Roll'!DE17)</f>
        <v/>
      </c>
      <c r="M50" s="14" t="str">
        <f>IF('Rent Roll'!DF17=0,"",'Rent Roll'!DF17)</f>
        <v/>
      </c>
      <c r="N50" s="14" t="str">
        <f>IF('Rent Roll'!DG17=0,"",'Rent Roll'!DG17)</f>
        <v/>
      </c>
      <c r="O50" s="14" t="str">
        <f>IF('Rent Roll'!DH17=0,"",'Rent Roll'!DH17)</f>
        <v/>
      </c>
      <c r="P50" s="14" t="str">
        <f>IF('Rent Roll'!DI17=0,"",'Rent Roll'!DI17)</f>
        <v/>
      </c>
      <c r="Q50" s="8" t="str">
        <f>IF('Rent Roll'!DJ17=0,"",'Rent Roll'!DJ17)</f>
        <v/>
      </c>
    </row>
    <row r="51" spans="10:20" ht="17.100000000000001" hidden="1" customHeight="1" outlineLevel="1">
      <c r="J51" s="337" t="str">
        <f>IF('Rent Roll'!G18=0,"",'Rent Roll'!G18)</f>
        <v/>
      </c>
      <c r="K51" s="14" t="str">
        <f>IF('Rent Roll'!DD18=0,"",'Rent Roll'!DD18)</f>
        <v/>
      </c>
      <c r="L51" s="14" t="str">
        <f>IF('Rent Roll'!DE18=0,"",'Rent Roll'!DE18)</f>
        <v/>
      </c>
      <c r="M51" s="14" t="str">
        <f>IF('Rent Roll'!DF18=0,"",'Rent Roll'!DF18)</f>
        <v/>
      </c>
      <c r="N51" s="14" t="str">
        <f>IF('Rent Roll'!DG18=0,"",'Rent Roll'!DG18)</f>
        <v/>
      </c>
      <c r="O51" s="14" t="str">
        <f>IF('Rent Roll'!DH18=0,"",'Rent Roll'!DH18)</f>
        <v/>
      </c>
      <c r="P51" s="14" t="str">
        <f>IF('Rent Roll'!DI18=0,"",'Rent Roll'!DI18)</f>
        <v/>
      </c>
      <c r="Q51" s="8" t="str">
        <f>IF('Rent Roll'!DJ18=0,"",'Rent Roll'!DJ18)</f>
        <v/>
      </c>
    </row>
    <row r="52" spans="10:20" ht="17.100000000000001" hidden="1" customHeight="1" outlineLevel="1">
      <c r="J52" s="337" t="str">
        <f>IF('Rent Roll'!G19=0,"",'Rent Roll'!G19)</f>
        <v/>
      </c>
      <c r="K52" s="14" t="str">
        <f>IF('Rent Roll'!DD19=0,"",'Rent Roll'!DD19)</f>
        <v/>
      </c>
      <c r="L52" s="14" t="str">
        <f>IF('Rent Roll'!DE19=0,"",'Rent Roll'!DE19)</f>
        <v/>
      </c>
      <c r="M52" s="14" t="str">
        <f>IF('Rent Roll'!DF19=0,"",'Rent Roll'!DF19)</f>
        <v/>
      </c>
      <c r="N52" s="14" t="str">
        <f>IF('Rent Roll'!DG19=0,"",'Rent Roll'!DG19)</f>
        <v/>
      </c>
      <c r="O52" s="14" t="str">
        <f>IF('Rent Roll'!DH19=0,"",'Rent Roll'!DH19)</f>
        <v/>
      </c>
      <c r="P52" s="14" t="str">
        <f>IF('Rent Roll'!DI19=0,"",'Rent Roll'!DI19)</f>
        <v/>
      </c>
      <c r="Q52" s="8" t="str">
        <f>IF('Rent Roll'!DJ19=0,"",'Rent Roll'!DJ19)</f>
        <v/>
      </c>
    </row>
    <row r="53" spans="10:20" ht="17.100000000000001" hidden="1" customHeight="1" outlineLevel="1">
      <c r="J53" s="337" t="str">
        <f>IF('Rent Roll'!G20=0,"",'Rent Roll'!G20)</f>
        <v/>
      </c>
      <c r="K53" s="14" t="str">
        <f>IF('Rent Roll'!DD20=0,"",'Rent Roll'!DD20)</f>
        <v/>
      </c>
      <c r="L53" s="14" t="str">
        <f>IF('Rent Roll'!DE20=0,"",'Rent Roll'!DE20)</f>
        <v/>
      </c>
      <c r="M53" s="14" t="str">
        <f>IF('Rent Roll'!DF20=0,"",'Rent Roll'!DF20)</f>
        <v/>
      </c>
      <c r="N53" s="14" t="str">
        <f>IF('Rent Roll'!DG20=0,"",'Rent Roll'!DG20)</f>
        <v/>
      </c>
      <c r="O53" s="14" t="str">
        <f>IF('Rent Roll'!DH20=0,"",'Rent Roll'!DH20)</f>
        <v/>
      </c>
      <c r="P53" s="14" t="str">
        <f>IF('Rent Roll'!DI20=0,"",'Rent Roll'!DI20)</f>
        <v/>
      </c>
      <c r="Q53" s="8" t="str">
        <f>IF('Rent Roll'!DJ20=0,"",'Rent Roll'!DJ20)</f>
        <v/>
      </c>
    </row>
    <row r="54" spans="10:20" ht="15" hidden="1" customHeight="1" outlineLevel="1">
      <c r="J54" s="337" t="str">
        <f>IF('Rent Roll'!G21=0,"",'Rent Roll'!G21)</f>
        <v/>
      </c>
      <c r="K54" s="14" t="str">
        <f>IF('Rent Roll'!DD21=0,"",'Rent Roll'!DD21)</f>
        <v/>
      </c>
      <c r="L54" s="14" t="str">
        <f>IF('Rent Roll'!DE21=0,"",'Rent Roll'!DE21)</f>
        <v/>
      </c>
      <c r="M54" s="14" t="str">
        <f>IF('Rent Roll'!DF21=0,"",'Rent Roll'!DF21)</f>
        <v/>
      </c>
      <c r="N54" s="14" t="str">
        <f>IF('Rent Roll'!DG21=0,"",'Rent Roll'!DG21)</f>
        <v/>
      </c>
      <c r="O54" s="14" t="str">
        <f>IF('Rent Roll'!DH21=0,"",'Rent Roll'!DH21)</f>
        <v/>
      </c>
      <c r="P54" s="14" t="str">
        <f>IF('Rent Roll'!DI21=0,"",'Rent Roll'!DI21)</f>
        <v/>
      </c>
      <c r="Q54" s="8" t="str">
        <f>IF('Rent Roll'!DJ21=0,"",'Rent Roll'!DJ21)</f>
        <v/>
      </c>
    </row>
    <row r="55" spans="10:20" ht="15" hidden="1" customHeight="1" outlineLevel="1" thickBot="1">
      <c r="J55" s="337" t="str">
        <f>IF('Rent Roll'!G22=0,"",'Rent Roll'!G22)</f>
        <v/>
      </c>
      <c r="K55" s="14" t="str">
        <f>IF('Rent Roll'!DD22=0,"",'Rent Roll'!DD22)</f>
        <v/>
      </c>
      <c r="L55" s="14" t="str">
        <f>IF('Rent Roll'!DE22=0,"",'Rent Roll'!DE22)</f>
        <v/>
      </c>
      <c r="M55" s="14" t="str">
        <f>IF('Rent Roll'!DF22=0,"",'Rent Roll'!DF22)</f>
        <v/>
      </c>
      <c r="N55" s="14" t="str">
        <f>IF('Rent Roll'!DG22=0,"",'Rent Roll'!DG22)</f>
        <v/>
      </c>
      <c r="O55" s="14" t="str">
        <f>IF('Rent Roll'!DH22=0,"",'Rent Roll'!DH22)</f>
        <v/>
      </c>
      <c r="P55" s="14" t="str">
        <f>IF('Rent Roll'!DI22=0,"",'Rent Roll'!DI22)</f>
        <v/>
      </c>
      <c r="Q55" s="8" t="str">
        <f>IF('Rent Roll'!DJ22=0,"",'Rent Roll'!DJ22)</f>
        <v/>
      </c>
      <c r="S55" s="14"/>
      <c r="T55" s="14"/>
    </row>
    <row r="56" spans="10:20" ht="15.75" hidden="1" outlineLevel="1" thickBot="1">
      <c r="J56" s="235" t="s">
        <v>40</v>
      </c>
      <c r="K56" s="53">
        <f t="shared" ref="K56:Q56" si="17">SUM(K44:K54)</f>
        <v>324000</v>
      </c>
      <c r="L56" s="53">
        <f t="shared" si="17"/>
        <v>324000</v>
      </c>
      <c r="M56" s="53">
        <f t="shared" si="17"/>
        <v>324000</v>
      </c>
      <c r="N56" s="53">
        <f t="shared" si="17"/>
        <v>324000</v>
      </c>
      <c r="O56" s="53">
        <f t="shared" si="17"/>
        <v>324000</v>
      </c>
      <c r="P56" s="53">
        <f t="shared" si="17"/>
        <v>324000</v>
      </c>
      <c r="Q56" s="54">
        <f t="shared" si="17"/>
        <v>324000</v>
      </c>
    </row>
    <row r="57" spans="10:20" ht="15.75" hidden="1" outlineLevel="1" thickBot="1">
      <c r="J57" s="335" t="s">
        <v>176</v>
      </c>
      <c r="K57" s="336"/>
      <c r="L57" s="336">
        <f>(L56/K56)-1</f>
        <v>0</v>
      </c>
      <c r="M57" s="336">
        <f t="shared" ref="M57:Q57" si="18">(M56/L56)-1</f>
        <v>0</v>
      </c>
      <c r="N57" s="336">
        <f t="shared" si="18"/>
        <v>0</v>
      </c>
      <c r="O57" s="336">
        <f t="shared" si="18"/>
        <v>0</v>
      </c>
      <c r="P57" s="336">
        <f t="shared" si="18"/>
        <v>0</v>
      </c>
      <c r="Q57" s="338">
        <f t="shared" si="18"/>
        <v>0</v>
      </c>
    </row>
    <row r="58" spans="10:20" hidden="1" outlineLevel="1"/>
    <row r="59" spans="10:20" collapsed="1"/>
  </sheetData>
  <sheetProtection algorithmName="SHA-512" hashValue="kWWuk3Zeo02V0GIGGjY4pEkJK1qDWSSy4iK+JILVyAKneMrOYBcaF/vJxEvtw3na1zYMR4oaI+/w1O3D8BFDvg==" saltValue="YMfpXh6f0preRfZYJr+VQw==" spinCount="100000" sheet="1" objects="1" scenarios="1" formatCells="0" sort="0" autoFilter="0" pivotTables="0"/>
  <mergeCells count="24">
    <mergeCell ref="J42:Q42"/>
    <mergeCell ref="J20:Q20"/>
    <mergeCell ref="J8:Q8"/>
    <mergeCell ref="F14:G14"/>
    <mergeCell ref="F32:G32"/>
    <mergeCell ref="J36:Q36"/>
    <mergeCell ref="F8:G8"/>
    <mergeCell ref="D1:E1"/>
    <mergeCell ref="C8:D8"/>
    <mergeCell ref="C14:D14"/>
    <mergeCell ref="C3:Q3"/>
    <mergeCell ref="C4:Q4"/>
    <mergeCell ref="C5:Q5"/>
    <mergeCell ref="C6:Q6"/>
    <mergeCell ref="S2:T2"/>
    <mergeCell ref="S5:T5"/>
    <mergeCell ref="S22:T22"/>
    <mergeCell ref="S28:T28"/>
    <mergeCell ref="S32:T32"/>
    <mergeCell ref="S6:T6"/>
    <mergeCell ref="S7:T7"/>
    <mergeCell ref="S8:T8"/>
    <mergeCell ref="S9:T9"/>
    <mergeCell ref="S12:T12"/>
  </mergeCells>
  <phoneticPr fontId="21" type="noConversion"/>
  <pageMargins left="0.7" right="0.7" top="0.75" bottom="0.75" header="0.3" footer="0.3"/>
  <pageSetup paperSize="512" scale="9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266700</xdr:colOff>
                    <xdr:row>2</xdr:row>
                    <xdr:rowOff>85725</xdr:rowOff>
                  </from>
                  <to>
                    <xdr:col>19</xdr:col>
                    <xdr:colOff>762000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276225</xdr:colOff>
                    <xdr:row>35</xdr:row>
                    <xdr:rowOff>28575</xdr:rowOff>
                  </from>
                  <to>
                    <xdr:col>21</xdr:col>
                    <xdr:colOff>628650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21</xdr:col>
                    <xdr:colOff>285750</xdr:colOff>
                    <xdr:row>35</xdr:row>
                    <xdr:rowOff>209550</xdr:rowOff>
                  </from>
                  <to>
                    <xdr:col>21</xdr:col>
                    <xdr:colOff>638175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21</xdr:col>
                    <xdr:colOff>276225</xdr:colOff>
                    <xdr:row>36</xdr:row>
                    <xdr:rowOff>200025</xdr:rowOff>
                  </from>
                  <to>
                    <xdr:col>21</xdr:col>
                    <xdr:colOff>638175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Q32"/>
  <sheetViews>
    <sheetView showGridLines="0" zoomScale="85" zoomScaleNormal="85" workbookViewId="0">
      <selection activeCell="F21" sqref="F21"/>
    </sheetView>
  </sheetViews>
  <sheetFormatPr defaultRowHeight="15"/>
  <cols>
    <col min="2" max="2" width="25" customWidth="1"/>
    <col min="4" max="4" width="9.28515625" customWidth="1"/>
    <col min="6" max="6" width="15" bestFit="1" customWidth="1"/>
    <col min="7" max="7" width="11.140625" bestFit="1" customWidth="1"/>
    <col min="10" max="10" width="16.28515625" bestFit="1" customWidth="1"/>
    <col min="14" max="14" width="12.85546875" bestFit="1" customWidth="1"/>
    <col min="15" max="15" width="11.140625" bestFit="1" customWidth="1"/>
    <col min="17" max="17" width="56.7109375" customWidth="1"/>
  </cols>
  <sheetData>
    <row r="2" spans="2:17" ht="15.75" thickBot="1">
      <c r="B2" s="439" t="s">
        <v>1</v>
      </c>
      <c r="C2" s="439"/>
      <c r="D2" s="439"/>
      <c r="E2" s="439"/>
      <c r="F2" s="439"/>
      <c r="G2" s="439"/>
    </row>
    <row r="3" spans="2:17" ht="15.75" thickBot="1">
      <c r="B3" s="416" t="s">
        <v>127</v>
      </c>
      <c r="C3" s="438"/>
      <c r="D3" s="438"/>
      <c r="E3" s="438"/>
      <c r="F3" s="438"/>
      <c r="G3" s="417"/>
      <c r="J3" s="416" t="s">
        <v>206</v>
      </c>
      <c r="K3" s="438"/>
      <c r="L3" s="438"/>
      <c r="M3" s="438"/>
      <c r="N3" s="438"/>
      <c r="O3" s="417"/>
    </row>
    <row r="4" spans="2:17">
      <c r="B4" s="209" t="s">
        <v>124</v>
      </c>
      <c r="C4" s="210"/>
      <c r="D4" s="211"/>
      <c r="E4" s="212"/>
      <c r="F4" s="213" t="s">
        <v>5</v>
      </c>
      <c r="G4" s="214" t="s">
        <v>126</v>
      </c>
      <c r="J4" s="209" t="s">
        <v>124</v>
      </c>
      <c r="K4" s="210"/>
      <c r="L4" s="211"/>
      <c r="M4" s="212"/>
      <c r="N4" s="213" t="s">
        <v>5</v>
      </c>
      <c r="O4" s="214" t="s">
        <v>126</v>
      </c>
    </row>
    <row r="5" spans="2:17">
      <c r="B5" s="246"/>
      <c r="C5" s="215"/>
      <c r="D5" s="216"/>
      <c r="E5" s="217"/>
      <c r="F5" s="216"/>
      <c r="G5" s="218"/>
      <c r="J5" s="246" t="s">
        <v>123</v>
      </c>
      <c r="K5" s="215"/>
      <c r="L5" s="216"/>
      <c r="M5" s="217"/>
      <c r="N5" s="216"/>
      <c r="O5" s="218">
        <f>N5/'Deal Summary'!$G$28</f>
        <v>0</v>
      </c>
    </row>
    <row r="6" spans="2:17">
      <c r="B6" s="247" t="s">
        <v>185</v>
      </c>
      <c r="C6" s="215"/>
      <c r="D6" s="216"/>
      <c r="E6" s="217"/>
      <c r="F6" s="248">
        <v>300000</v>
      </c>
      <c r="G6" s="218"/>
      <c r="J6" s="247" t="s">
        <v>135</v>
      </c>
      <c r="K6" s="215"/>
      <c r="L6" s="216"/>
      <c r="M6" s="217"/>
      <c r="N6" s="248">
        <v>0</v>
      </c>
      <c r="O6" s="218">
        <f>N6/'Deal Summary'!$G$28</f>
        <v>0</v>
      </c>
    </row>
    <row r="7" spans="2:17">
      <c r="B7" s="247" t="s">
        <v>186</v>
      </c>
      <c r="C7" s="215"/>
      <c r="D7" s="216"/>
      <c r="E7" s="217"/>
      <c r="F7" s="248"/>
      <c r="G7" s="218"/>
      <c r="J7" s="247" t="s">
        <v>136</v>
      </c>
      <c r="K7" s="215"/>
      <c r="L7" s="216"/>
      <c r="M7" s="217"/>
      <c r="N7" s="248"/>
      <c r="O7" s="218">
        <f>N7/'Deal Summary'!$G$28</f>
        <v>0</v>
      </c>
    </row>
    <row r="8" spans="2:17">
      <c r="B8" s="247" t="s">
        <v>187</v>
      </c>
      <c r="C8" s="215"/>
      <c r="D8" s="216"/>
      <c r="E8" s="217"/>
      <c r="F8" s="248"/>
      <c r="G8" s="218"/>
      <c r="J8" s="247" t="s">
        <v>137</v>
      </c>
      <c r="K8" s="215"/>
      <c r="L8" s="216"/>
      <c r="M8" s="217"/>
      <c r="N8" s="248"/>
      <c r="O8" s="218">
        <f>N8/'Deal Summary'!$G$28</f>
        <v>0</v>
      </c>
    </row>
    <row r="9" spans="2:17">
      <c r="B9" s="246"/>
      <c r="C9" s="215"/>
      <c r="D9" s="216"/>
      <c r="E9" s="217"/>
      <c r="F9" s="216"/>
      <c r="G9" s="218"/>
      <c r="J9" s="246" t="s">
        <v>133</v>
      </c>
      <c r="K9" s="215"/>
      <c r="L9" s="216"/>
      <c r="M9" s="217"/>
      <c r="N9" s="216"/>
      <c r="O9" s="218">
        <f>N9/'Deal Summary'!$G$28</f>
        <v>0</v>
      </c>
    </row>
    <row r="10" spans="2:17">
      <c r="B10" s="247" t="s">
        <v>188</v>
      </c>
      <c r="C10" s="215"/>
      <c r="D10" s="216"/>
      <c r="E10" s="217"/>
      <c r="F10" s="248">
        <v>40000</v>
      </c>
      <c r="G10" s="218"/>
      <c r="J10" s="399" t="s">
        <v>138</v>
      </c>
      <c r="K10" s="215"/>
      <c r="L10" s="216"/>
      <c r="M10" s="217"/>
      <c r="N10" s="248"/>
      <c r="O10" s="218">
        <f>N10/'Deal Summary'!$G$28</f>
        <v>0</v>
      </c>
    </row>
    <row r="11" spans="2:17">
      <c r="B11" s="247" t="s">
        <v>189</v>
      </c>
      <c r="C11" s="215"/>
      <c r="D11" s="216"/>
      <c r="E11" s="217"/>
      <c r="F11" s="248"/>
      <c r="G11" s="218"/>
      <c r="J11" s="247" t="s">
        <v>128</v>
      </c>
      <c r="K11" s="215"/>
      <c r="L11" s="216"/>
      <c r="M11" s="217"/>
      <c r="N11" s="248"/>
      <c r="O11" s="218">
        <f>N11/'Deal Summary'!$G$28</f>
        <v>0</v>
      </c>
    </row>
    <row r="12" spans="2:17">
      <c r="B12" s="247" t="s">
        <v>190</v>
      </c>
      <c r="C12" s="215"/>
      <c r="D12" s="216"/>
      <c r="E12" s="217"/>
      <c r="F12" s="248">
        <v>20000</v>
      </c>
      <c r="G12" s="218"/>
      <c r="J12" s="247" t="s">
        <v>128</v>
      </c>
      <c r="K12" s="215"/>
      <c r="L12" s="216"/>
      <c r="M12" s="217"/>
      <c r="N12" s="248"/>
      <c r="O12" s="218">
        <f>N12/'Deal Summary'!$G$28</f>
        <v>0</v>
      </c>
    </row>
    <row r="13" spans="2:17">
      <c r="B13" s="246"/>
      <c r="C13" s="215"/>
      <c r="D13" s="216"/>
      <c r="E13" s="217"/>
      <c r="F13" s="216"/>
      <c r="G13" s="218"/>
      <c r="J13" s="246" t="s">
        <v>134</v>
      </c>
      <c r="K13" s="215"/>
      <c r="L13" s="216"/>
      <c r="M13" s="217"/>
      <c r="N13" s="216"/>
      <c r="O13" s="218">
        <f>N13/'Deal Summary'!$G$28</f>
        <v>0</v>
      </c>
    </row>
    <row r="14" spans="2:17">
      <c r="B14" s="247" t="s">
        <v>256</v>
      </c>
      <c r="C14" s="215"/>
      <c r="D14" s="216"/>
      <c r="E14" s="217"/>
      <c r="F14" s="248">
        <v>20000</v>
      </c>
      <c r="G14" s="218"/>
      <c r="J14" s="399" t="s">
        <v>139</v>
      </c>
      <c r="K14" s="215"/>
      <c r="L14" s="216"/>
      <c r="M14" s="217"/>
      <c r="N14" s="248"/>
      <c r="O14" s="218">
        <f>N14/'Deal Summary'!$G$28</f>
        <v>0</v>
      </c>
    </row>
    <row r="15" spans="2:17">
      <c r="B15" s="247" t="s">
        <v>191</v>
      </c>
      <c r="C15" s="215"/>
      <c r="D15" s="216"/>
      <c r="E15" s="217"/>
      <c r="F15" s="248"/>
      <c r="G15" s="218"/>
      <c r="J15" s="247" t="s">
        <v>140</v>
      </c>
      <c r="K15" s="215"/>
      <c r="L15" s="216"/>
      <c r="M15" s="217"/>
      <c r="N15" s="248"/>
      <c r="O15" s="218">
        <f>N15/'Deal Summary'!$G$28</f>
        <v>0</v>
      </c>
    </row>
    <row r="16" spans="2:17">
      <c r="B16" s="247" t="s">
        <v>192</v>
      </c>
      <c r="C16" s="215"/>
      <c r="D16" s="216"/>
      <c r="E16" s="217"/>
      <c r="F16" s="248"/>
      <c r="G16" s="218"/>
      <c r="J16" s="247" t="s">
        <v>128</v>
      </c>
      <c r="K16" s="215"/>
      <c r="L16" s="216"/>
      <c r="M16" s="217"/>
      <c r="N16" s="248"/>
      <c r="O16" s="218">
        <f>N16/'Deal Summary'!$G$28</f>
        <v>0</v>
      </c>
      <c r="Q16" s="415"/>
    </row>
    <row r="17" spans="2:17" ht="15.75" thickBot="1">
      <c r="B17" s="220" t="s">
        <v>148</v>
      </c>
      <c r="C17" s="221"/>
      <c r="D17" s="222"/>
      <c r="E17" s="223"/>
      <c r="F17" s="219">
        <f>SUM(F5:F16)</f>
        <v>380000</v>
      </c>
      <c r="G17" s="245">
        <f>F17/'Deal Summary'!$G$28</f>
        <v>69.090909090909093</v>
      </c>
      <c r="J17" s="220" t="s">
        <v>141</v>
      </c>
      <c r="K17" s="221"/>
      <c r="L17" s="222"/>
      <c r="M17" s="223"/>
      <c r="N17" s="219">
        <f>SUM(N5:N16)</f>
        <v>0</v>
      </c>
      <c r="O17" s="245">
        <f>N17/'Deal Summary'!$G$28</f>
        <v>0</v>
      </c>
      <c r="Q17" s="415"/>
    </row>
    <row r="18" spans="2:17" ht="15.75" thickBot="1">
      <c r="B18" s="416" t="s">
        <v>125</v>
      </c>
      <c r="C18" s="438"/>
      <c r="D18" s="438"/>
      <c r="E18" s="438"/>
      <c r="F18" s="438"/>
      <c r="G18" s="417"/>
      <c r="Q18" s="415"/>
    </row>
    <row r="19" spans="2:17">
      <c r="B19" s="209" t="s">
        <v>124</v>
      </c>
      <c r="C19" s="210"/>
      <c r="D19" s="211"/>
      <c r="E19" s="212"/>
      <c r="F19" s="213" t="s">
        <v>5</v>
      </c>
      <c r="G19" s="214" t="s">
        <v>126</v>
      </c>
      <c r="Q19" s="415"/>
    </row>
    <row r="20" spans="2:17">
      <c r="B20" s="247" t="s">
        <v>254</v>
      </c>
      <c r="C20" s="215"/>
      <c r="D20" s="216"/>
      <c r="E20" s="217"/>
      <c r="F20" s="248">
        <v>1200000</v>
      </c>
      <c r="G20" s="218">
        <f>F20/'Deal Summary'!$G$28</f>
        <v>218.18181818181819</v>
      </c>
      <c r="Q20" s="415"/>
    </row>
    <row r="21" spans="2:17">
      <c r="B21" s="247" t="s">
        <v>255</v>
      </c>
      <c r="C21" s="215"/>
      <c r="D21" s="216"/>
      <c r="E21" s="217"/>
      <c r="F21" s="248"/>
      <c r="G21" s="218">
        <f>F21/'Deal Summary'!$G$28</f>
        <v>0</v>
      </c>
      <c r="Q21" s="415"/>
    </row>
    <row r="22" spans="2:17">
      <c r="B22" s="247" t="s">
        <v>256</v>
      </c>
      <c r="C22" s="215"/>
      <c r="D22" s="216"/>
      <c r="E22" s="217"/>
      <c r="F22" s="248"/>
      <c r="G22" s="218">
        <f>F22/'Deal Summary'!$G$28</f>
        <v>0</v>
      </c>
      <c r="Q22" s="415"/>
    </row>
    <row r="23" spans="2:17">
      <c r="B23" s="247" t="s">
        <v>192</v>
      </c>
      <c r="C23" s="215"/>
      <c r="D23" s="216"/>
      <c r="E23" s="217"/>
      <c r="F23" s="248"/>
      <c r="G23" s="218">
        <f>F23/'Deal Summary'!$G$28</f>
        <v>0</v>
      </c>
      <c r="Q23" s="415"/>
    </row>
    <row r="24" spans="2:17">
      <c r="B24" s="247" t="s">
        <v>257</v>
      </c>
      <c r="C24" s="215"/>
      <c r="D24" s="216"/>
      <c r="E24" s="217"/>
      <c r="F24" s="248"/>
      <c r="G24" s="218">
        <f>F24/'Deal Summary'!$G$28</f>
        <v>0</v>
      </c>
      <c r="Q24" s="415"/>
    </row>
    <row r="25" spans="2:17">
      <c r="B25" s="247" t="s">
        <v>258</v>
      </c>
      <c r="C25" s="215"/>
      <c r="D25" s="216"/>
      <c r="E25" s="217"/>
      <c r="F25" s="248"/>
      <c r="G25" s="218">
        <f>F25/'Deal Summary'!$G$28</f>
        <v>0</v>
      </c>
      <c r="Q25" s="415"/>
    </row>
    <row r="26" spans="2:17">
      <c r="B26" s="247" t="s">
        <v>259</v>
      </c>
      <c r="C26" s="215"/>
      <c r="D26" s="216"/>
      <c r="E26" s="217"/>
      <c r="F26" s="248"/>
      <c r="G26" s="218">
        <f>F26/'Deal Summary'!$G$28</f>
        <v>0</v>
      </c>
      <c r="Q26" s="415"/>
    </row>
    <row r="27" spans="2:17">
      <c r="B27" s="247" t="s">
        <v>190</v>
      </c>
      <c r="C27" s="215"/>
      <c r="D27" s="216"/>
      <c r="E27" s="217"/>
      <c r="F27" s="248"/>
      <c r="G27" s="218">
        <f>F27/'Deal Summary'!$G$28</f>
        <v>0</v>
      </c>
    </row>
    <row r="28" spans="2:17">
      <c r="B28" s="247" t="s">
        <v>260</v>
      </c>
      <c r="C28" s="215"/>
      <c r="D28" s="216"/>
      <c r="E28" s="217"/>
      <c r="F28" s="248"/>
      <c r="G28" s="218">
        <f>F28/'Deal Summary'!$G$28</f>
        <v>0</v>
      </c>
    </row>
    <row r="29" spans="2:17">
      <c r="B29" s="247" t="s">
        <v>261</v>
      </c>
      <c r="C29" s="215"/>
      <c r="D29" s="216"/>
      <c r="E29" s="217"/>
      <c r="F29" s="248"/>
      <c r="G29" s="218">
        <f>F29/'Deal Summary'!$G$28</f>
        <v>0</v>
      </c>
    </row>
    <row r="30" spans="2:17">
      <c r="B30" s="247" t="s">
        <v>262</v>
      </c>
      <c r="C30" s="215"/>
      <c r="D30" s="216"/>
      <c r="E30" s="217"/>
      <c r="F30" s="248"/>
      <c r="G30" s="218">
        <f>F30/'Deal Summary'!$G$28</f>
        <v>0</v>
      </c>
    </row>
    <row r="31" spans="2:17">
      <c r="B31" s="247"/>
      <c r="C31" s="215"/>
      <c r="D31" s="216"/>
      <c r="E31" s="217"/>
      <c r="F31" s="248"/>
      <c r="G31" s="218">
        <f>F31/'Deal Summary'!$G$28</f>
        <v>0</v>
      </c>
    </row>
    <row r="32" spans="2:17" ht="15.75" thickBot="1">
      <c r="B32" s="220" t="s">
        <v>132</v>
      </c>
      <c r="C32" s="221"/>
      <c r="D32" s="222"/>
      <c r="E32" s="223"/>
      <c r="F32" s="219">
        <f>SUM(F20:F31)</f>
        <v>1200000</v>
      </c>
      <c r="G32" s="245">
        <f>F32/'Deal Summary'!$G$28</f>
        <v>218.18181818181819</v>
      </c>
    </row>
  </sheetData>
  <sheetProtection sheet="1" objects="1" scenarios="1"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J92"/>
  <sheetViews>
    <sheetView showGridLines="0" zoomScaleNormal="100" workbookViewId="0">
      <selection activeCell="I22" sqref="I22"/>
    </sheetView>
  </sheetViews>
  <sheetFormatPr defaultColWidth="8.85546875" defaultRowHeight="15" outlineLevelRow="1" outlineLevelCol="1"/>
  <cols>
    <col min="2" max="2" width="2.85546875" customWidth="1"/>
    <col min="3" max="3" width="34.28515625" style="121" customWidth="1"/>
    <col min="4" max="4" width="8" customWidth="1"/>
    <col min="5" max="5" width="13.28515625" hidden="1" customWidth="1" outlineLevel="1"/>
    <col min="6" max="6" width="16.42578125" bestFit="1" customWidth="1" collapsed="1"/>
    <col min="7" max="7" width="16" bestFit="1" customWidth="1"/>
    <col min="8" max="10" width="16.42578125" bestFit="1" customWidth="1"/>
    <col min="11" max="11" width="12.5703125" bestFit="1" customWidth="1"/>
    <col min="12" max="13" width="16" customWidth="1"/>
    <col min="14" max="14" width="5" customWidth="1"/>
    <col min="15" max="15" width="39.28515625" customWidth="1"/>
    <col min="16" max="16" width="16" bestFit="1" customWidth="1"/>
    <col min="17" max="17" width="4.85546875" style="58" customWidth="1"/>
    <col min="18" max="18" width="21.140625" customWidth="1"/>
    <col min="19" max="19" width="10.7109375" customWidth="1"/>
    <col min="20" max="20" width="13.42578125" bestFit="1" customWidth="1"/>
    <col min="21" max="21" width="34.42578125" bestFit="1" customWidth="1"/>
    <col min="22" max="22" width="14.42578125" customWidth="1"/>
    <col min="23" max="23" width="7.140625" customWidth="1"/>
    <col min="24" max="24" width="34.42578125" bestFit="1" customWidth="1"/>
    <col min="25" max="25" width="14.42578125" customWidth="1"/>
    <col min="26" max="26" width="0.42578125" customWidth="1"/>
  </cols>
  <sheetData>
    <row r="1" spans="1:140" ht="15.75" thickBot="1">
      <c r="C1" s="55"/>
      <c r="D1" s="55"/>
      <c r="F1" s="56"/>
      <c r="J1" s="57"/>
    </row>
    <row r="2" spans="1:140" ht="14.45" customHeight="1">
      <c r="C2" s="440" t="s">
        <v>41</v>
      </c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2"/>
      <c r="Q2" s="59"/>
    </row>
    <row r="3" spans="1:140" ht="14.45" customHeight="1" thickBot="1">
      <c r="C3" s="443"/>
      <c r="D3" s="444"/>
      <c r="E3" s="444"/>
      <c r="F3" s="444"/>
      <c r="G3" s="444"/>
      <c r="H3" s="444"/>
      <c r="I3" s="444"/>
      <c r="J3" s="444"/>
      <c r="K3" s="444"/>
      <c r="L3" s="444"/>
      <c r="M3" s="444"/>
      <c r="N3" s="444"/>
      <c r="O3" s="444"/>
      <c r="P3" s="445"/>
      <c r="Q3" s="59"/>
    </row>
    <row r="4" spans="1:140" ht="15.75" thickBot="1">
      <c r="C4" s="60"/>
      <c r="D4" s="61"/>
      <c r="E4" s="366" t="s">
        <v>160</v>
      </c>
      <c r="F4" s="366" t="s">
        <v>232</v>
      </c>
      <c r="G4" s="366" t="s">
        <v>103</v>
      </c>
      <c r="H4" s="366" t="s">
        <v>104</v>
      </c>
      <c r="I4" s="366" t="s">
        <v>105</v>
      </c>
      <c r="J4" s="366" t="s">
        <v>106</v>
      </c>
      <c r="K4" s="366" t="s">
        <v>107</v>
      </c>
      <c r="L4" s="366">
        <v>7</v>
      </c>
      <c r="M4" s="62"/>
      <c r="N4" s="63"/>
      <c r="O4" s="446" t="s">
        <v>42</v>
      </c>
      <c r="P4" s="447"/>
      <c r="Q4" s="64"/>
    </row>
    <row r="5" spans="1:140">
      <c r="C5" s="36"/>
      <c r="F5" s="52"/>
      <c r="G5" s="52"/>
      <c r="H5" s="249"/>
      <c r="I5" s="249"/>
      <c r="J5" s="249"/>
      <c r="O5" s="26"/>
      <c r="P5" s="65"/>
      <c r="Q5" s="66"/>
    </row>
    <row r="6" spans="1:140">
      <c r="C6" s="36"/>
      <c r="F6" s="13"/>
      <c r="G6" s="13"/>
      <c r="H6" s="13"/>
      <c r="I6" s="13"/>
      <c r="J6" s="13"/>
      <c r="K6" s="13"/>
      <c r="L6" s="13"/>
      <c r="M6" s="13"/>
      <c r="O6" s="7" t="s">
        <v>161</v>
      </c>
      <c r="P6" s="67">
        <f>'Deal Summary'!T31</f>
        <v>0</v>
      </c>
      <c r="Q6" s="68"/>
    </row>
    <row r="7" spans="1:140">
      <c r="C7" s="36"/>
      <c r="F7" s="13"/>
      <c r="G7" s="13"/>
      <c r="H7" s="13"/>
      <c r="I7" s="13"/>
      <c r="J7" s="13"/>
      <c r="K7" s="13"/>
      <c r="L7" s="13"/>
      <c r="M7" s="13"/>
      <c r="O7" s="7"/>
      <c r="P7" s="67"/>
      <c r="Q7" s="68"/>
    </row>
    <row r="8" spans="1:140">
      <c r="C8" s="69" t="s">
        <v>43</v>
      </c>
      <c r="O8" s="7"/>
      <c r="P8" s="67"/>
      <c r="Q8" s="68"/>
    </row>
    <row r="9" spans="1:140">
      <c r="C9" s="36" t="s">
        <v>6</v>
      </c>
      <c r="E9" s="75">
        <v>0</v>
      </c>
      <c r="F9" s="75">
        <f>'Rent Roll'!DD28</f>
        <v>324000</v>
      </c>
      <c r="G9" s="75">
        <f>'Rent Roll'!DE28</f>
        <v>324000</v>
      </c>
      <c r="H9" s="75">
        <f>'Rent Roll'!DF28</f>
        <v>324000</v>
      </c>
      <c r="I9" s="75">
        <f>'Rent Roll'!DG28</f>
        <v>324000</v>
      </c>
      <c r="J9" s="75">
        <f>'Rent Roll'!DH28</f>
        <v>324000</v>
      </c>
      <c r="K9" s="75">
        <f>'Rent Roll'!DI28</f>
        <v>324000</v>
      </c>
      <c r="L9" s="75">
        <f>'Rent Roll'!DJ28</f>
        <v>324000</v>
      </c>
      <c r="M9" s="250"/>
      <c r="O9" s="7" t="s">
        <v>162</v>
      </c>
      <c r="P9" s="86">
        <f>'Deal Summary'!T26</f>
        <v>0</v>
      </c>
      <c r="Q9" s="66"/>
    </row>
    <row r="10" spans="1:140" s="71" customFormat="1">
      <c r="A10"/>
      <c r="B10"/>
      <c r="C10" s="45" t="s">
        <v>163</v>
      </c>
      <c r="E10" s="72"/>
      <c r="F10" s="72">
        <f t="shared" ref="F10:L10" si="0">F$9*$P$6</f>
        <v>0</v>
      </c>
      <c r="G10" s="72">
        <f t="shared" si="0"/>
        <v>0</v>
      </c>
      <c r="H10" s="72">
        <f t="shared" si="0"/>
        <v>0</v>
      </c>
      <c r="I10" s="72">
        <f t="shared" si="0"/>
        <v>0</v>
      </c>
      <c r="J10" s="72">
        <f t="shared" si="0"/>
        <v>0</v>
      </c>
      <c r="K10" s="72">
        <f t="shared" si="0"/>
        <v>0</v>
      </c>
      <c r="L10" s="72">
        <f t="shared" si="0"/>
        <v>0</v>
      </c>
      <c r="M10" s="250"/>
      <c r="N10"/>
      <c r="O10" s="7" t="s">
        <v>164</v>
      </c>
      <c r="P10" s="70" t="s">
        <v>165</v>
      </c>
      <c r="Q10" s="74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</row>
    <row r="11" spans="1:140" s="71" customFormat="1">
      <c r="A11"/>
      <c r="B11"/>
      <c r="C11" s="69" t="s">
        <v>45</v>
      </c>
      <c r="D11"/>
      <c r="E11" s="250"/>
      <c r="F11" s="250">
        <f>F9-F10</f>
        <v>324000</v>
      </c>
      <c r="G11" s="33">
        <f t="shared" ref="G11:K11" si="1">G9-G10</f>
        <v>324000</v>
      </c>
      <c r="H11" s="250">
        <f t="shared" si="1"/>
        <v>324000</v>
      </c>
      <c r="I11" s="33">
        <f t="shared" si="1"/>
        <v>324000</v>
      </c>
      <c r="J11" s="250">
        <f t="shared" si="1"/>
        <v>324000</v>
      </c>
      <c r="K11" s="33">
        <f t="shared" si="1"/>
        <v>324000</v>
      </c>
      <c r="L11" s="33">
        <f t="shared" ref="L11" si="2">L9-L10</f>
        <v>324000</v>
      </c>
      <c r="M11" s="33"/>
      <c r="N11"/>
      <c r="O11" s="7" t="s">
        <v>44</v>
      </c>
      <c r="P11" s="73">
        <f>'Deal Summary'!T30</f>
        <v>6.5000000000000002E-2</v>
      </c>
      <c r="Q11" s="68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</row>
    <row r="12" spans="1:140">
      <c r="C12" s="36" t="s">
        <v>166</v>
      </c>
      <c r="E12" s="250">
        <f>F12</f>
        <v>0</v>
      </c>
      <c r="F12" s="250">
        <f>F18*'Rent Roll'!$B$28+Proforma!F19*'Rent Roll'!$C$28+Proforma!F20*'Rent Roll'!$D$28</f>
        <v>0</v>
      </c>
      <c r="G12" s="250">
        <f>G18*'Rent Roll'!$B$28+Proforma!G19*'Rent Roll'!$C$28+Proforma!G20*'Rent Roll'!$D$28</f>
        <v>0</v>
      </c>
      <c r="H12" s="250">
        <f>H18*'Rent Roll'!$B$28+Proforma!H19*'Rent Roll'!$C$28+Proforma!H20*'Rent Roll'!$D$28</f>
        <v>0</v>
      </c>
      <c r="I12" s="250">
        <f>I18*'Rent Roll'!$B$28+Proforma!I19*'Rent Roll'!$C$28+Proforma!I20*'Rent Roll'!$D$28</f>
        <v>0</v>
      </c>
      <c r="J12" s="250">
        <f>J18*'Rent Roll'!$B$28+Proforma!J19*'Rent Roll'!$C$28+Proforma!J20*'Rent Roll'!$D$28</f>
        <v>0</v>
      </c>
      <c r="K12" s="250">
        <f>K18*'Rent Roll'!$B$28+Proforma!K19*'Rent Roll'!$C$28+Proforma!K20*'Rent Roll'!$D$28</f>
        <v>0</v>
      </c>
      <c r="L12" s="250">
        <f>L18*'Rent Roll'!$B$28+Proforma!L19*'Rent Roll'!$C$28+Proforma!L20*'Rent Roll'!$D$28</f>
        <v>0</v>
      </c>
      <c r="M12" s="14"/>
      <c r="O12" s="7" t="s">
        <v>46</v>
      </c>
      <c r="P12" s="67">
        <v>0.04</v>
      </c>
      <c r="Q12"/>
    </row>
    <row r="13" spans="1:140" s="71" customFormat="1">
      <c r="A13"/>
      <c r="B13"/>
      <c r="C13" s="36" t="s">
        <v>47</v>
      </c>
      <c r="D13"/>
      <c r="E13" s="250">
        <v>0</v>
      </c>
      <c r="F13" s="250">
        <v>0</v>
      </c>
      <c r="G13" s="250">
        <v>0</v>
      </c>
      <c r="H13" s="250">
        <v>0</v>
      </c>
      <c r="I13" s="250">
        <v>0</v>
      </c>
      <c r="J13" s="14">
        <v>0</v>
      </c>
      <c r="K13" s="14">
        <v>0</v>
      </c>
      <c r="L13" s="14">
        <v>0</v>
      </c>
      <c r="M13" s="14"/>
      <c r="N13"/>
      <c r="O13" s="7" t="s">
        <v>205</v>
      </c>
      <c r="P13" s="76">
        <f>'Deal Summary'!G30</f>
        <v>8.7361389569278858E-2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140" s="71" customFormat="1">
      <c r="A14"/>
      <c r="B14"/>
      <c r="C14" s="79" t="s">
        <v>49</v>
      </c>
      <c r="D14" s="80"/>
      <c r="E14" s="319">
        <f t="shared" ref="E14:K14" si="3">E11+E12+E13</f>
        <v>0</v>
      </c>
      <c r="F14" s="319">
        <f t="shared" si="3"/>
        <v>324000</v>
      </c>
      <c r="G14" s="81">
        <f t="shared" si="3"/>
        <v>324000</v>
      </c>
      <c r="H14" s="319">
        <f t="shared" si="3"/>
        <v>324000</v>
      </c>
      <c r="I14" s="81">
        <f t="shared" si="3"/>
        <v>324000</v>
      </c>
      <c r="J14" s="319">
        <f t="shared" si="3"/>
        <v>324000</v>
      </c>
      <c r="K14" s="81">
        <f t="shared" si="3"/>
        <v>324000</v>
      </c>
      <c r="L14" s="81">
        <f t="shared" ref="L14" si="4">L11+L12+L13</f>
        <v>324000</v>
      </c>
      <c r="M14" s="364"/>
      <c r="N14"/>
      <c r="O14" s="77" t="s">
        <v>48</v>
      </c>
      <c r="P14" s="78">
        <f>'Deal Summary'!G36</f>
        <v>741746.44335999992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140" s="83" customFormat="1">
      <c r="A15" s="52"/>
      <c r="B15" s="52"/>
      <c r="C15" s="69" t="s">
        <v>50</v>
      </c>
      <c r="D15" s="21"/>
      <c r="E15" s="251"/>
      <c r="F15" s="251"/>
      <c r="G15" s="251"/>
      <c r="H15" s="251"/>
      <c r="I15" s="251"/>
      <c r="J15" s="251"/>
      <c r="K15" s="251"/>
      <c r="L15" s="251"/>
      <c r="M15" s="250"/>
      <c r="N15" s="52"/>
      <c r="O15" s="77"/>
      <c r="P15" s="8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</row>
    <row r="16" spans="1:140" s="80" customFormat="1">
      <c r="A16" s="52"/>
      <c r="B16" s="52"/>
      <c r="C16" s="36" t="s">
        <v>230</v>
      </c>
      <c r="D16" s="21"/>
      <c r="E16" s="251">
        <v>0</v>
      </c>
      <c r="F16" s="251">
        <v>0</v>
      </c>
      <c r="G16" s="251">
        <f>'Rent Roll'!G34</f>
        <v>0</v>
      </c>
      <c r="H16" s="251">
        <f>'Rent Roll'!H34</f>
        <v>0</v>
      </c>
      <c r="I16" s="251">
        <f>'Rent Roll'!I34</f>
        <v>0</v>
      </c>
      <c r="J16" s="251">
        <f>'Rent Roll'!J34</f>
        <v>0</v>
      </c>
      <c r="K16" s="251">
        <f>'Rent Roll'!K34</f>
        <v>0</v>
      </c>
      <c r="L16" s="251">
        <f>'Rent Roll'!L34</f>
        <v>0</v>
      </c>
      <c r="M16" s="250"/>
      <c r="N16" s="52"/>
      <c r="O16" s="77"/>
      <c r="P16" s="8"/>
      <c r="Q16" s="85"/>
      <c r="R16"/>
      <c r="S16"/>
      <c r="T16"/>
      <c r="U16"/>
      <c r="V16"/>
      <c r="W16"/>
      <c r="X16"/>
      <c r="Y16"/>
      <c r="Z16"/>
      <c r="AA16"/>
      <c r="AB16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</row>
    <row r="17" spans="1:76" s="52" customFormat="1" ht="15.75" thickBot="1">
      <c r="C17" s="36" t="s">
        <v>167</v>
      </c>
      <c r="D17"/>
      <c r="E17" s="33"/>
      <c r="F17" s="33">
        <f>'Rent Roll'!$H$28*0.2</f>
        <v>1100</v>
      </c>
      <c r="G17" s="33">
        <f>'Rent Roll'!$H$28*0.2</f>
        <v>1100</v>
      </c>
      <c r="H17" s="33">
        <f>'Rent Roll'!$H$28*0.2</f>
        <v>1100</v>
      </c>
      <c r="I17" s="33">
        <f>'Rent Roll'!$H$28*0.2</f>
        <v>1100</v>
      </c>
      <c r="J17" s="33">
        <f>'Rent Roll'!$H$28*0.2</f>
        <v>1100</v>
      </c>
      <c r="K17" s="33">
        <f>'Rent Roll'!$H$28*0.2</f>
        <v>1100</v>
      </c>
      <c r="L17" s="33">
        <f>'Rent Roll'!$H$28*0.2</f>
        <v>1100</v>
      </c>
      <c r="M17" s="33"/>
      <c r="O17" s="16" t="s">
        <v>226</v>
      </c>
      <c r="P17" s="125">
        <f>'Tax Credits'!D22</f>
        <v>0</v>
      </c>
      <c r="Q17" s="85"/>
      <c r="R17"/>
      <c r="S17"/>
      <c r="T17"/>
      <c r="U17"/>
      <c r="V17"/>
      <c r="W17"/>
      <c r="X17"/>
      <c r="Y17"/>
      <c r="Z17"/>
      <c r="AA17"/>
      <c r="AB17"/>
    </row>
    <row r="18" spans="1:76" s="52" customFormat="1">
      <c r="C18" s="36" t="s">
        <v>168</v>
      </c>
      <c r="D18"/>
      <c r="E18" s="75">
        <f>F18</f>
        <v>0</v>
      </c>
      <c r="F18" s="339">
        <f>'Deal Summary'!$T23*'Rent Roll'!$H$28</f>
        <v>0</v>
      </c>
      <c r="G18" s="33">
        <f t="shared" ref="G18:L18" si="5">F$18*(1+$P$9)</f>
        <v>0</v>
      </c>
      <c r="H18" s="33">
        <f t="shared" si="5"/>
        <v>0</v>
      </c>
      <c r="I18" s="33">
        <f t="shared" si="5"/>
        <v>0</v>
      </c>
      <c r="J18" s="33">
        <f t="shared" si="5"/>
        <v>0</v>
      </c>
      <c r="K18" s="33">
        <f t="shared" si="5"/>
        <v>0</v>
      </c>
      <c r="L18" s="33">
        <f t="shared" si="5"/>
        <v>0</v>
      </c>
      <c r="M18" s="33"/>
      <c r="O18"/>
      <c r="P18" s="100"/>
      <c r="Q18" s="85"/>
      <c r="R18"/>
      <c r="S18"/>
      <c r="T18"/>
      <c r="U18"/>
      <c r="V18"/>
      <c r="W18"/>
      <c r="X18"/>
      <c r="Y18"/>
      <c r="Z18"/>
      <c r="AA18"/>
      <c r="AB18"/>
    </row>
    <row r="19" spans="1:76" s="52" customFormat="1">
      <c r="C19" s="36" t="s">
        <v>169</v>
      </c>
      <c r="D19"/>
      <c r="E19" s="75">
        <f>F19</f>
        <v>0</v>
      </c>
      <c r="F19" s="339">
        <f>'Deal Summary'!$T24*'Rent Roll'!$H$28</f>
        <v>0</v>
      </c>
      <c r="G19" s="33">
        <f t="shared" ref="G19:L19" si="6">F$19*(1+$P$9)</f>
        <v>0</v>
      </c>
      <c r="H19" s="33">
        <f t="shared" si="6"/>
        <v>0</v>
      </c>
      <c r="I19" s="33">
        <f t="shared" si="6"/>
        <v>0</v>
      </c>
      <c r="J19" s="33">
        <f t="shared" si="6"/>
        <v>0</v>
      </c>
      <c r="K19" s="33">
        <f t="shared" si="6"/>
        <v>0</v>
      </c>
      <c r="L19" s="33">
        <f t="shared" si="6"/>
        <v>0</v>
      </c>
      <c r="M19" s="33"/>
      <c r="O19"/>
      <c r="P19" s="100"/>
      <c r="Q19" s="85"/>
      <c r="R19"/>
      <c r="S19"/>
      <c r="T19"/>
      <c r="U19"/>
      <c r="V19"/>
      <c r="W19"/>
      <c r="X19"/>
      <c r="Y19"/>
      <c r="Z19"/>
      <c r="AA19"/>
      <c r="AB19"/>
    </row>
    <row r="20" spans="1:76" s="52" customFormat="1">
      <c r="C20" s="36" t="s">
        <v>170</v>
      </c>
      <c r="D20"/>
      <c r="E20" s="75">
        <f>F20</f>
        <v>0</v>
      </c>
      <c r="F20" s="339">
        <f>'Deal Summary'!$T25*'Rent Roll'!$H$28</f>
        <v>0</v>
      </c>
      <c r="G20" s="33">
        <f t="shared" ref="G20:L20" si="7">F$20*(1+$P$9)</f>
        <v>0</v>
      </c>
      <c r="H20" s="33">
        <f t="shared" si="7"/>
        <v>0</v>
      </c>
      <c r="I20" s="33">
        <f t="shared" si="7"/>
        <v>0</v>
      </c>
      <c r="J20" s="33">
        <f t="shared" si="7"/>
        <v>0</v>
      </c>
      <c r="K20" s="33">
        <f t="shared" si="7"/>
        <v>0</v>
      </c>
      <c r="L20" s="33">
        <f t="shared" si="7"/>
        <v>0</v>
      </c>
      <c r="M20" s="33"/>
      <c r="O20"/>
      <c r="P20" s="100"/>
      <c r="Q20" s="87"/>
      <c r="R20"/>
      <c r="S20"/>
      <c r="T20"/>
      <c r="U20"/>
      <c r="V20"/>
      <c r="W20"/>
      <c r="X20"/>
      <c r="Y20"/>
      <c r="Z20"/>
      <c r="AA20"/>
      <c r="AB20"/>
    </row>
    <row r="21" spans="1:76" s="52" customFormat="1">
      <c r="C21" s="36" t="s">
        <v>171</v>
      </c>
      <c r="D21" s="320">
        <f>'Deal Summary'!T27</f>
        <v>0.04</v>
      </c>
      <c r="E21" s="33">
        <f>E$11*$D$21</f>
        <v>0</v>
      </c>
      <c r="F21" s="33">
        <f>F$11*$D$21</f>
        <v>12960</v>
      </c>
      <c r="G21" s="33">
        <f>G$11*$D$21</f>
        <v>12960</v>
      </c>
      <c r="H21" s="33">
        <f t="shared" ref="H21:L21" si="8">H$11*$D$21</f>
        <v>12960</v>
      </c>
      <c r="I21" s="33">
        <f t="shared" si="8"/>
        <v>12960</v>
      </c>
      <c r="J21" s="33">
        <f t="shared" si="8"/>
        <v>12960</v>
      </c>
      <c r="K21" s="33">
        <f t="shared" si="8"/>
        <v>12960</v>
      </c>
      <c r="L21" s="33">
        <f t="shared" si="8"/>
        <v>12960</v>
      </c>
      <c r="M21" s="33"/>
      <c r="O21"/>
      <c r="P21" s="100"/>
      <c r="Q21" s="87"/>
      <c r="R21"/>
      <c r="S21"/>
      <c r="T21"/>
      <c r="U21"/>
      <c r="V21"/>
      <c r="W21"/>
      <c r="X21"/>
      <c r="Y21"/>
      <c r="Z21"/>
      <c r="AA21"/>
      <c r="AB21"/>
    </row>
    <row r="22" spans="1:76" s="52" customFormat="1" ht="15.75" customHeight="1">
      <c r="C22" s="79" t="s">
        <v>52</v>
      </c>
      <c r="D22" s="80"/>
      <c r="E22" s="88">
        <f t="shared" ref="E22:L22" si="9">E$14-SUM(E$15:E$21)</f>
        <v>0</v>
      </c>
      <c r="F22" s="88">
        <f t="shared" si="9"/>
        <v>309940</v>
      </c>
      <c r="G22" s="88">
        <f t="shared" si="9"/>
        <v>309940</v>
      </c>
      <c r="H22" s="88">
        <f t="shared" si="9"/>
        <v>309940</v>
      </c>
      <c r="I22" s="88">
        <f t="shared" si="9"/>
        <v>309940</v>
      </c>
      <c r="J22" s="88">
        <f t="shared" si="9"/>
        <v>309940</v>
      </c>
      <c r="K22" s="88">
        <f t="shared" si="9"/>
        <v>309940</v>
      </c>
      <c r="L22" s="88">
        <f t="shared" si="9"/>
        <v>309940</v>
      </c>
      <c r="M22" s="97"/>
      <c r="N22"/>
      <c r="O22"/>
      <c r="P22" s="100"/>
      <c r="Q22" s="82"/>
      <c r="R22"/>
      <c r="S22"/>
      <c r="T22"/>
      <c r="U22"/>
      <c r="V22"/>
      <c r="W22"/>
      <c r="X22"/>
      <c r="Y22"/>
      <c r="Z22"/>
      <c r="AA22"/>
      <c r="AB22"/>
    </row>
    <row r="23" spans="1:76" ht="17.25" customHeight="1" thickBot="1">
      <c r="C23" s="90" t="s">
        <v>53</v>
      </c>
      <c r="D23" s="91"/>
      <c r="E23" s="92"/>
      <c r="F23" s="92">
        <f>(Financing!K7*Financing!C13)+(Financing!K8*Financing!C11)</f>
        <v>218390.57646411276</v>
      </c>
      <c r="G23" s="92">
        <f>(Financing!K9*Financing!C13)+(Financing!K10*Financing!C11)</f>
        <v>234867.55927616911</v>
      </c>
      <c r="H23" s="92">
        <f>(Financing!K11*Financing!C13)+(Financing!K12*Financing!C11)</f>
        <v>234867.55927616911</v>
      </c>
      <c r="I23" s="92">
        <f t="shared" ref="I23:L23" si="10">H23</f>
        <v>234867.55927616911</v>
      </c>
      <c r="J23" s="92">
        <f t="shared" si="10"/>
        <v>234867.55927616911</v>
      </c>
      <c r="K23" s="92">
        <f t="shared" si="10"/>
        <v>234867.55927616911</v>
      </c>
      <c r="L23" s="92">
        <f t="shared" si="10"/>
        <v>234867.55927616911</v>
      </c>
      <c r="M23" s="250"/>
      <c r="P23" s="10"/>
      <c r="Q23" s="82"/>
    </row>
    <row r="24" spans="1:76" ht="17.25" hidden="1" customHeight="1" outlineLevel="1" thickBot="1">
      <c r="C24" s="93" t="s">
        <v>54</v>
      </c>
      <c r="D24" s="94"/>
      <c r="E24" s="95"/>
      <c r="F24" s="95">
        <f>F22-F23</f>
        <v>91549.423535887239</v>
      </c>
      <c r="G24" s="95">
        <f t="shared" ref="G24:H24" si="11">G22-G23</f>
        <v>75072.440723830892</v>
      </c>
      <c r="H24" s="95">
        <f t="shared" si="11"/>
        <v>75072.440723830892</v>
      </c>
      <c r="I24" s="95">
        <f>I22-I23</f>
        <v>75072.440723830892</v>
      </c>
      <c r="J24" s="53">
        <f>J22-J23</f>
        <v>75072.440723830892</v>
      </c>
      <c r="K24" s="53">
        <f>K22-K23</f>
        <v>75072.440723830892</v>
      </c>
      <c r="L24" s="53">
        <f>L22-L23</f>
        <v>75072.440723830892</v>
      </c>
      <c r="M24" s="97"/>
      <c r="P24" s="84">
        <v>7.0000000000000007E-2</v>
      </c>
      <c r="Q24" s="82"/>
    </row>
    <row r="25" spans="1:76" ht="17.25" hidden="1" customHeight="1" outlineLevel="1">
      <c r="C25" s="69" t="s">
        <v>17</v>
      </c>
      <c r="D25" s="52"/>
      <c r="E25" s="96"/>
      <c r="F25" s="96">
        <f t="shared" ref="F25:L25" si="12">F$22/F$23</f>
        <v>1.4192004298817866</v>
      </c>
      <c r="G25" s="96">
        <f t="shared" si="12"/>
        <v>1.3196373349950681</v>
      </c>
      <c r="H25" s="96">
        <f t="shared" si="12"/>
        <v>1.3196373349950681</v>
      </c>
      <c r="I25" s="96">
        <f t="shared" si="12"/>
        <v>1.3196373349950681</v>
      </c>
      <c r="J25" s="96">
        <f t="shared" si="12"/>
        <v>1.3196373349950681</v>
      </c>
      <c r="K25" s="96">
        <f t="shared" si="12"/>
        <v>1.3196373349950681</v>
      </c>
      <c r="L25" s="96">
        <f t="shared" si="12"/>
        <v>1.3196373349950681</v>
      </c>
      <c r="M25" s="97"/>
      <c r="P25" s="84"/>
      <c r="Q25" s="82"/>
    </row>
    <row r="26" spans="1:76" ht="17.25" hidden="1" customHeight="1" outlineLevel="1">
      <c r="C26" s="69"/>
      <c r="D26" s="75"/>
      <c r="E26" s="252"/>
      <c r="F26" s="252"/>
      <c r="G26" s="252"/>
      <c r="H26" s="252"/>
      <c r="I26" s="252"/>
      <c r="J26" s="97"/>
      <c r="K26" s="97"/>
      <c r="L26" s="97"/>
      <c r="M26" s="97"/>
      <c r="P26" s="84"/>
      <c r="Q26" s="82"/>
    </row>
    <row r="27" spans="1:76" ht="15" hidden="1" customHeight="1" outlineLevel="1">
      <c r="C27" s="69" t="s">
        <v>55</v>
      </c>
      <c r="D27" s="75"/>
      <c r="E27" s="252"/>
      <c r="F27" s="252"/>
      <c r="G27" s="252"/>
      <c r="H27" s="252"/>
      <c r="I27" s="252"/>
      <c r="J27" s="97"/>
      <c r="K27" s="97"/>
      <c r="L27" s="97"/>
      <c r="M27" s="97"/>
      <c r="P27" s="84"/>
    </row>
    <row r="28" spans="1:76" s="80" customFormat="1" ht="15" hidden="1" customHeight="1" outlineLevel="1" thickBot="1">
      <c r="A28" s="52"/>
      <c r="B28" s="52"/>
      <c r="C28" s="98" t="s">
        <v>56</v>
      </c>
      <c r="D28"/>
      <c r="E28" s="99"/>
      <c r="F28" s="99">
        <f t="shared" ref="F28:L28" si="13">F$24</f>
        <v>91549.423535887239</v>
      </c>
      <c r="G28" s="99">
        <f t="shared" si="13"/>
        <v>75072.440723830892</v>
      </c>
      <c r="H28" s="99">
        <f t="shared" si="13"/>
        <v>75072.440723830892</v>
      </c>
      <c r="I28" s="99">
        <f t="shared" si="13"/>
        <v>75072.440723830892</v>
      </c>
      <c r="J28" s="99">
        <f t="shared" si="13"/>
        <v>75072.440723830892</v>
      </c>
      <c r="K28" s="99">
        <f t="shared" si="13"/>
        <v>75072.440723830892</v>
      </c>
      <c r="L28" s="99">
        <f t="shared" si="13"/>
        <v>75072.440723830892</v>
      </c>
      <c r="M28" s="250"/>
      <c r="N28"/>
      <c r="O28"/>
      <c r="P28" s="86">
        <v>0.7</v>
      </c>
      <c r="Q28" s="101"/>
      <c r="R28"/>
      <c r="S28"/>
      <c r="T28"/>
      <c r="U28"/>
      <c r="V28"/>
      <c r="W28"/>
      <c r="X28"/>
      <c r="Y28"/>
      <c r="Z28"/>
      <c r="AA28"/>
      <c r="AB28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</row>
    <row r="29" spans="1:76" s="52" customFormat="1" ht="15" hidden="1" customHeight="1" outlineLevel="1" thickTop="1" thickBot="1">
      <c r="C29" s="69" t="s">
        <v>57</v>
      </c>
      <c r="D29"/>
      <c r="E29" s="97"/>
      <c r="F29" s="97">
        <f t="shared" ref="F29:L29" si="14">F$28</f>
        <v>91549.423535887239</v>
      </c>
      <c r="G29" s="97">
        <f t="shared" si="14"/>
        <v>75072.440723830892</v>
      </c>
      <c r="H29" s="97">
        <f t="shared" si="14"/>
        <v>75072.440723830892</v>
      </c>
      <c r="I29" s="97">
        <f t="shared" si="14"/>
        <v>75072.440723830892</v>
      </c>
      <c r="J29" s="97">
        <f t="shared" si="14"/>
        <v>75072.440723830892</v>
      </c>
      <c r="K29" s="97">
        <f t="shared" si="14"/>
        <v>75072.440723830892</v>
      </c>
      <c r="L29" s="97">
        <f t="shared" si="14"/>
        <v>75072.440723830892</v>
      </c>
      <c r="M29" s="14"/>
      <c r="O29"/>
      <c r="P29" s="89">
        <v>0.3</v>
      </c>
      <c r="Q29" s="101"/>
      <c r="R29"/>
      <c r="S29"/>
      <c r="T29"/>
      <c r="U29"/>
      <c r="V29"/>
      <c r="W29"/>
      <c r="X29"/>
      <c r="Y29"/>
      <c r="Z29"/>
      <c r="AA29"/>
      <c r="AB29"/>
    </row>
    <row r="30" spans="1:76" s="52" customFormat="1" ht="15" hidden="1" customHeight="1" outlineLevel="1">
      <c r="C30" s="69"/>
      <c r="D30"/>
      <c r="E30" s="97"/>
      <c r="F30" s="97"/>
      <c r="G30" s="97"/>
      <c r="H30" s="97"/>
      <c r="I30" s="97"/>
      <c r="J30" s="97"/>
      <c r="K30" s="97"/>
      <c r="L30" s="97"/>
      <c r="M30" s="14"/>
      <c r="O30"/>
      <c r="P30" s="100"/>
      <c r="Q30" s="101"/>
      <c r="R30"/>
      <c r="S30"/>
      <c r="T30"/>
      <c r="U30"/>
      <c r="V30"/>
      <c r="W30"/>
      <c r="X30"/>
      <c r="Y30"/>
      <c r="Z30"/>
      <c r="AA30"/>
      <c r="AB30"/>
    </row>
    <row r="31" spans="1:76" ht="15" hidden="1" customHeight="1" outlineLevel="1">
      <c r="C31" s="102" t="s">
        <v>51</v>
      </c>
      <c r="E31" s="103"/>
      <c r="F31" s="103">
        <f>+$P$14*$P$24</f>
        <v>51922.251035200003</v>
      </c>
      <c r="G31" s="103">
        <f t="shared" ref="G31:L31" si="15">+$P$14*$P$24</f>
        <v>51922.251035200003</v>
      </c>
      <c r="H31" s="103">
        <f t="shared" si="15"/>
        <v>51922.251035200003</v>
      </c>
      <c r="I31" s="103">
        <f t="shared" si="15"/>
        <v>51922.251035200003</v>
      </c>
      <c r="J31" s="103">
        <f t="shared" si="15"/>
        <v>51922.251035200003</v>
      </c>
      <c r="K31" s="103">
        <f t="shared" si="15"/>
        <v>51922.251035200003</v>
      </c>
      <c r="L31" s="103">
        <f t="shared" si="15"/>
        <v>51922.251035200003</v>
      </c>
      <c r="M31" s="14"/>
      <c r="N31" s="52"/>
      <c r="P31" s="100"/>
    </row>
    <row r="32" spans="1:76" ht="15" hidden="1" customHeight="1" outlineLevel="1">
      <c r="C32" s="36" t="s">
        <v>58</v>
      </c>
      <c r="E32" s="14"/>
      <c r="F32" s="14">
        <f t="shared" ref="F32:L32" si="16">F$29-F$31</f>
        <v>39627.172500687237</v>
      </c>
      <c r="G32" s="14">
        <f t="shared" si="16"/>
        <v>23150.18968863089</v>
      </c>
      <c r="H32" s="14">
        <f t="shared" si="16"/>
        <v>23150.18968863089</v>
      </c>
      <c r="I32" s="14">
        <f t="shared" si="16"/>
        <v>23150.18968863089</v>
      </c>
      <c r="J32" s="14">
        <f t="shared" si="16"/>
        <v>23150.18968863089</v>
      </c>
      <c r="K32" s="14">
        <f t="shared" si="16"/>
        <v>23150.18968863089</v>
      </c>
      <c r="L32" s="14">
        <f t="shared" si="16"/>
        <v>23150.18968863089</v>
      </c>
      <c r="M32" s="14"/>
      <c r="P32" s="100"/>
      <c r="R32" s="21"/>
    </row>
    <row r="33" spans="1:76" ht="14.25" customHeight="1" collapsed="1" thickBot="1">
      <c r="A33" s="13"/>
      <c r="B33" s="13"/>
      <c r="C33" s="104"/>
      <c r="N33" s="52"/>
      <c r="P33" s="10"/>
      <c r="R33" s="12"/>
      <c r="T33" s="2"/>
    </row>
    <row r="34" spans="1:76" s="94" customFormat="1" ht="15.75" thickBot="1">
      <c r="A34" s="13"/>
      <c r="B34" s="13"/>
      <c r="C34" s="98" t="s">
        <v>59</v>
      </c>
      <c r="D34" s="105"/>
      <c r="E34" s="106"/>
      <c r="F34" s="106">
        <f t="shared" ref="F34:L34" si="17">IF(($P$14*$P$24)&gt;F29,F29,$P$14*$P$24)+IF((F$32*$P$28)&gt;0,F$32*$P$28,0)</f>
        <v>79661.271785681063</v>
      </c>
      <c r="G34" s="106">
        <f t="shared" si="17"/>
        <v>68127.383817241629</v>
      </c>
      <c r="H34" s="106">
        <f t="shared" si="17"/>
        <v>68127.383817241629</v>
      </c>
      <c r="I34" s="106">
        <f t="shared" si="17"/>
        <v>68127.383817241629</v>
      </c>
      <c r="J34" s="106">
        <f t="shared" si="17"/>
        <v>68127.383817241629</v>
      </c>
      <c r="K34" s="106">
        <f t="shared" si="17"/>
        <v>68127.383817241629</v>
      </c>
      <c r="L34" s="106">
        <f t="shared" si="17"/>
        <v>68127.383817241629</v>
      </c>
      <c r="M34" s="365"/>
      <c r="N34"/>
      <c r="O34"/>
      <c r="P34" s="18"/>
      <c r="Q34" s="101"/>
      <c r="R34"/>
      <c r="S34"/>
      <c r="T34"/>
      <c r="U34"/>
      <c r="V34"/>
      <c r="W34"/>
      <c r="X34"/>
      <c r="Y34"/>
      <c r="Z34"/>
      <c r="AA34"/>
      <c r="AB34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</row>
    <row r="35" spans="1:76">
      <c r="C35" s="98" t="s">
        <v>60</v>
      </c>
      <c r="D35" s="105"/>
      <c r="E35" s="106"/>
      <c r="F35" s="106">
        <f>IF(F$32*$P$29&gt;0,F$32*$P$29,0)</f>
        <v>11888.151750206171</v>
      </c>
      <c r="G35" s="106">
        <f t="shared" ref="G35:L35" si="18">IF(G$32*$P$29&gt;0,G$32*$P$29,0)</f>
        <v>6945.0569065892669</v>
      </c>
      <c r="H35" s="106">
        <f t="shared" si="18"/>
        <v>6945.0569065892669</v>
      </c>
      <c r="I35" s="106">
        <f t="shared" si="18"/>
        <v>6945.0569065892669</v>
      </c>
      <c r="J35" s="106">
        <f t="shared" si="18"/>
        <v>6945.0569065892669</v>
      </c>
      <c r="K35" s="106">
        <f t="shared" si="18"/>
        <v>6945.0569065892669</v>
      </c>
      <c r="L35" s="106">
        <f t="shared" si="18"/>
        <v>6945.0569065892669</v>
      </c>
      <c r="M35" s="20"/>
      <c r="P35" s="18"/>
    </row>
    <row r="36" spans="1:76">
      <c r="C36" s="98"/>
      <c r="D36" s="107"/>
      <c r="E36" s="20"/>
      <c r="F36" s="20"/>
      <c r="G36" s="20"/>
      <c r="H36" s="20"/>
      <c r="I36" s="20"/>
      <c r="J36" s="20"/>
      <c r="K36" s="20"/>
      <c r="L36" s="20"/>
      <c r="O36" s="52"/>
      <c r="P36" s="100"/>
    </row>
    <row r="37" spans="1:76" ht="15" hidden="1" customHeight="1">
      <c r="C37" s="98" t="s">
        <v>172</v>
      </c>
      <c r="D37" s="107"/>
      <c r="E37" s="20"/>
      <c r="F37" s="20" t="e">
        <f t="shared" ref="F37:L37" si="19">F$34/$O$14</f>
        <v>#VALUE!</v>
      </c>
      <c r="G37" s="20" t="e">
        <f t="shared" si="19"/>
        <v>#VALUE!</v>
      </c>
      <c r="H37" s="20" t="e">
        <f t="shared" si="19"/>
        <v>#VALUE!</v>
      </c>
      <c r="I37" s="20" t="e">
        <f t="shared" si="19"/>
        <v>#VALUE!</v>
      </c>
      <c r="J37" s="20" t="e">
        <f t="shared" si="19"/>
        <v>#VALUE!</v>
      </c>
      <c r="K37" s="20" t="e">
        <f t="shared" si="19"/>
        <v>#VALUE!</v>
      </c>
      <c r="L37" s="20" t="e">
        <f t="shared" si="19"/>
        <v>#VALUE!</v>
      </c>
      <c r="M37" s="20"/>
      <c r="P37" s="10"/>
    </row>
    <row r="38" spans="1:76">
      <c r="C38" s="98" t="s">
        <v>173</v>
      </c>
      <c r="E38" s="25"/>
      <c r="F38" s="25">
        <f>F$35/$P$14</f>
        <v>1.6027244696118298E-2</v>
      </c>
      <c r="G38" s="25">
        <f t="shared" ref="G38:L38" si="20">G$35/$P$14</f>
        <v>9.363114536996231E-3</v>
      </c>
      <c r="H38" s="25">
        <f t="shared" si="20"/>
        <v>9.363114536996231E-3</v>
      </c>
      <c r="I38" s="25">
        <f t="shared" si="20"/>
        <v>9.363114536996231E-3</v>
      </c>
      <c r="J38" s="25">
        <f t="shared" si="20"/>
        <v>9.363114536996231E-3</v>
      </c>
      <c r="K38" s="25">
        <f t="shared" si="20"/>
        <v>9.363114536996231E-3</v>
      </c>
      <c r="L38" s="25">
        <f t="shared" si="20"/>
        <v>9.363114536996231E-3</v>
      </c>
      <c r="M38" s="253"/>
      <c r="N38" s="52"/>
      <c r="P38" s="10"/>
    </row>
    <row r="39" spans="1:76">
      <c r="C39" s="98" t="s">
        <v>35</v>
      </c>
      <c r="E39" s="25"/>
      <c r="F39" s="25">
        <f>F24/$P$14</f>
        <v>0.12342414898706101</v>
      </c>
      <c r="G39" s="25">
        <f t="shared" ref="G39:K39" si="21">G24/$P$14</f>
        <v>0.10121038178998745</v>
      </c>
      <c r="H39" s="25">
        <f t="shared" si="21"/>
        <v>0.10121038178998745</v>
      </c>
      <c r="I39" s="25">
        <f t="shared" si="21"/>
        <v>0.10121038178998745</v>
      </c>
      <c r="J39" s="25">
        <f t="shared" si="21"/>
        <v>0.10121038178998745</v>
      </c>
      <c r="K39" s="25">
        <f t="shared" si="21"/>
        <v>0.10121038178998745</v>
      </c>
      <c r="L39" s="25">
        <f t="shared" ref="L39" si="22">L24/$P$14</f>
        <v>0.10121038178998745</v>
      </c>
      <c r="M39" s="25"/>
      <c r="N39" s="52"/>
      <c r="P39" s="10"/>
      <c r="S39" s="47"/>
    </row>
    <row r="40" spans="1:76" s="71" customFormat="1">
      <c r="A40"/>
      <c r="B40"/>
      <c r="C40" s="98" t="s">
        <v>61</v>
      </c>
      <c r="D40"/>
      <c r="E40"/>
      <c r="F40" s="254">
        <f>(SUM($F$28:F28)+F48)/$P$14</f>
        <v>2.2947720881556735</v>
      </c>
      <c r="G40" s="254">
        <f>(SUM($F$28:G28)+G48)/$P$14</f>
        <v>2.4645663010828822</v>
      </c>
      <c r="H40" s="254">
        <f>(SUM($F$28:H28)+H48)/$P$14</f>
        <v>2.6387719504814924</v>
      </c>
      <c r="I40" s="254">
        <f>(SUM($F$28:I28)+I48)/$P$14</f>
        <v>2.8176727879503662</v>
      </c>
      <c r="J40" s="254">
        <f>(SUM($F$28:J28)+J48)/$P$14</f>
        <v>3.0015708165061006</v>
      </c>
      <c r="K40" s="254">
        <f>(SUM($F$28:K28)+K48)/$P$14</f>
        <v>3.1907874645473351</v>
      </c>
      <c r="L40" s="254">
        <f>(SUM($F$28:L28)+L48)/$P$14</f>
        <v>3.3856648353305792</v>
      </c>
      <c r="M40" s="254"/>
      <c r="N40"/>
      <c r="O40"/>
      <c r="P40" s="10"/>
      <c r="Q40" s="58"/>
      <c r="R40"/>
      <c r="S40" s="2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76">
      <c r="C41" s="108" t="s">
        <v>62</v>
      </c>
      <c r="D41" s="109"/>
      <c r="E41" s="109"/>
      <c r="F41" s="109"/>
      <c r="G41" s="110">
        <f>'IRR '!G10</f>
        <v>0.37031056152343755</v>
      </c>
      <c r="H41" s="110">
        <f>'IRR '!H19</f>
        <v>0.29512906738281242</v>
      </c>
      <c r="I41" s="110">
        <f>'IRR '!I28</f>
        <v>0.25240019042968753</v>
      </c>
      <c r="J41" s="110">
        <f>'IRR '!J37</f>
        <v>0.22485148925781256</v>
      </c>
      <c r="K41" s="110">
        <f>'IRR '!K46</f>
        <v>0.20553067871093755</v>
      </c>
      <c r="L41" s="110">
        <f>'IRR '!L55</f>
        <v>0.19132937011718754</v>
      </c>
      <c r="M41" s="110"/>
      <c r="N41" s="109"/>
      <c r="O41" s="109"/>
      <c r="P41" s="321"/>
      <c r="S41" s="2"/>
    </row>
    <row r="42" spans="1:76">
      <c r="C42" s="36"/>
      <c r="P42" s="10"/>
      <c r="S42" s="2"/>
    </row>
    <row r="43" spans="1:76" ht="36.75" customHeight="1">
      <c r="C43" s="448" t="s">
        <v>63</v>
      </c>
      <c r="D43" s="449"/>
      <c r="E43" s="449"/>
      <c r="F43" s="449"/>
      <c r="G43" s="449"/>
      <c r="H43" s="449"/>
      <c r="I43" s="449"/>
      <c r="J43" s="449"/>
      <c r="K43" s="449"/>
      <c r="L43" s="450"/>
      <c r="M43" s="14"/>
      <c r="O43" s="322" t="s">
        <v>174</v>
      </c>
      <c r="P43" s="10"/>
      <c r="S43" s="2"/>
    </row>
    <row r="44" spans="1:76" ht="26.25" customHeight="1">
      <c r="C44" s="323"/>
      <c r="D44" s="324"/>
      <c r="E44" s="324"/>
      <c r="F44" s="324" t="str">
        <f t="shared" ref="F44:L44" si="23">+F4</f>
        <v>Year 1 (2026)</v>
      </c>
      <c r="G44" s="324" t="str">
        <f t="shared" si="23"/>
        <v>Year 2</v>
      </c>
      <c r="H44" s="324" t="str">
        <f t="shared" si="23"/>
        <v>Year 3</v>
      </c>
      <c r="I44" s="324" t="str">
        <f t="shared" si="23"/>
        <v>Year 4</v>
      </c>
      <c r="J44" s="324" t="str">
        <f t="shared" si="23"/>
        <v>Year 5</v>
      </c>
      <c r="K44" s="324" t="str">
        <f t="shared" si="23"/>
        <v>Year 6</v>
      </c>
      <c r="L44" s="368">
        <f t="shared" si="23"/>
        <v>7</v>
      </c>
      <c r="M44" s="14"/>
      <c r="O44" s="325" t="s">
        <v>175</v>
      </c>
      <c r="P44" s="10"/>
    </row>
    <row r="45" spans="1:76" s="113" customFormat="1" ht="15" customHeight="1">
      <c r="A45"/>
      <c r="B45"/>
      <c r="C45" s="27" t="s">
        <v>64</v>
      </c>
      <c r="D45" s="111"/>
      <c r="E45" s="111"/>
      <c r="F45" s="14">
        <f>F$22/$P$11</f>
        <v>4768307.692307692</v>
      </c>
      <c r="G45" s="14">
        <f t="shared" ref="G45:L45" si="24">G$22/$P$11</f>
        <v>4768307.692307692</v>
      </c>
      <c r="H45" s="14">
        <f t="shared" si="24"/>
        <v>4768307.692307692</v>
      </c>
      <c r="I45" s="14">
        <f t="shared" si="24"/>
        <v>4768307.692307692</v>
      </c>
      <c r="J45" s="14">
        <f t="shared" si="24"/>
        <v>4768307.692307692</v>
      </c>
      <c r="K45" s="14">
        <f t="shared" si="24"/>
        <v>4768307.692307692</v>
      </c>
      <c r="L45" s="112">
        <f t="shared" si="24"/>
        <v>4768307.692307692</v>
      </c>
      <c r="M45"/>
      <c r="N45"/>
      <c r="O45" s="326"/>
      <c r="P45" s="10"/>
      <c r="Q45" s="5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76" ht="15.75" customHeight="1">
      <c r="C46" s="27" t="s">
        <v>65</v>
      </c>
      <c r="D46" s="111"/>
      <c r="E46" s="111"/>
      <c r="F46" s="14">
        <f t="shared" ref="F46:L46" si="25">F$45*0.04</f>
        <v>190732.30769230769</v>
      </c>
      <c r="G46" s="14">
        <f t="shared" si="25"/>
        <v>190732.30769230769</v>
      </c>
      <c r="H46" s="14">
        <f t="shared" si="25"/>
        <v>190732.30769230769</v>
      </c>
      <c r="I46" s="14">
        <f t="shared" si="25"/>
        <v>190732.30769230769</v>
      </c>
      <c r="J46" s="14">
        <f t="shared" si="25"/>
        <v>190732.30769230769</v>
      </c>
      <c r="K46" s="14">
        <f t="shared" si="25"/>
        <v>190732.30769230769</v>
      </c>
      <c r="L46" s="112">
        <f t="shared" si="25"/>
        <v>190732.30769230769</v>
      </c>
      <c r="M46" s="14"/>
      <c r="O46" s="325"/>
      <c r="P46" s="10"/>
    </row>
    <row r="47" spans="1:76" ht="15" customHeight="1">
      <c r="C47" s="27" t="s">
        <v>66</v>
      </c>
      <c r="D47" s="111"/>
      <c r="E47" s="111"/>
      <c r="F47" s="14">
        <f>Financing!H28</f>
        <v>2966985.7734400001</v>
      </c>
      <c r="G47" s="14">
        <f>Financing!H40</f>
        <v>2916113.9606219637</v>
      </c>
      <c r="H47" s="14">
        <f>Financing!H52</f>
        <v>2861969.9804911562</v>
      </c>
      <c r="I47" s="14">
        <f>Financing!H64</f>
        <v>2804343.3613083246</v>
      </c>
      <c r="J47" s="14">
        <f>Financing!H76</f>
        <v>2743010.093410024</v>
      </c>
      <c r="K47" s="14">
        <f>Financing!H88</f>
        <v>2677731.7584247682</v>
      </c>
      <c r="L47" s="112">
        <f>Financing!H100</f>
        <v>2608254.6024787799</v>
      </c>
      <c r="M47" s="14"/>
      <c r="O47" s="327"/>
      <c r="P47" s="10"/>
      <c r="Q47" s="115"/>
    </row>
    <row r="48" spans="1:76" ht="15" customHeight="1">
      <c r="C48" s="77" t="s">
        <v>67</v>
      </c>
      <c r="D48" s="52"/>
      <c r="E48" s="52"/>
      <c r="F48" s="97">
        <f t="shared" ref="F48:L48" si="26">F$45-F$46-F$47</f>
        <v>1610589.6111753839</v>
      </c>
      <c r="G48" s="97">
        <f t="shared" si="26"/>
        <v>1661461.4239934203</v>
      </c>
      <c r="H48" s="97">
        <f t="shared" si="26"/>
        <v>1715605.4041242278</v>
      </c>
      <c r="I48" s="97">
        <f t="shared" si="26"/>
        <v>1773232.0233070594</v>
      </c>
      <c r="J48" s="97">
        <f t="shared" si="26"/>
        <v>1834565.2912053601</v>
      </c>
      <c r="K48" s="97">
        <f t="shared" si="26"/>
        <v>1899843.6261906158</v>
      </c>
      <c r="L48" s="114">
        <f t="shared" si="26"/>
        <v>1969320.7821366042</v>
      </c>
      <c r="M48" s="97"/>
      <c r="O48" s="328"/>
      <c r="P48" s="10"/>
      <c r="Q48" s="115"/>
    </row>
    <row r="49" spans="3:17" ht="15" customHeight="1">
      <c r="C49" s="11" t="s">
        <v>68</v>
      </c>
      <c r="D49" s="111"/>
      <c r="E49" s="111"/>
      <c r="F49" s="14">
        <f>$P$14</f>
        <v>741746.44335999992</v>
      </c>
      <c r="G49" s="14">
        <f t="shared" ref="G49:L49" si="27">$P$14</f>
        <v>741746.44335999992</v>
      </c>
      <c r="H49" s="14">
        <f t="shared" si="27"/>
        <v>741746.44335999992</v>
      </c>
      <c r="I49" s="14">
        <f t="shared" si="27"/>
        <v>741746.44335999992</v>
      </c>
      <c r="J49" s="14">
        <f t="shared" si="27"/>
        <v>741746.44335999992</v>
      </c>
      <c r="K49" s="14">
        <f t="shared" si="27"/>
        <v>741746.44335999992</v>
      </c>
      <c r="L49" s="112">
        <f t="shared" si="27"/>
        <v>741746.44335999992</v>
      </c>
      <c r="M49" s="14"/>
      <c r="N49" s="329"/>
      <c r="O49" s="330"/>
      <c r="P49" s="331"/>
      <c r="Q49" s="118"/>
    </row>
    <row r="50" spans="3:17" ht="18.95" customHeight="1" thickBot="1">
      <c r="C50" s="29" t="s">
        <v>69</v>
      </c>
      <c r="D50" s="116"/>
      <c r="E50" s="116"/>
      <c r="F50" s="117">
        <f t="shared" ref="F50:L50" si="28">F$48-F$49</f>
        <v>868843.16781538399</v>
      </c>
      <c r="G50" s="117">
        <f t="shared" si="28"/>
        <v>919714.9806334204</v>
      </c>
      <c r="H50" s="117">
        <f t="shared" si="28"/>
        <v>973858.9607642279</v>
      </c>
      <c r="I50" s="117">
        <f t="shared" si="28"/>
        <v>1031485.5799470595</v>
      </c>
      <c r="J50" s="117">
        <f t="shared" si="28"/>
        <v>1092818.8478453602</v>
      </c>
      <c r="K50" s="117">
        <f t="shared" si="28"/>
        <v>1158097.1828306159</v>
      </c>
      <c r="L50" s="367">
        <f t="shared" si="28"/>
        <v>1227574.3387766043</v>
      </c>
      <c r="M50" s="124"/>
      <c r="N50" s="332"/>
      <c r="O50" s="333"/>
      <c r="P50" s="334"/>
      <c r="Q50" s="120"/>
    </row>
    <row r="51" spans="3:17" ht="18.95" customHeight="1">
      <c r="C51" s="111"/>
      <c r="D51" s="111"/>
      <c r="E51" s="111"/>
      <c r="F51" s="14"/>
      <c r="G51" s="14"/>
      <c r="H51" s="14"/>
      <c r="N51" s="118"/>
      <c r="P51" s="119"/>
      <c r="Q51" s="120"/>
    </row>
    <row r="52" spans="3:17" ht="18.95" customHeight="1">
      <c r="C52" s="344" t="s">
        <v>202</v>
      </c>
      <c r="D52" s="113"/>
      <c r="E52" s="113"/>
      <c r="F52" s="343">
        <f t="shared" ref="F52:L53" si="29">F$50*$P28</f>
        <v>608190.21747076872</v>
      </c>
      <c r="G52" s="343">
        <f t="shared" si="29"/>
        <v>643800.48644339421</v>
      </c>
      <c r="H52" s="343">
        <f t="shared" si="29"/>
        <v>681701.27253495948</v>
      </c>
      <c r="I52" s="343">
        <f t="shared" si="29"/>
        <v>722039.90596294159</v>
      </c>
      <c r="J52" s="343">
        <f t="shared" si="29"/>
        <v>764973.19349175203</v>
      </c>
      <c r="K52" s="343">
        <f t="shared" si="29"/>
        <v>810668.02798143111</v>
      </c>
      <c r="L52" s="346">
        <f t="shared" si="29"/>
        <v>859302.03714362299</v>
      </c>
      <c r="Q52" s="120"/>
    </row>
    <row r="53" spans="3:17" ht="18.95" customHeight="1">
      <c r="C53" s="345" t="s">
        <v>203</v>
      </c>
      <c r="D53" s="71"/>
      <c r="E53" s="71"/>
      <c r="F53" s="122">
        <f t="shared" si="29"/>
        <v>260652.95034461518</v>
      </c>
      <c r="G53" s="122">
        <f t="shared" si="29"/>
        <v>275914.49419002613</v>
      </c>
      <c r="H53" s="122">
        <f t="shared" si="29"/>
        <v>292157.68822926836</v>
      </c>
      <c r="I53" s="122">
        <f t="shared" si="29"/>
        <v>309445.67398411786</v>
      </c>
      <c r="J53" s="122">
        <f t="shared" si="29"/>
        <v>327845.65435360803</v>
      </c>
      <c r="K53" s="122">
        <f t="shared" si="29"/>
        <v>347429.15484918474</v>
      </c>
      <c r="L53" s="347">
        <f t="shared" si="29"/>
        <v>368272.30163298128</v>
      </c>
      <c r="Q53" s="120"/>
    </row>
    <row r="54" spans="3:17" ht="15.75" customHeight="1">
      <c r="C54"/>
      <c r="Q54" s="82"/>
    </row>
    <row r="55" spans="3:17">
      <c r="C55"/>
      <c r="D55" s="13"/>
    </row>
    <row r="56" spans="3:17">
      <c r="C56"/>
    </row>
    <row r="57" spans="3:17">
      <c r="C57"/>
    </row>
    <row r="58" spans="3:17">
      <c r="C58"/>
      <c r="N58" s="2"/>
    </row>
    <row r="59" spans="3:17">
      <c r="C59"/>
    </row>
    <row r="60" spans="3:17">
      <c r="C60"/>
    </row>
    <row r="61" spans="3:17">
      <c r="C61"/>
    </row>
    <row r="62" spans="3:17">
      <c r="C62"/>
    </row>
    <row r="63" spans="3:17">
      <c r="C63"/>
    </row>
    <row r="64" spans="3:17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13">
      <c r="C81"/>
    </row>
    <row r="82" spans="3:13">
      <c r="C82"/>
    </row>
    <row r="83" spans="3:13">
      <c r="C83"/>
    </row>
    <row r="84" spans="3:13">
      <c r="C84"/>
    </row>
    <row r="85" spans="3:13">
      <c r="C85"/>
      <c r="D85" s="14"/>
      <c r="E85" s="14"/>
      <c r="F85" s="14"/>
      <c r="G85" s="14"/>
      <c r="H85" s="14"/>
      <c r="I85" s="14"/>
      <c r="J85" s="14"/>
      <c r="K85" s="14"/>
    </row>
    <row r="86" spans="3:13">
      <c r="C86"/>
      <c r="D86" s="14"/>
      <c r="E86" s="20"/>
      <c r="F86" s="14"/>
      <c r="G86" s="14"/>
      <c r="H86" s="14"/>
      <c r="I86" s="14"/>
      <c r="J86" s="14"/>
      <c r="K86" s="14"/>
    </row>
    <row r="87" spans="3:13">
      <c r="C87"/>
      <c r="D87" s="14"/>
      <c r="E87" s="14"/>
      <c r="H87" s="14"/>
      <c r="I87" s="14"/>
      <c r="J87" s="14"/>
      <c r="K87" s="14"/>
    </row>
    <row r="90" spans="3:13">
      <c r="L90" s="14"/>
      <c r="M90" s="14"/>
    </row>
    <row r="91" spans="3:13">
      <c r="L91" s="14"/>
      <c r="M91" s="14"/>
    </row>
    <row r="92" spans="3:13">
      <c r="L92" s="14"/>
      <c r="M92" s="14"/>
    </row>
  </sheetData>
  <sheetProtection sheet="1" objects="1" scenarios="1" formatCells="0" sort="0" autoFilter="0" pivotTables="0"/>
  <mergeCells count="3">
    <mergeCell ref="C2:P3"/>
    <mergeCell ref="O4:P4"/>
    <mergeCell ref="C43:L43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07A-42C3-40AE-9C88-1CBADE8E8F29}">
  <sheetPr codeName="Sheet4">
    <tabColor theme="4" tint="0.79998168889431442"/>
  </sheetPr>
  <dimension ref="B1:DK34"/>
  <sheetViews>
    <sheetView showGridLines="0" topLeftCell="A7" workbookViewId="0">
      <selection activeCell="J14" sqref="J14"/>
    </sheetView>
  </sheetViews>
  <sheetFormatPr defaultRowHeight="15"/>
  <cols>
    <col min="2" max="2" width="6.140625" customWidth="1"/>
    <col min="3" max="3" width="5.85546875" customWidth="1"/>
    <col min="4" max="4" width="6.42578125" customWidth="1"/>
    <col min="5" max="5" width="8" customWidth="1"/>
    <col min="6" max="6" width="20.5703125" bestFit="1" customWidth="1"/>
    <col min="7" max="9" width="10.7109375" bestFit="1" customWidth="1"/>
    <col min="10" max="10" width="14" bestFit="1" customWidth="1"/>
    <col min="11" max="11" width="10.7109375" bestFit="1" customWidth="1"/>
    <col min="12" max="12" width="11.5703125" bestFit="1" customWidth="1"/>
    <col min="13" max="13" width="14.28515625" bestFit="1" customWidth="1"/>
    <col min="14" max="14" width="15.5703125" bestFit="1" customWidth="1"/>
    <col min="28" max="28" width="13.140625" customWidth="1"/>
    <col min="41" max="41" width="14.140625" bestFit="1" customWidth="1"/>
    <col min="108" max="114" width="13.140625" bestFit="1" customWidth="1"/>
  </cols>
  <sheetData>
    <row r="1" spans="2:115">
      <c r="AB1" s="270" t="s">
        <v>149</v>
      </c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2:115">
      <c r="AB2" s="271" t="s">
        <v>150</v>
      </c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spans="2:115">
      <c r="AB3" s="272" t="s">
        <v>151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115">
      <c r="AB4" s="273" t="s">
        <v>152</v>
      </c>
    </row>
    <row r="7" spans="2:115" ht="15.75" thickBot="1"/>
    <row r="8" spans="2:115" ht="15.75" thickBot="1">
      <c r="F8" s="451" t="s">
        <v>158</v>
      </c>
      <c r="G8" s="452"/>
      <c r="H8" s="452"/>
      <c r="I8" s="452"/>
      <c r="J8" s="452"/>
      <c r="K8" s="452"/>
      <c r="L8" s="452"/>
      <c r="M8" s="452"/>
      <c r="N8" s="453"/>
      <c r="O8" s="274"/>
      <c r="P8" s="275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7">
        <v>2026</v>
      </c>
      <c r="AC8" s="278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9"/>
      <c r="AO8" s="280">
        <v>2027</v>
      </c>
      <c r="AP8" s="278"/>
      <c r="AQ8" s="276"/>
      <c r="AR8" s="276"/>
      <c r="AS8" s="276"/>
      <c r="AT8" s="276"/>
      <c r="AU8" s="276"/>
      <c r="AV8" s="276"/>
      <c r="AW8" s="276"/>
      <c r="AX8" s="276"/>
      <c r="AY8" s="276"/>
      <c r="AZ8" s="276"/>
      <c r="BA8" s="279"/>
      <c r="BB8" s="280">
        <v>2028</v>
      </c>
      <c r="BC8" s="278"/>
      <c r="BD8" s="276"/>
      <c r="BE8" s="276"/>
      <c r="BF8" s="276"/>
      <c r="BG8" s="276"/>
      <c r="BH8" s="276"/>
      <c r="BI8" s="276"/>
      <c r="BJ8" s="276"/>
      <c r="BK8" s="276"/>
      <c r="BL8" s="276"/>
      <c r="BM8" s="276"/>
      <c r="BN8" s="279"/>
      <c r="BO8" s="280">
        <v>2029</v>
      </c>
      <c r="BP8" s="278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9"/>
      <c r="CB8" s="280">
        <v>2030</v>
      </c>
      <c r="CC8" s="278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9"/>
      <c r="CO8" s="280">
        <v>2031</v>
      </c>
      <c r="CP8" s="278"/>
      <c r="CQ8" s="276"/>
      <c r="CR8" s="276"/>
      <c r="CS8" s="276"/>
      <c r="CT8" s="276"/>
      <c r="CU8" s="276"/>
      <c r="CV8" s="276"/>
      <c r="CW8" s="276"/>
      <c r="CX8" s="276"/>
      <c r="CY8" s="276"/>
      <c r="CZ8" s="276"/>
      <c r="DA8" s="279"/>
      <c r="DB8" s="300">
        <v>2032</v>
      </c>
      <c r="DD8" s="282">
        <v>2026</v>
      </c>
      <c r="DE8" s="280">
        <v>2027</v>
      </c>
      <c r="DF8" s="280">
        <v>2028</v>
      </c>
      <c r="DG8" s="280">
        <v>2029</v>
      </c>
      <c r="DH8" s="280">
        <v>2030</v>
      </c>
      <c r="DI8" s="280">
        <v>2031</v>
      </c>
      <c r="DJ8" s="281">
        <v>2032</v>
      </c>
    </row>
    <row r="9" spans="2:115">
      <c r="B9" s="454" t="s">
        <v>183</v>
      </c>
      <c r="C9" s="455"/>
      <c r="D9" s="456"/>
      <c r="E9" s="341" t="s">
        <v>177</v>
      </c>
      <c r="F9" s="283" t="s">
        <v>120</v>
      </c>
      <c r="G9" s="6" t="s">
        <v>153</v>
      </c>
      <c r="H9" s="6" t="s">
        <v>20</v>
      </c>
      <c r="I9" s="6" t="s">
        <v>154</v>
      </c>
      <c r="J9" s="6" t="s">
        <v>122</v>
      </c>
      <c r="K9" s="6" t="s">
        <v>21</v>
      </c>
      <c r="L9" s="6" t="s">
        <v>22</v>
      </c>
      <c r="M9" s="6" t="s">
        <v>23</v>
      </c>
      <c r="N9" s="284" t="s">
        <v>24</v>
      </c>
      <c r="O9" s="274"/>
      <c r="P9" s="260">
        <v>1</v>
      </c>
      <c r="Q9" s="285">
        <v>2</v>
      </c>
      <c r="R9" s="285">
        <v>3</v>
      </c>
      <c r="S9" s="285">
        <v>4</v>
      </c>
      <c r="T9" s="285">
        <v>5</v>
      </c>
      <c r="U9" s="285">
        <v>6</v>
      </c>
      <c r="V9" s="285">
        <v>7</v>
      </c>
      <c r="W9" s="285">
        <v>8</v>
      </c>
      <c r="X9" s="285">
        <v>9</v>
      </c>
      <c r="Y9" s="285">
        <v>10</v>
      </c>
      <c r="Z9" s="285">
        <v>11</v>
      </c>
      <c r="AA9" s="285">
        <v>12</v>
      </c>
      <c r="AB9" s="286" t="s">
        <v>155</v>
      </c>
      <c r="AC9" s="287">
        <v>1</v>
      </c>
      <c r="AD9" s="285">
        <v>2</v>
      </c>
      <c r="AE9" s="285">
        <v>3</v>
      </c>
      <c r="AF9" s="285">
        <v>4</v>
      </c>
      <c r="AG9" s="285">
        <v>5</v>
      </c>
      <c r="AH9" s="285">
        <v>6</v>
      </c>
      <c r="AI9" s="285">
        <v>7</v>
      </c>
      <c r="AJ9" s="285">
        <v>8</v>
      </c>
      <c r="AK9" s="285">
        <v>9</v>
      </c>
      <c r="AL9" s="285">
        <v>10</v>
      </c>
      <c r="AM9" s="285">
        <v>11</v>
      </c>
      <c r="AN9" s="288">
        <v>12</v>
      </c>
      <c r="AO9" s="289" t="s">
        <v>155</v>
      </c>
      <c r="AP9" s="287">
        <v>1</v>
      </c>
      <c r="AQ9" s="285">
        <v>2</v>
      </c>
      <c r="AR9" s="285">
        <v>3</v>
      </c>
      <c r="AS9" s="285">
        <v>4</v>
      </c>
      <c r="AT9" s="285">
        <v>5</v>
      </c>
      <c r="AU9" s="285">
        <v>6</v>
      </c>
      <c r="AV9" s="285">
        <v>7</v>
      </c>
      <c r="AW9" s="285">
        <v>8</v>
      </c>
      <c r="AX9" s="285">
        <v>9</v>
      </c>
      <c r="AY9" s="285">
        <v>10</v>
      </c>
      <c r="AZ9" s="285">
        <v>11</v>
      </c>
      <c r="BA9" s="288">
        <v>12</v>
      </c>
      <c r="BB9" s="289" t="s">
        <v>155</v>
      </c>
      <c r="BC9" s="287">
        <v>1</v>
      </c>
      <c r="BD9" s="285">
        <v>2</v>
      </c>
      <c r="BE9" s="285">
        <v>3</v>
      </c>
      <c r="BF9" s="285">
        <v>4</v>
      </c>
      <c r="BG9" s="285">
        <v>5</v>
      </c>
      <c r="BH9" s="285">
        <v>6</v>
      </c>
      <c r="BI9" s="285">
        <v>7</v>
      </c>
      <c r="BJ9" s="285">
        <v>8</v>
      </c>
      <c r="BK9" s="285">
        <v>9</v>
      </c>
      <c r="BL9" s="285">
        <v>10</v>
      </c>
      <c r="BM9" s="285">
        <v>11</v>
      </c>
      <c r="BN9" s="288">
        <v>12</v>
      </c>
      <c r="BO9" s="289" t="s">
        <v>155</v>
      </c>
      <c r="BP9" s="287">
        <v>1</v>
      </c>
      <c r="BQ9" s="285">
        <v>2</v>
      </c>
      <c r="BR9" s="285">
        <v>3</v>
      </c>
      <c r="BS9" s="285">
        <v>4</v>
      </c>
      <c r="BT9" s="285">
        <v>5</v>
      </c>
      <c r="BU9" s="285">
        <v>6</v>
      </c>
      <c r="BV9" s="285">
        <v>7</v>
      </c>
      <c r="BW9" s="285">
        <v>8</v>
      </c>
      <c r="BX9" s="285">
        <v>9</v>
      </c>
      <c r="BY9" s="285">
        <v>10</v>
      </c>
      <c r="BZ9" s="285">
        <v>11</v>
      </c>
      <c r="CA9" s="288">
        <v>12</v>
      </c>
      <c r="CB9" s="289" t="s">
        <v>155</v>
      </c>
      <c r="CC9" s="287">
        <v>1</v>
      </c>
      <c r="CD9" s="285">
        <v>2</v>
      </c>
      <c r="CE9" s="285">
        <v>3</v>
      </c>
      <c r="CF9" s="285">
        <v>4</v>
      </c>
      <c r="CG9" s="285">
        <v>5</v>
      </c>
      <c r="CH9" s="285">
        <v>6</v>
      </c>
      <c r="CI9" s="285">
        <v>7</v>
      </c>
      <c r="CJ9" s="285">
        <v>8</v>
      </c>
      <c r="CK9" s="285">
        <v>9</v>
      </c>
      <c r="CL9" s="285">
        <v>10</v>
      </c>
      <c r="CM9" s="285">
        <v>11</v>
      </c>
      <c r="CN9" s="288">
        <v>12</v>
      </c>
      <c r="CO9" s="289" t="s">
        <v>155</v>
      </c>
      <c r="CP9" s="287">
        <v>1</v>
      </c>
      <c r="CQ9" s="285">
        <v>2</v>
      </c>
      <c r="CR9" s="285">
        <v>3</v>
      </c>
      <c r="CS9" s="285">
        <v>4</v>
      </c>
      <c r="CT9" s="285">
        <v>5</v>
      </c>
      <c r="CU9" s="285">
        <v>6</v>
      </c>
      <c r="CV9" s="285">
        <v>7</v>
      </c>
      <c r="CW9" s="285">
        <v>8</v>
      </c>
      <c r="CX9" s="285">
        <v>9</v>
      </c>
      <c r="CY9" s="285">
        <v>10</v>
      </c>
      <c r="CZ9" s="285">
        <v>11</v>
      </c>
      <c r="DA9" s="288">
        <v>12</v>
      </c>
      <c r="DB9" s="301" t="s">
        <v>155</v>
      </c>
      <c r="DD9" s="291" t="s">
        <v>156</v>
      </c>
      <c r="DE9" s="289" t="s">
        <v>156</v>
      </c>
      <c r="DF9" s="289" t="s">
        <v>156</v>
      </c>
      <c r="DG9" s="289" t="s">
        <v>156</v>
      </c>
      <c r="DH9" s="289" t="s">
        <v>156</v>
      </c>
      <c r="DI9" s="289" t="s">
        <v>156</v>
      </c>
      <c r="DJ9" s="290" t="s">
        <v>156</v>
      </c>
    </row>
    <row r="10" spans="2:115">
      <c r="B10" s="24" t="s">
        <v>178</v>
      </c>
      <c r="C10" s="71" t="s">
        <v>179</v>
      </c>
      <c r="D10" s="161" t="s">
        <v>180</v>
      </c>
      <c r="E10" s="342"/>
      <c r="F10" s="302" t="s">
        <v>159</v>
      </c>
      <c r="G10" s="6"/>
      <c r="H10" s="6"/>
      <c r="I10" s="6"/>
      <c r="J10" s="6"/>
      <c r="K10" s="6"/>
      <c r="L10" s="6"/>
      <c r="M10" s="6"/>
      <c r="N10" s="284"/>
      <c r="O10" s="274"/>
      <c r="P10" s="292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303"/>
      <c r="AC10" s="304"/>
      <c r="AD10" s="293"/>
      <c r="AE10" s="293"/>
      <c r="AF10" s="293"/>
      <c r="AG10" s="293"/>
      <c r="AH10" s="293"/>
      <c r="AI10" s="293"/>
      <c r="AJ10" s="293"/>
      <c r="AK10" s="293"/>
      <c r="AL10" s="293"/>
      <c r="AM10" s="293"/>
      <c r="AN10" s="305"/>
      <c r="AO10" s="303"/>
      <c r="AP10" s="304"/>
      <c r="AQ10" s="293"/>
      <c r="AR10" s="293"/>
      <c r="AS10" s="293"/>
      <c r="AT10" s="293"/>
      <c r="AU10" s="293"/>
      <c r="AV10" s="293"/>
      <c r="AW10" s="293"/>
      <c r="AX10" s="293"/>
      <c r="AY10" s="293"/>
      <c r="AZ10" s="293"/>
      <c r="BA10" s="306"/>
      <c r="BB10" s="303"/>
      <c r="BC10" s="304"/>
      <c r="BD10" s="293"/>
      <c r="BE10" s="293"/>
      <c r="BF10" s="293"/>
      <c r="BG10" s="293"/>
      <c r="BH10" s="293"/>
      <c r="BI10" s="293"/>
      <c r="BJ10" s="293"/>
      <c r="BK10" s="293"/>
      <c r="BL10" s="293"/>
      <c r="BM10" s="293"/>
      <c r="BN10" s="306"/>
      <c r="BO10" s="303"/>
      <c r="BP10" s="304"/>
      <c r="BQ10" s="293"/>
      <c r="BR10" s="293"/>
      <c r="BS10" s="293"/>
      <c r="BT10" s="293"/>
      <c r="BU10" s="293"/>
      <c r="BV10" s="293"/>
      <c r="BW10" s="293"/>
      <c r="BX10" s="293"/>
      <c r="BY10" s="293"/>
      <c r="BZ10" s="293"/>
      <c r="CA10" s="306"/>
      <c r="CB10" s="303"/>
      <c r="CC10" s="304"/>
      <c r="CD10" s="293"/>
      <c r="CE10" s="293"/>
      <c r="CF10" s="293"/>
      <c r="CG10" s="293"/>
      <c r="CH10" s="293"/>
      <c r="CI10" s="293"/>
      <c r="CJ10" s="293"/>
      <c r="CK10" s="293"/>
      <c r="CL10" s="293"/>
      <c r="CM10" s="293"/>
      <c r="CN10" s="306"/>
      <c r="CO10" s="261"/>
      <c r="CP10" s="304"/>
      <c r="CQ10" s="293"/>
      <c r="CR10" s="293"/>
      <c r="CS10" s="293"/>
      <c r="CT10" s="293"/>
      <c r="CU10" s="293"/>
      <c r="CV10" s="293"/>
      <c r="CW10" s="293"/>
      <c r="CX10" s="293"/>
      <c r="CY10" s="293"/>
      <c r="CZ10" s="293"/>
      <c r="DA10" s="306"/>
      <c r="DB10" s="295"/>
      <c r="DD10" s="375"/>
      <c r="DE10" s="376"/>
      <c r="DF10" s="376"/>
      <c r="DG10" s="376"/>
      <c r="DH10" s="376"/>
      <c r="DI10" s="376"/>
      <c r="DJ10" s="377"/>
      <c r="DK10" s="6"/>
    </row>
    <row r="11" spans="2:115">
      <c r="B11" s="307" t="s">
        <v>181</v>
      </c>
      <c r="C11" s="308" t="s">
        <v>181</v>
      </c>
      <c r="D11" s="389" t="s">
        <v>181</v>
      </c>
      <c r="E11" s="390">
        <v>0</v>
      </c>
      <c r="F11" s="307" t="s">
        <v>267</v>
      </c>
      <c r="G11" s="308" t="s">
        <v>270</v>
      </c>
      <c r="H11" s="309">
        <v>1500</v>
      </c>
      <c r="I11" s="294">
        <f>H11/$H$28</f>
        <v>0.27272727272727271</v>
      </c>
      <c r="J11" s="310">
        <v>68</v>
      </c>
      <c r="K11" s="310">
        <v>50</v>
      </c>
      <c r="L11" s="32">
        <f t="shared" ref="L11:L27" si="0">IF(K11=0," ",K11*H11)</f>
        <v>75000</v>
      </c>
      <c r="M11" s="33">
        <f t="shared" ref="M11:M12" si="1">IF(H11=0," ",J11*H11)</f>
        <v>102000</v>
      </c>
      <c r="N11" s="8">
        <f t="shared" ref="N11:N12" si="2">IF(M11=" "," ",M11/12)</f>
        <v>8500</v>
      </c>
      <c r="O11" s="274"/>
      <c r="P11" s="384">
        <f>J11</f>
        <v>68</v>
      </c>
      <c r="Q11" s="382">
        <f t="shared" ref="Q11:AA27" si="3">P11</f>
        <v>68</v>
      </c>
      <c r="R11" s="382">
        <f t="shared" si="3"/>
        <v>68</v>
      </c>
      <c r="S11" s="382">
        <f t="shared" si="3"/>
        <v>68</v>
      </c>
      <c r="T11" s="382">
        <f t="shared" si="3"/>
        <v>68</v>
      </c>
      <c r="U11" s="382">
        <f t="shared" si="3"/>
        <v>68</v>
      </c>
      <c r="V11" s="382">
        <f t="shared" si="3"/>
        <v>68</v>
      </c>
      <c r="W11" s="382">
        <f t="shared" si="3"/>
        <v>68</v>
      </c>
      <c r="X11" s="382">
        <f t="shared" si="3"/>
        <v>68</v>
      </c>
      <c r="Y11" s="382">
        <f t="shared" si="3"/>
        <v>68</v>
      </c>
      <c r="Z11" s="382">
        <f t="shared" si="3"/>
        <v>68</v>
      </c>
      <c r="AA11" s="382">
        <f t="shared" si="3"/>
        <v>68</v>
      </c>
      <c r="AB11" s="295">
        <f>+AVERAGE(P11:AA11)</f>
        <v>68</v>
      </c>
      <c r="AC11" s="381">
        <f t="shared" ref="AC11:AC27" si="4">AA11*(1+E11)</f>
        <v>68</v>
      </c>
      <c r="AD11" s="382">
        <f>AC11</f>
        <v>68</v>
      </c>
      <c r="AE11" s="382">
        <f t="shared" ref="AE11:AN11" si="5">AD11</f>
        <v>68</v>
      </c>
      <c r="AF11" s="382">
        <f t="shared" si="5"/>
        <v>68</v>
      </c>
      <c r="AG11" s="382">
        <f t="shared" si="5"/>
        <v>68</v>
      </c>
      <c r="AH11" s="382">
        <f t="shared" si="5"/>
        <v>68</v>
      </c>
      <c r="AI11" s="382">
        <f>AH11</f>
        <v>68</v>
      </c>
      <c r="AJ11" s="382">
        <f t="shared" si="5"/>
        <v>68</v>
      </c>
      <c r="AK11" s="382">
        <f t="shared" si="5"/>
        <v>68</v>
      </c>
      <c r="AL11" s="382">
        <f t="shared" si="5"/>
        <v>68</v>
      </c>
      <c r="AM11" s="382">
        <f t="shared" si="5"/>
        <v>68</v>
      </c>
      <c r="AN11" s="383">
        <f t="shared" si="5"/>
        <v>68</v>
      </c>
      <c r="AO11" s="295">
        <f>+AVERAGE(AC11:AN11)</f>
        <v>68</v>
      </c>
      <c r="AP11" s="381">
        <f t="shared" ref="AP11:AP27" si="6">AN11*(1+E11)</f>
        <v>68</v>
      </c>
      <c r="AQ11" s="382">
        <f>AP11</f>
        <v>68</v>
      </c>
      <c r="AR11" s="382">
        <f t="shared" ref="AR11:BA11" si="7">AQ11</f>
        <v>68</v>
      </c>
      <c r="AS11" s="382">
        <f t="shared" si="7"/>
        <v>68</v>
      </c>
      <c r="AT11" s="382">
        <f t="shared" si="7"/>
        <v>68</v>
      </c>
      <c r="AU11" s="382">
        <f t="shared" si="7"/>
        <v>68</v>
      </c>
      <c r="AV11" s="382">
        <f t="shared" si="7"/>
        <v>68</v>
      </c>
      <c r="AW11" s="382">
        <f t="shared" si="7"/>
        <v>68</v>
      </c>
      <c r="AX11" s="382">
        <f t="shared" si="7"/>
        <v>68</v>
      </c>
      <c r="AY11" s="382">
        <f t="shared" si="7"/>
        <v>68</v>
      </c>
      <c r="AZ11" s="382">
        <f t="shared" si="7"/>
        <v>68</v>
      </c>
      <c r="BA11" s="383">
        <f t="shared" si="7"/>
        <v>68</v>
      </c>
      <c r="BB11" s="295">
        <f>+AVERAGE(AP11:BA11)</f>
        <v>68</v>
      </c>
      <c r="BC11" s="381">
        <f t="shared" ref="BC11:BC27" si="8">BA11*(1+E11)</f>
        <v>68</v>
      </c>
      <c r="BD11" s="382">
        <f>BC11</f>
        <v>68</v>
      </c>
      <c r="BE11" s="382">
        <f t="shared" ref="BE11:BN11" si="9">BD11</f>
        <v>68</v>
      </c>
      <c r="BF11" s="382">
        <f t="shared" si="9"/>
        <v>68</v>
      </c>
      <c r="BG11" s="382">
        <f t="shared" si="9"/>
        <v>68</v>
      </c>
      <c r="BH11" s="382">
        <f t="shared" si="9"/>
        <v>68</v>
      </c>
      <c r="BI11" s="382">
        <f t="shared" si="9"/>
        <v>68</v>
      </c>
      <c r="BJ11" s="382">
        <f t="shared" si="9"/>
        <v>68</v>
      </c>
      <c r="BK11" s="382">
        <f t="shared" si="9"/>
        <v>68</v>
      </c>
      <c r="BL11" s="382">
        <f t="shared" si="9"/>
        <v>68</v>
      </c>
      <c r="BM11" s="382">
        <f t="shared" si="9"/>
        <v>68</v>
      </c>
      <c r="BN11" s="383">
        <f t="shared" si="9"/>
        <v>68</v>
      </c>
      <c r="BO11" s="295">
        <f>+AVERAGE(BC11:BN11)</f>
        <v>68</v>
      </c>
      <c r="BP11" s="381">
        <f t="shared" ref="BP11:BP27" si="10">BN11*(1+E11)</f>
        <v>68</v>
      </c>
      <c r="BQ11" s="382">
        <f>BP11</f>
        <v>68</v>
      </c>
      <c r="BR11" s="382">
        <f t="shared" ref="BR11:CA11" si="11">BQ11</f>
        <v>68</v>
      </c>
      <c r="BS11" s="382">
        <f t="shared" si="11"/>
        <v>68</v>
      </c>
      <c r="BT11" s="382">
        <f t="shared" si="11"/>
        <v>68</v>
      </c>
      <c r="BU11" s="382">
        <f t="shared" si="11"/>
        <v>68</v>
      </c>
      <c r="BV11" s="382">
        <f t="shared" si="11"/>
        <v>68</v>
      </c>
      <c r="BW11" s="382">
        <f t="shared" si="11"/>
        <v>68</v>
      </c>
      <c r="BX11" s="382">
        <f t="shared" si="11"/>
        <v>68</v>
      </c>
      <c r="BY11" s="382">
        <f t="shared" si="11"/>
        <v>68</v>
      </c>
      <c r="BZ11" s="382">
        <f t="shared" si="11"/>
        <v>68</v>
      </c>
      <c r="CA11" s="383">
        <f t="shared" si="11"/>
        <v>68</v>
      </c>
      <c r="CB11" s="295">
        <f>+AVERAGE(BP11:CA11)</f>
        <v>68</v>
      </c>
      <c r="CC11" s="381">
        <f t="shared" ref="CC11:CC27" si="12">CA11*(1+E11)</f>
        <v>68</v>
      </c>
      <c r="CD11" s="382">
        <f>CC11</f>
        <v>68</v>
      </c>
      <c r="CE11" s="382">
        <f t="shared" ref="CE11:CN11" si="13">CD11</f>
        <v>68</v>
      </c>
      <c r="CF11" s="382">
        <f t="shared" si="13"/>
        <v>68</v>
      </c>
      <c r="CG11" s="382">
        <f t="shared" si="13"/>
        <v>68</v>
      </c>
      <c r="CH11" s="382">
        <f t="shared" si="13"/>
        <v>68</v>
      </c>
      <c r="CI11" s="382">
        <f t="shared" si="13"/>
        <v>68</v>
      </c>
      <c r="CJ11" s="382">
        <f t="shared" si="13"/>
        <v>68</v>
      </c>
      <c r="CK11" s="382">
        <f t="shared" si="13"/>
        <v>68</v>
      </c>
      <c r="CL11" s="382">
        <f t="shared" si="13"/>
        <v>68</v>
      </c>
      <c r="CM11" s="382">
        <f t="shared" si="13"/>
        <v>68</v>
      </c>
      <c r="CN11" s="383">
        <f t="shared" si="13"/>
        <v>68</v>
      </c>
      <c r="CO11" s="311">
        <f>+AVERAGE(CC11:CN11)</f>
        <v>68</v>
      </c>
      <c r="CP11" s="381">
        <f t="shared" ref="CP11:CP27" si="14">CN11*(1+E11)</f>
        <v>68</v>
      </c>
      <c r="CQ11" s="382">
        <f>CP11</f>
        <v>68</v>
      </c>
      <c r="CR11" s="382">
        <f t="shared" ref="CR11:DA11" si="15">CQ11</f>
        <v>68</v>
      </c>
      <c r="CS11" s="382">
        <f t="shared" si="15"/>
        <v>68</v>
      </c>
      <c r="CT11" s="382">
        <f t="shared" si="15"/>
        <v>68</v>
      </c>
      <c r="CU11" s="382">
        <f t="shared" si="15"/>
        <v>68</v>
      </c>
      <c r="CV11" s="382">
        <f t="shared" si="15"/>
        <v>68</v>
      </c>
      <c r="CW11" s="382">
        <f t="shared" si="15"/>
        <v>68</v>
      </c>
      <c r="CX11" s="382">
        <f t="shared" si="15"/>
        <v>68</v>
      </c>
      <c r="CY11" s="382">
        <f t="shared" si="15"/>
        <v>68</v>
      </c>
      <c r="CZ11" s="382">
        <f t="shared" si="15"/>
        <v>68</v>
      </c>
      <c r="DA11" s="383">
        <f t="shared" si="15"/>
        <v>68</v>
      </c>
      <c r="DB11" s="295">
        <f>+AVERAGE(CP11:DA11)</f>
        <v>68</v>
      </c>
      <c r="DD11" s="378">
        <f t="shared" ref="DD11:DD27" si="16">+(P11*$H11)/12+(Q11*$H11)/12+(R11*$H11)/12+(S11*$H11)/12+(T11*$H11)/12+(U11*$H11)/12+(V11*$H11)/12+(W11*$H11)/12+(X11*$H11)/12+(Y11*$H11)/12+(Z11*$H11)/12+(AA11*$H11)/12</f>
        <v>102000</v>
      </c>
      <c r="DE11" s="379">
        <f t="shared" ref="DE11:DE27" si="17">+(AC11*$H11)/12+(AD11*$H11)/12+(AE11*$H11)/12+(AF11*$H11)/12+(AG11*$H11)/12+(AH11*$H11)/12+(AI11*$H11)/12+(AJ11*$H11)/12+(AK11*$H11)/12+(AL11*$H11)/12+(AM11*$H11)/12+(AN11*$H11)/12</f>
        <v>102000</v>
      </c>
      <c r="DF11" s="379">
        <f t="shared" ref="DF11:DF27" si="18">+(AP11*$H11)/12+(AQ11*$H11)/12+(AR11*$H11)/12+(AS11*$H11)/12+(AT11*$H11)/12+(AU11*$H11)/12+(AV11*$H11)/12+(AW11*$H11)/12+(AX11*$H11)/12+(AY11*$H11)/12+(AZ11*$H11)/12+(BA11*$H11)/12</f>
        <v>102000</v>
      </c>
      <c r="DG11" s="379">
        <f t="shared" ref="DG11:DG27" si="19">+(BC11*$H11)/12+(BD11*$H11)/12+(BE11*$H11)/12+(BF11*$H11)/12+(BG11*$H11)/12+(BH11*$H11)/12+(BI11*$H11)/12+(BJ11*$H11)/12+(BK11*$H11)/12+(BL11*$H11)/12+(BM11*$H11)/12+(BN11*$H11)/12</f>
        <v>102000</v>
      </c>
      <c r="DH11" s="379">
        <f t="shared" ref="DH11:DH27" si="20">+(BP11*$H11)/12+(BQ11*$H11)/12+(BR11*$H11)/12+(BS11*$H11)/12+(BT11*$H11)/12+(BU11*$H11)/12+(BV11*$H11)/12+(BW11*$H11)/12+(BX11*$H11)/12+(BY11*$H11)/12+(BZ11*$H11)/12+(CA11*$H11)/12</f>
        <v>102000</v>
      </c>
      <c r="DI11" s="379">
        <f>+(CC11*$H11)/12+(CD11*$H11)/12+(CE11*$H11)/12+(CF11*$H11)/12+(CG11*$H11)/12+(CH11*$H11)/12+(CI11*$H11)/12+(CJ11*$H11)/12+(CK11*$H11)/12+(CL11*$H11)/12+(CM11*$H11)/12+(CN11*$H11)/12</f>
        <v>102000</v>
      </c>
      <c r="DJ11" s="380">
        <f>+(CP11*$H11)/12+(CQ11*$H11)/12+(CR11*$H11)/12+(CS11*$H11)/12+(CT11*$H11)/12+(CU11*$H11)/12+(CV11*$H11)/12+(CW11*$H11)/12+(CX11*$H11)/12+(CY11*$H11)/12+(CZ11*$H11)/12+(DA11*$H11)/12</f>
        <v>102000</v>
      </c>
      <c r="DK11" s="2"/>
    </row>
    <row r="12" spans="2:115">
      <c r="B12" s="307" t="s">
        <v>181</v>
      </c>
      <c r="C12" s="308" t="s">
        <v>181</v>
      </c>
      <c r="D12" s="389" t="s">
        <v>181</v>
      </c>
      <c r="E12" s="390">
        <v>0</v>
      </c>
      <c r="F12" s="307" t="s">
        <v>268</v>
      </c>
      <c r="G12" s="308" t="s">
        <v>265</v>
      </c>
      <c r="H12" s="309">
        <v>2500</v>
      </c>
      <c r="I12" s="294">
        <f t="shared" ref="I12:I27" si="21">H12/$H$28</f>
        <v>0.45454545454545453</v>
      </c>
      <c r="J12" s="310">
        <v>48</v>
      </c>
      <c r="K12" s="310">
        <v>50</v>
      </c>
      <c r="L12" s="32">
        <f t="shared" si="0"/>
        <v>125000</v>
      </c>
      <c r="M12" s="33">
        <f t="shared" si="1"/>
        <v>120000</v>
      </c>
      <c r="N12" s="8">
        <f t="shared" si="2"/>
        <v>10000</v>
      </c>
      <c r="O12" s="274"/>
      <c r="P12" s="384">
        <f t="shared" ref="P12:P27" si="22">J12</f>
        <v>48</v>
      </c>
      <c r="Q12" s="382">
        <f t="shared" si="3"/>
        <v>48</v>
      </c>
      <c r="R12" s="382">
        <f t="shared" si="3"/>
        <v>48</v>
      </c>
      <c r="S12" s="382">
        <f t="shared" si="3"/>
        <v>48</v>
      </c>
      <c r="T12" s="382">
        <f t="shared" si="3"/>
        <v>48</v>
      </c>
      <c r="U12" s="382">
        <f t="shared" si="3"/>
        <v>48</v>
      </c>
      <c r="V12" s="382">
        <f t="shared" si="3"/>
        <v>48</v>
      </c>
      <c r="W12" s="382">
        <f t="shared" si="3"/>
        <v>48</v>
      </c>
      <c r="X12" s="382">
        <f t="shared" si="3"/>
        <v>48</v>
      </c>
      <c r="Y12" s="382">
        <f t="shared" si="3"/>
        <v>48</v>
      </c>
      <c r="Z12" s="382">
        <f t="shared" si="3"/>
        <v>48</v>
      </c>
      <c r="AA12" s="382">
        <f t="shared" si="3"/>
        <v>48</v>
      </c>
      <c r="AB12" s="295">
        <f t="shared" ref="AB12:AB27" si="23">+AVERAGE(P12:AA12)</f>
        <v>48</v>
      </c>
      <c r="AC12" s="381">
        <f t="shared" si="4"/>
        <v>48</v>
      </c>
      <c r="AD12" s="382">
        <f t="shared" ref="AD12:AN27" si="24">AC12</f>
        <v>48</v>
      </c>
      <c r="AE12" s="382">
        <f t="shared" si="24"/>
        <v>48</v>
      </c>
      <c r="AF12" s="382">
        <f t="shared" si="24"/>
        <v>48</v>
      </c>
      <c r="AG12" s="382">
        <f t="shared" si="24"/>
        <v>48</v>
      </c>
      <c r="AH12" s="382">
        <f t="shared" si="24"/>
        <v>48</v>
      </c>
      <c r="AI12" s="382">
        <f t="shared" si="24"/>
        <v>48</v>
      </c>
      <c r="AJ12" s="382">
        <f t="shared" si="24"/>
        <v>48</v>
      </c>
      <c r="AK12" s="382">
        <f t="shared" si="24"/>
        <v>48</v>
      </c>
      <c r="AL12" s="382">
        <f t="shared" si="24"/>
        <v>48</v>
      </c>
      <c r="AM12" s="382">
        <f t="shared" si="24"/>
        <v>48</v>
      </c>
      <c r="AN12" s="383">
        <f t="shared" si="24"/>
        <v>48</v>
      </c>
      <c r="AO12" s="295">
        <f t="shared" ref="AO12:AO27" si="25">+AVERAGE(AC12:AN12)</f>
        <v>48</v>
      </c>
      <c r="AP12" s="381">
        <f t="shared" si="6"/>
        <v>48</v>
      </c>
      <c r="AQ12" s="382">
        <f t="shared" ref="AQ12:BA27" si="26">AP12</f>
        <v>48</v>
      </c>
      <c r="AR12" s="382">
        <f t="shared" si="26"/>
        <v>48</v>
      </c>
      <c r="AS12" s="382">
        <f t="shared" si="26"/>
        <v>48</v>
      </c>
      <c r="AT12" s="382">
        <f t="shared" si="26"/>
        <v>48</v>
      </c>
      <c r="AU12" s="382">
        <f t="shared" si="26"/>
        <v>48</v>
      </c>
      <c r="AV12" s="382">
        <f t="shared" si="26"/>
        <v>48</v>
      </c>
      <c r="AW12" s="382">
        <f t="shared" si="26"/>
        <v>48</v>
      </c>
      <c r="AX12" s="382">
        <f t="shared" si="26"/>
        <v>48</v>
      </c>
      <c r="AY12" s="382">
        <f t="shared" si="26"/>
        <v>48</v>
      </c>
      <c r="AZ12" s="382">
        <f t="shared" si="26"/>
        <v>48</v>
      </c>
      <c r="BA12" s="383">
        <f t="shared" si="26"/>
        <v>48</v>
      </c>
      <c r="BB12" s="295">
        <f t="shared" ref="BB12:BB27" si="27">+AVERAGE(AP12:BA12)</f>
        <v>48</v>
      </c>
      <c r="BC12" s="381">
        <f t="shared" si="8"/>
        <v>48</v>
      </c>
      <c r="BD12" s="382">
        <f t="shared" ref="BD12:BN27" si="28">BC12</f>
        <v>48</v>
      </c>
      <c r="BE12" s="382">
        <f t="shared" si="28"/>
        <v>48</v>
      </c>
      <c r="BF12" s="382">
        <f t="shared" si="28"/>
        <v>48</v>
      </c>
      <c r="BG12" s="382">
        <f t="shared" si="28"/>
        <v>48</v>
      </c>
      <c r="BH12" s="382">
        <f t="shared" si="28"/>
        <v>48</v>
      </c>
      <c r="BI12" s="382">
        <f t="shared" si="28"/>
        <v>48</v>
      </c>
      <c r="BJ12" s="382">
        <f t="shared" si="28"/>
        <v>48</v>
      </c>
      <c r="BK12" s="382">
        <f t="shared" si="28"/>
        <v>48</v>
      </c>
      <c r="BL12" s="382">
        <f t="shared" si="28"/>
        <v>48</v>
      </c>
      <c r="BM12" s="382">
        <f t="shared" si="28"/>
        <v>48</v>
      </c>
      <c r="BN12" s="383">
        <f t="shared" si="28"/>
        <v>48</v>
      </c>
      <c r="BO12" s="295">
        <f t="shared" ref="BO12:BO27" si="29">+AVERAGE(BC12:BN12)</f>
        <v>48</v>
      </c>
      <c r="BP12" s="381">
        <f t="shared" si="10"/>
        <v>48</v>
      </c>
      <c r="BQ12" s="382">
        <f t="shared" ref="BQ12:CA27" si="30">BP12</f>
        <v>48</v>
      </c>
      <c r="BR12" s="382">
        <f t="shared" si="30"/>
        <v>48</v>
      </c>
      <c r="BS12" s="382">
        <f t="shared" si="30"/>
        <v>48</v>
      </c>
      <c r="BT12" s="382">
        <f t="shared" si="30"/>
        <v>48</v>
      </c>
      <c r="BU12" s="382">
        <f t="shared" si="30"/>
        <v>48</v>
      </c>
      <c r="BV12" s="382">
        <f t="shared" si="30"/>
        <v>48</v>
      </c>
      <c r="BW12" s="382">
        <f t="shared" si="30"/>
        <v>48</v>
      </c>
      <c r="BX12" s="382">
        <f t="shared" si="30"/>
        <v>48</v>
      </c>
      <c r="BY12" s="382">
        <f t="shared" si="30"/>
        <v>48</v>
      </c>
      <c r="BZ12" s="382">
        <f t="shared" si="30"/>
        <v>48</v>
      </c>
      <c r="CA12" s="383">
        <f t="shared" si="30"/>
        <v>48</v>
      </c>
      <c r="CB12" s="295">
        <f t="shared" ref="CB12:CB27" si="31">+AVERAGE(BP12:CA12)</f>
        <v>48</v>
      </c>
      <c r="CC12" s="381">
        <f t="shared" si="12"/>
        <v>48</v>
      </c>
      <c r="CD12" s="382">
        <f t="shared" ref="CD12:CN27" si="32">CC12</f>
        <v>48</v>
      </c>
      <c r="CE12" s="382">
        <f t="shared" si="32"/>
        <v>48</v>
      </c>
      <c r="CF12" s="382">
        <f t="shared" si="32"/>
        <v>48</v>
      </c>
      <c r="CG12" s="382">
        <f t="shared" si="32"/>
        <v>48</v>
      </c>
      <c r="CH12" s="382">
        <f t="shared" si="32"/>
        <v>48</v>
      </c>
      <c r="CI12" s="382">
        <f t="shared" si="32"/>
        <v>48</v>
      </c>
      <c r="CJ12" s="382">
        <f t="shared" si="32"/>
        <v>48</v>
      </c>
      <c r="CK12" s="382">
        <f t="shared" si="32"/>
        <v>48</v>
      </c>
      <c r="CL12" s="382">
        <f t="shared" si="32"/>
        <v>48</v>
      </c>
      <c r="CM12" s="382">
        <f t="shared" si="32"/>
        <v>48</v>
      </c>
      <c r="CN12" s="383">
        <f t="shared" si="32"/>
        <v>48</v>
      </c>
      <c r="CO12" s="311">
        <f t="shared" ref="CO12:CO27" si="33">+AVERAGE(CC12:CN12)</f>
        <v>48</v>
      </c>
      <c r="CP12" s="381">
        <f t="shared" si="14"/>
        <v>48</v>
      </c>
      <c r="CQ12" s="382">
        <f t="shared" ref="CQ12:DA27" si="34">CP12</f>
        <v>48</v>
      </c>
      <c r="CR12" s="382">
        <f t="shared" si="34"/>
        <v>48</v>
      </c>
      <c r="CS12" s="382">
        <f t="shared" si="34"/>
        <v>48</v>
      </c>
      <c r="CT12" s="382">
        <f t="shared" si="34"/>
        <v>48</v>
      </c>
      <c r="CU12" s="382">
        <f t="shared" si="34"/>
        <v>48</v>
      </c>
      <c r="CV12" s="382">
        <f t="shared" si="34"/>
        <v>48</v>
      </c>
      <c r="CW12" s="382">
        <f t="shared" si="34"/>
        <v>48</v>
      </c>
      <c r="CX12" s="382">
        <f t="shared" si="34"/>
        <v>48</v>
      </c>
      <c r="CY12" s="382">
        <f t="shared" si="34"/>
        <v>48</v>
      </c>
      <c r="CZ12" s="382">
        <f t="shared" si="34"/>
        <v>48</v>
      </c>
      <c r="DA12" s="383">
        <f t="shared" si="34"/>
        <v>48</v>
      </c>
      <c r="DB12" s="295">
        <f t="shared" ref="DB12:DB27" si="35">+AVERAGE(CP12:DA12)</f>
        <v>48</v>
      </c>
      <c r="DD12" s="378">
        <f t="shared" si="16"/>
        <v>120000</v>
      </c>
      <c r="DE12" s="379">
        <f t="shared" si="17"/>
        <v>120000</v>
      </c>
      <c r="DF12" s="379">
        <f t="shared" si="18"/>
        <v>120000</v>
      </c>
      <c r="DG12" s="379">
        <f t="shared" si="19"/>
        <v>120000</v>
      </c>
      <c r="DH12" s="379">
        <f t="shared" si="20"/>
        <v>120000</v>
      </c>
      <c r="DI12" s="379">
        <f t="shared" ref="DI12:DI16" si="36">+(CC12*$H12)/12+(CD12*$H12)/12+(CE12*$H12)/12+(CF12*$H12)/12+(CG12*$H12)/12+(CH12*$H12)/12+(CI12*$H12)/12+(CJ12*$H12)/12+(CK12*$H12)/12+(CL12*$H12)/12+(CM12*$H12)/12+(CN12*$H12)/12</f>
        <v>120000</v>
      </c>
      <c r="DJ12" s="380">
        <f t="shared" ref="DJ12:DJ16" si="37">+(CP12*$H12)/12+(CQ12*$H12)/12+(CR12*$H12)/12+(CS12*$H12)/12+(CT12*$H12)/12+(CU12*$H12)/12+(CV12*$H12)/12+(CW12*$H12)/12+(CX12*$H12)/12+(CY12*$H12)/12+(CZ12*$H12)/12+(DA12*$H12)/12</f>
        <v>120000</v>
      </c>
      <c r="DK12" s="2"/>
    </row>
    <row r="13" spans="2:115">
      <c r="B13" s="307" t="s">
        <v>181</v>
      </c>
      <c r="C13" s="308" t="s">
        <v>182</v>
      </c>
      <c r="D13" s="389" t="s">
        <v>181</v>
      </c>
      <c r="E13" s="390">
        <v>0</v>
      </c>
      <c r="F13" s="307" t="s">
        <v>269</v>
      </c>
      <c r="G13" s="308" t="s">
        <v>271</v>
      </c>
      <c r="H13" s="309">
        <v>1500</v>
      </c>
      <c r="I13" s="294">
        <f t="shared" si="21"/>
        <v>0.27272727272727271</v>
      </c>
      <c r="J13" s="310">
        <v>68</v>
      </c>
      <c r="K13" s="310">
        <v>50</v>
      </c>
      <c r="L13" s="32">
        <f t="shared" si="0"/>
        <v>75000</v>
      </c>
      <c r="M13" s="33">
        <f>IF(H13=0," ",J13*H13)</f>
        <v>102000</v>
      </c>
      <c r="N13" s="8">
        <f>IF(M13=" "," ",M13/12)</f>
        <v>8500</v>
      </c>
      <c r="O13" s="274"/>
      <c r="P13" s="384">
        <f t="shared" si="22"/>
        <v>68</v>
      </c>
      <c r="Q13" s="382">
        <f t="shared" si="3"/>
        <v>68</v>
      </c>
      <c r="R13" s="382">
        <f t="shared" si="3"/>
        <v>68</v>
      </c>
      <c r="S13" s="382">
        <f t="shared" si="3"/>
        <v>68</v>
      </c>
      <c r="T13" s="382">
        <f t="shared" si="3"/>
        <v>68</v>
      </c>
      <c r="U13" s="382">
        <f t="shared" si="3"/>
        <v>68</v>
      </c>
      <c r="V13" s="382">
        <f t="shared" si="3"/>
        <v>68</v>
      </c>
      <c r="W13" s="382">
        <f t="shared" si="3"/>
        <v>68</v>
      </c>
      <c r="X13" s="382">
        <f t="shared" si="3"/>
        <v>68</v>
      </c>
      <c r="Y13" s="382">
        <f t="shared" si="3"/>
        <v>68</v>
      </c>
      <c r="Z13" s="382">
        <f t="shared" si="3"/>
        <v>68</v>
      </c>
      <c r="AA13" s="382">
        <f t="shared" si="3"/>
        <v>68</v>
      </c>
      <c r="AB13" s="295">
        <f t="shared" si="23"/>
        <v>68</v>
      </c>
      <c r="AC13" s="381">
        <f t="shared" si="4"/>
        <v>68</v>
      </c>
      <c r="AD13" s="382">
        <f t="shared" si="24"/>
        <v>68</v>
      </c>
      <c r="AE13" s="382">
        <f t="shared" si="24"/>
        <v>68</v>
      </c>
      <c r="AF13" s="382">
        <f t="shared" si="24"/>
        <v>68</v>
      </c>
      <c r="AG13" s="382">
        <f t="shared" si="24"/>
        <v>68</v>
      </c>
      <c r="AH13" s="382">
        <f t="shared" si="24"/>
        <v>68</v>
      </c>
      <c r="AI13" s="382">
        <f t="shared" si="24"/>
        <v>68</v>
      </c>
      <c r="AJ13" s="382">
        <f t="shared" si="24"/>
        <v>68</v>
      </c>
      <c r="AK13" s="382">
        <f t="shared" si="24"/>
        <v>68</v>
      </c>
      <c r="AL13" s="382">
        <f t="shared" si="24"/>
        <v>68</v>
      </c>
      <c r="AM13" s="382">
        <f t="shared" si="24"/>
        <v>68</v>
      </c>
      <c r="AN13" s="383">
        <f t="shared" si="24"/>
        <v>68</v>
      </c>
      <c r="AO13" s="295">
        <f t="shared" si="25"/>
        <v>68</v>
      </c>
      <c r="AP13" s="381">
        <f t="shared" si="6"/>
        <v>68</v>
      </c>
      <c r="AQ13" s="382">
        <f t="shared" si="26"/>
        <v>68</v>
      </c>
      <c r="AR13" s="382">
        <f t="shared" si="26"/>
        <v>68</v>
      </c>
      <c r="AS13" s="382">
        <f t="shared" si="26"/>
        <v>68</v>
      </c>
      <c r="AT13" s="382">
        <f t="shared" si="26"/>
        <v>68</v>
      </c>
      <c r="AU13" s="382">
        <f t="shared" si="26"/>
        <v>68</v>
      </c>
      <c r="AV13" s="382">
        <f t="shared" si="26"/>
        <v>68</v>
      </c>
      <c r="AW13" s="382">
        <f t="shared" si="26"/>
        <v>68</v>
      </c>
      <c r="AX13" s="382">
        <f t="shared" si="26"/>
        <v>68</v>
      </c>
      <c r="AY13" s="382">
        <f t="shared" si="26"/>
        <v>68</v>
      </c>
      <c r="AZ13" s="382">
        <f t="shared" si="26"/>
        <v>68</v>
      </c>
      <c r="BA13" s="383">
        <f t="shared" si="26"/>
        <v>68</v>
      </c>
      <c r="BB13" s="295">
        <f t="shared" si="27"/>
        <v>68</v>
      </c>
      <c r="BC13" s="381">
        <f t="shared" si="8"/>
        <v>68</v>
      </c>
      <c r="BD13" s="382">
        <f t="shared" si="28"/>
        <v>68</v>
      </c>
      <c r="BE13" s="382">
        <f t="shared" si="28"/>
        <v>68</v>
      </c>
      <c r="BF13" s="382">
        <f t="shared" si="28"/>
        <v>68</v>
      </c>
      <c r="BG13" s="382">
        <f t="shared" si="28"/>
        <v>68</v>
      </c>
      <c r="BH13" s="382">
        <f t="shared" si="28"/>
        <v>68</v>
      </c>
      <c r="BI13" s="382">
        <f t="shared" si="28"/>
        <v>68</v>
      </c>
      <c r="BJ13" s="382">
        <f t="shared" si="28"/>
        <v>68</v>
      </c>
      <c r="BK13" s="382">
        <f t="shared" si="28"/>
        <v>68</v>
      </c>
      <c r="BL13" s="382">
        <f t="shared" si="28"/>
        <v>68</v>
      </c>
      <c r="BM13" s="382">
        <f t="shared" si="28"/>
        <v>68</v>
      </c>
      <c r="BN13" s="383">
        <f t="shared" si="28"/>
        <v>68</v>
      </c>
      <c r="BO13" s="295">
        <f t="shared" si="29"/>
        <v>68</v>
      </c>
      <c r="BP13" s="381">
        <f t="shared" si="10"/>
        <v>68</v>
      </c>
      <c r="BQ13" s="382">
        <f t="shared" si="30"/>
        <v>68</v>
      </c>
      <c r="BR13" s="382">
        <f t="shared" si="30"/>
        <v>68</v>
      </c>
      <c r="BS13" s="382">
        <f t="shared" si="30"/>
        <v>68</v>
      </c>
      <c r="BT13" s="382">
        <f t="shared" si="30"/>
        <v>68</v>
      </c>
      <c r="BU13" s="382">
        <f t="shared" si="30"/>
        <v>68</v>
      </c>
      <c r="BV13" s="382">
        <f t="shared" si="30"/>
        <v>68</v>
      </c>
      <c r="BW13" s="382">
        <f t="shared" si="30"/>
        <v>68</v>
      </c>
      <c r="BX13" s="382">
        <f t="shared" si="30"/>
        <v>68</v>
      </c>
      <c r="BY13" s="382">
        <f t="shared" si="30"/>
        <v>68</v>
      </c>
      <c r="BZ13" s="382">
        <f t="shared" si="30"/>
        <v>68</v>
      </c>
      <c r="CA13" s="383">
        <f t="shared" si="30"/>
        <v>68</v>
      </c>
      <c r="CB13" s="295">
        <f t="shared" si="31"/>
        <v>68</v>
      </c>
      <c r="CC13" s="381">
        <f t="shared" si="12"/>
        <v>68</v>
      </c>
      <c r="CD13" s="382">
        <f t="shared" si="32"/>
        <v>68</v>
      </c>
      <c r="CE13" s="382">
        <f t="shared" si="32"/>
        <v>68</v>
      </c>
      <c r="CF13" s="382">
        <f t="shared" si="32"/>
        <v>68</v>
      </c>
      <c r="CG13" s="382">
        <f t="shared" si="32"/>
        <v>68</v>
      </c>
      <c r="CH13" s="382">
        <f t="shared" si="32"/>
        <v>68</v>
      </c>
      <c r="CI13" s="382">
        <f t="shared" si="32"/>
        <v>68</v>
      </c>
      <c r="CJ13" s="382">
        <f t="shared" si="32"/>
        <v>68</v>
      </c>
      <c r="CK13" s="382">
        <f t="shared" si="32"/>
        <v>68</v>
      </c>
      <c r="CL13" s="382">
        <f t="shared" si="32"/>
        <v>68</v>
      </c>
      <c r="CM13" s="382">
        <f t="shared" si="32"/>
        <v>68</v>
      </c>
      <c r="CN13" s="383">
        <f t="shared" si="32"/>
        <v>68</v>
      </c>
      <c r="CO13" s="311">
        <f t="shared" si="33"/>
        <v>68</v>
      </c>
      <c r="CP13" s="381">
        <f t="shared" si="14"/>
        <v>68</v>
      </c>
      <c r="CQ13" s="382">
        <f t="shared" si="34"/>
        <v>68</v>
      </c>
      <c r="CR13" s="382">
        <f t="shared" si="34"/>
        <v>68</v>
      </c>
      <c r="CS13" s="382">
        <f t="shared" si="34"/>
        <v>68</v>
      </c>
      <c r="CT13" s="382">
        <f t="shared" si="34"/>
        <v>68</v>
      </c>
      <c r="CU13" s="382">
        <f t="shared" si="34"/>
        <v>68</v>
      </c>
      <c r="CV13" s="382">
        <f t="shared" si="34"/>
        <v>68</v>
      </c>
      <c r="CW13" s="382">
        <f t="shared" si="34"/>
        <v>68</v>
      </c>
      <c r="CX13" s="382">
        <f t="shared" si="34"/>
        <v>68</v>
      </c>
      <c r="CY13" s="382">
        <f t="shared" si="34"/>
        <v>68</v>
      </c>
      <c r="CZ13" s="382">
        <f t="shared" si="34"/>
        <v>68</v>
      </c>
      <c r="DA13" s="383">
        <f t="shared" si="34"/>
        <v>68</v>
      </c>
      <c r="DB13" s="295">
        <f t="shared" si="35"/>
        <v>68</v>
      </c>
      <c r="DD13" s="378">
        <f t="shared" si="16"/>
        <v>102000</v>
      </c>
      <c r="DE13" s="379">
        <f t="shared" si="17"/>
        <v>102000</v>
      </c>
      <c r="DF13" s="379">
        <f t="shared" si="18"/>
        <v>102000</v>
      </c>
      <c r="DG13" s="379">
        <f t="shared" si="19"/>
        <v>102000</v>
      </c>
      <c r="DH13" s="379">
        <f t="shared" si="20"/>
        <v>102000</v>
      </c>
      <c r="DI13" s="379">
        <f t="shared" si="36"/>
        <v>102000</v>
      </c>
      <c r="DJ13" s="380">
        <f t="shared" si="37"/>
        <v>102000</v>
      </c>
      <c r="DK13" s="2"/>
    </row>
    <row r="14" spans="2:115">
      <c r="B14" s="307" t="s">
        <v>181</v>
      </c>
      <c r="C14" s="308" t="s">
        <v>181</v>
      </c>
      <c r="D14" s="389" t="s">
        <v>181</v>
      </c>
      <c r="E14" s="390">
        <v>0.01</v>
      </c>
      <c r="F14" s="307"/>
      <c r="G14" s="308"/>
      <c r="H14" s="309"/>
      <c r="I14" s="294">
        <f t="shared" si="21"/>
        <v>0</v>
      </c>
      <c r="J14" s="310"/>
      <c r="K14" s="310">
        <v>0</v>
      </c>
      <c r="L14" s="32" t="str">
        <f t="shared" si="0"/>
        <v xml:space="preserve"> </v>
      </c>
      <c r="M14" s="33" t="str">
        <f t="shared" ref="M14:M27" si="38">IF(H14=0," ",J14*H14)</f>
        <v xml:space="preserve"> </v>
      </c>
      <c r="N14" s="8" t="str">
        <f t="shared" ref="N14:N27" si="39">IF(M14=" "," ",M14/12)</f>
        <v xml:space="preserve"> </v>
      </c>
      <c r="O14" s="274"/>
      <c r="P14" s="384">
        <f t="shared" si="22"/>
        <v>0</v>
      </c>
      <c r="Q14" s="382">
        <f t="shared" si="3"/>
        <v>0</v>
      </c>
      <c r="R14" s="382">
        <f t="shared" si="3"/>
        <v>0</v>
      </c>
      <c r="S14" s="382">
        <f t="shared" si="3"/>
        <v>0</v>
      </c>
      <c r="T14" s="382">
        <f t="shared" si="3"/>
        <v>0</v>
      </c>
      <c r="U14" s="382">
        <f t="shared" si="3"/>
        <v>0</v>
      </c>
      <c r="V14" s="382">
        <f t="shared" si="3"/>
        <v>0</v>
      </c>
      <c r="W14" s="382">
        <f t="shared" si="3"/>
        <v>0</v>
      </c>
      <c r="X14" s="382">
        <f t="shared" si="3"/>
        <v>0</v>
      </c>
      <c r="Y14" s="382">
        <f t="shared" si="3"/>
        <v>0</v>
      </c>
      <c r="Z14" s="382">
        <f t="shared" si="3"/>
        <v>0</v>
      </c>
      <c r="AA14" s="382">
        <f t="shared" si="3"/>
        <v>0</v>
      </c>
      <c r="AB14" s="295">
        <f t="shared" si="23"/>
        <v>0</v>
      </c>
      <c r="AC14" s="381">
        <f t="shared" si="4"/>
        <v>0</v>
      </c>
      <c r="AD14" s="382">
        <f t="shared" si="24"/>
        <v>0</v>
      </c>
      <c r="AE14" s="382">
        <f t="shared" si="24"/>
        <v>0</v>
      </c>
      <c r="AF14" s="382">
        <f t="shared" si="24"/>
        <v>0</v>
      </c>
      <c r="AG14" s="382">
        <f t="shared" si="24"/>
        <v>0</v>
      </c>
      <c r="AH14" s="382">
        <f t="shared" si="24"/>
        <v>0</v>
      </c>
      <c r="AI14" s="382">
        <f t="shared" si="24"/>
        <v>0</v>
      </c>
      <c r="AJ14" s="382">
        <f t="shared" si="24"/>
        <v>0</v>
      </c>
      <c r="AK14" s="382">
        <f t="shared" si="24"/>
        <v>0</v>
      </c>
      <c r="AL14" s="382">
        <f t="shared" si="24"/>
        <v>0</v>
      </c>
      <c r="AM14" s="382">
        <f t="shared" si="24"/>
        <v>0</v>
      </c>
      <c r="AN14" s="383">
        <f t="shared" si="24"/>
        <v>0</v>
      </c>
      <c r="AO14" s="295">
        <f t="shared" si="25"/>
        <v>0</v>
      </c>
      <c r="AP14" s="381">
        <f t="shared" si="6"/>
        <v>0</v>
      </c>
      <c r="AQ14" s="382">
        <f t="shared" si="26"/>
        <v>0</v>
      </c>
      <c r="AR14" s="382">
        <f t="shared" si="26"/>
        <v>0</v>
      </c>
      <c r="AS14" s="382">
        <f t="shared" si="26"/>
        <v>0</v>
      </c>
      <c r="AT14" s="382">
        <f t="shared" si="26"/>
        <v>0</v>
      </c>
      <c r="AU14" s="382">
        <f t="shared" si="26"/>
        <v>0</v>
      </c>
      <c r="AV14" s="382">
        <f t="shared" si="26"/>
        <v>0</v>
      </c>
      <c r="AW14" s="382">
        <f t="shared" si="26"/>
        <v>0</v>
      </c>
      <c r="AX14" s="382">
        <f t="shared" si="26"/>
        <v>0</v>
      </c>
      <c r="AY14" s="382">
        <f t="shared" si="26"/>
        <v>0</v>
      </c>
      <c r="AZ14" s="382">
        <f t="shared" si="26"/>
        <v>0</v>
      </c>
      <c r="BA14" s="383">
        <f t="shared" si="26"/>
        <v>0</v>
      </c>
      <c r="BB14" s="295">
        <f t="shared" si="27"/>
        <v>0</v>
      </c>
      <c r="BC14" s="381">
        <f t="shared" si="8"/>
        <v>0</v>
      </c>
      <c r="BD14" s="382">
        <f t="shared" si="28"/>
        <v>0</v>
      </c>
      <c r="BE14" s="382">
        <f t="shared" si="28"/>
        <v>0</v>
      </c>
      <c r="BF14" s="382">
        <f t="shared" si="28"/>
        <v>0</v>
      </c>
      <c r="BG14" s="382">
        <f t="shared" si="28"/>
        <v>0</v>
      </c>
      <c r="BH14" s="382">
        <f t="shared" si="28"/>
        <v>0</v>
      </c>
      <c r="BI14" s="382">
        <f t="shared" si="28"/>
        <v>0</v>
      </c>
      <c r="BJ14" s="382">
        <f t="shared" si="28"/>
        <v>0</v>
      </c>
      <c r="BK14" s="382">
        <f t="shared" si="28"/>
        <v>0</v>
      </c>
      <c r="BL14" s="382">
        <f t="shared" si="28"/>
        <v>0</v>
      </c>
      <c r="BM14" s="382">
        <f t="shared" si="28"/>
        <v>0</v>
      </c>
      <c r="BN14" s="383">
        <f t="shared" si="28"/>
        <v>0</v>
      </c>
      <c r="BO14" s="295">
        <f t="shared" si="29"/>
        <v>0</v>
      </c>
      <c r="BP14" s="381">
        <f t="shared" si="10"/>
        <v>0</v>
      </c>
      <c r="BQ14" s="382">
        <f t="shared" si="30"/>
        <v>0</v>
      </c>
      <c r="BR14" s="382">
        <f t="shared" si="30"/>
        <v>0</v>
      </c>
      <c r="BS14" s="382">
        <f t="shared" si="30"/>
        <v>0</v>
      </c>
      <c r="BT14" s="382">
        <f t="shared" si="30"/>
        <v>0</v>
      </c>
      <c r="BU14" s="382">
        <f t="shared" si="30"/>
        <v>0</v>
      </c>
      <c r="BV14" s="382">
        <f t="shared" si="30"/>
        <v>0</v>
      </c>
      <c r="BW14" s="382">
        <f t="shared" si="30"/>
        <v>0</v>
      </c>
      <c r="BX14" s="382">
        <f t="shared" si="30"/>
        <v>0</v>
      </c>
      <c r="BY14" s="382">
        <f t="shared" si="30"/>
        <v>0</v>
      </c>
      <c r="BZ14" s="382">
        <f t="shared" si="30"/>
        <v>0</v>
      </c>
      <c r="CA14" s="383">
        <f t="shared" si="30"/>
        <v>0</v>
      </c>
      <c r="CB14" s="295">
        <f t="shared" si="31"/>
        <v>0</v>
      </c>
      <c r="CC14" s="381">
        <f t="shared" si="12"/>
        <v>0</v>
      </c>
      <c r="CD14" s="382">
        <f t="shared" si="32"/>
        <v>0</v>
      </c>
      <c r="CE14" s="382">
        <f t="shared" si="32"/>
        <v>0</v>
      </c>
      <c r="CF14" s="382">
        <f t="shared" si="32"/>
        <v>0</v>
      </c>
      <c r="CG14" s="382">
        <f t="shared" si="32"/>
        <v>0</v>
      </c>
      <c r="CH14" s="382">
        <f t="shared" si="32"/>
        <v>0</v>
      </c>
      <c r="CI14" s="382">
        <f t="shared" si="32"/>
        <v>0</v>
      </c>
      <c r="CJ14" s="382">
        <f t="shared" si="32"/>
        <v>0</v>
      </c>
      <c r="CK14" s="382">
        <f t="shared" si="32"/>
        <v>0</v>
      </c>
      <c r="CL14" s="382">
        <f t="shared" si="32"/>
        <v>0</v>
      </c>
      <c r="CM14" s="382">
        <f t="shared" si="32"/>
        <v>0</v>
      </c>
      <c r="CN14" s="383">
        <f t="shared" si="32"/>
        <v>0</v>
      </c>
      <c r="CO14" s="311">
        <f t="shared" si="33"/>
        <v>0</v>
      </c>
      <c r="CP14" s="381">
        <f t="shared" si="14"/>
        <v>0</v>
      </c>
      <c r="CQ14" s="382">
        <f t="shared" si="34"/>
        <v>0</v>
      </c>
      <c r="CR14" s="382">
        <f t="shared" si="34"/>
        <v>0</v>
      </c>
      <c r="CS14" s="382">
        <f t="shared" si="34"/>
        <v>0</v>
      </c>
      <c r="CT14" s="382">
        <f t="shared" si="34"/>
        <v>0</v>
      </c>
      <c r="CU14" s="382">
        <f t="shared" si="34"/>
        <v>0</v>
      </c>
      <c r="CV14" s="382">
        <f t="shared" si="34"/>
        <v>0</v>
      </c>
      <c r="CW14" s="382">
        <f t="shared" si="34"/>
        <v>0</v>
      </c>
      <c r="CX14" s="382">
        <f t="shared" si="34"/>
        <v>0</v>
      </c>
      <c r="CY14" s="382">
        <f t="shared" si="34"/>
        <v>0</v>
      </c>
      <c r="CZ14" s="382">
        <f t="shared" si="34"/>
        <v>0</v>
      </c>
      <c r="DA14" s="383">
        <f t="shared" si="34"/>
        <v>0</v>
      </c>
      <c r="DB14" s="295">
        <f t="shared" si="35"/>
        <v>0</v>
      </c>
      <c r="DD14" s="378">
        <f t="shared" si="16"/>
        <v>0</v>
      </c>
      <c r="DE14" s="379">
        <f t="shared" si="17"/>
        <v>0</v>
      </c>
      <c r="DF14" s="379">
        <f t="shared" si="18"/>
        <v>0</v>
      </c>
      <c r="DG14" s="379">
        <f t="shared" si="19"/>
        <v>0</v>
      </c>
      <c r="DH14" s="379">
        <f t="shared" si="20"/>
        <v>0</v>
      </c>
      <c r="DI14" s="379">
        <f t="shared" si="36"/>
        <v>0</v>
      </c>
      <c r="DJ14" s="380">
        <f t="shared" si="37"/>
        <v>0</v>
      </c>
      <c r="DK14" s="2"/>
    </row>
    <row r="15" spans="2:115">
      <c r="B15" s="307" t="s">
        <v>181</v>
      </c>
      <c r="C15" s="308" t="s">
        <v>181</v>
      </c>
      <c r="D15" s="389" t="s">
        <v>181</v>
      </c>
      <c r="E15" s="390">
        <v>0.02</v>
      </c>
      <c r="F15" s="307"/>
      <c r="G15" s="308"/>
      <c r="H15" s="309"/>
      <c r="I15" s="294">
        <f t="shared" si="21"/>
        <v>0</v>
      </c>
      <c r="J15" s="310"/>
      <c r="K15" s="310">
        <v>0</v>
      </c>
      <c r="L15" s="32" t="str">
        <f t="shared" si="0"/>
        <v xml:space="preserve"> </v>
      </c>
      <c r="M15" s="33" t="str">
        <f t="shared" si="38"/>
        <v xml:space="preserve"> </v>
      </c>
      <c r="N15" s="8" t="str">
        <f t="shared" si="39"/>
        <v xml:space="preserve"> </v>
      </c>
      <c r="O15" s="274"/>
      <c r="P15" s="384">
        <f t="shared" si="22"/>
        <v>0</v>
      </c>
      <c r="Q15" s="382">
        <f t="shared" si="3"/>
        <v>0</v>
      </c>
      <c r="R15" s="382">
        <f t="shared" si="3"/>
        <v>0</v>
      </c>
      <c r="S15" s="382">
        <f t="shared" si="3"/>
        <v>0</v>
      </c>
      <c r="T15" s="382">
        <f t="shared" si="3"/>
        <v>0</v>
      </c>
      <c r="U15" s="382">
        <f t="shared" si="3"/>
        <v>0</v>
      </c>
      <c r="V15" s="382">
        <f t="shared" si="3"/>
        <v>0</v>
      </c>
      <c r="W15" s="382">
        <f t="shared" si="3"/>
        <v>0</v>
      </c>
      <c r="X15" s="382">
        <f t="shared" si="3"/>
        <v>0</v>
      </c>
      <c r="Y15" s="382">
        <f t="shared" si="3"/>
        <v>0</v>
      </c>
      <c r="Z15" s="382">
        <f t="shared" si="3"/>
        <v>0</v>
      </c>
      <c r="AA15" s="382">
        <f t="shared" si="3"/>
        <v>0</v>
      </c>
      <c r="AB15" s="295">
        <f t="shared" si="23"/>
        <v>0</v>
      </c>
      <c r="AC15" s="381">
        <f t="shared" si="4"/>
        <v>0</v>
      </c>
      <c r="AD15" s="382">
        <f t="shared" si="24"/>
        <v>0</v>
      </c>
      <c r="AE15" s="382">
        <f t="shared" si="24"/>
        <v>0</v>
      </c>
      <c r="AF15" s="382">
        <f t="shared" si="24"/>
        <v>0</v>
      </c>
      <c r="AG15" s="382">
        <f t="shared" si="24"/>
        <v>0</v>
      </c>
      <c r="AH15" s="382">
        <f t="shared" si="24"/>
        <v>0</v>
      </c>
      <c r="AI15" s="382">
        <f t="shared" si="24"/>
        <v>0</v>
      </c>
      <c r="AJ15" s="382">
        <f t="shared" si="24"/>
        <v>0</v>
      </c>
      <c r="AK15" s="382">
        <f t="shared" si="24"/>
        <v>0</v>
      </c>
      <c r="AL15" s="382">
        <f t="shared" si="24"/>
        <v>0</v>
      </c>
      <c r="AM15" s="382">
        <f t="shared" si="24"/>
        <v>0</v>
      </c>
      <c r="AN15" s="383">
        <f t="shared" si="24"/>
        <v>0</v>
      </c>
      <c r="AO15" s="295">
        <f t="shared" si="25"/>
        <v>0</v>
      </c>
      <c r="AP15" s="381">
        <f t="shared" si="6"/>
        <v>0</v>
      </c>
      <c r="AQ15" s="382">
        <f t="shared" si="26"/>
        <v>0</v>
      </c>
      <c r="AR15" s="382">
        <f t="shared" si="26"/>
        <v>0</v>
      </c>
      <c r="AS15" s="382">
        <f t="shared" si="26"/>
        <v>0</v>
      </c>
      <c r="AT15" s="382">
        <f t="shared" si="26"/>
        <v>0</v>
      </c>
      <c r="AU15" s="382">
        <f t="shared" si="26"/>
        <v>0</v>
      </c>
      <c r="AV15" s="382">
        <f t="shared" si="26"/>
        <v>0</v>
      </c>
      <c r="AW15" s="382">
        <f t="shared" si="26"/>
        <v>0</v>
      </c>
      <c r="AX15" s="382">
        <f t="shared" si="26"/>
        <v>0</v>
      </c>
      <c r="AY15" s="382">
        <f t="shared" si="26"/>
        <v>0</v>
      </c>
      <c r="AZ15" s="382">
        <f t="shared" si="26"/>
        <v>0</v>
      </c>
      <c r="BA15" s="383">
        <f t="shared" si="26"/>
        <v>0</v>
      </c>
      <c r="BB15" s="295">
        <f t="shared" si="27"/>
        <v>0</v>
      </c>
      <c r="BC15" s="381">
        <f t="shared" si="8"/>
        <v>0</v>
      </c>
      <c r="BD15" s="382">
        <f t="shared" si="28"/>
        <v>0</v>
      </c>
      <c r="BE15" s="382">
        <f t="shared" si="28"/>
        <v>0</v>
      </c>
      <c r="BF15" s="382">
        <f t="shared" si="28"/>
        <v>0</v>
      </c>
      <c r="BG15" s="382">
        <f t="shared" si="28"/>
        <v>0</v>
      </c>
      <c r="BH15" s="382">
        <f t="shared" si="28"/>
        <v>0</v>
      </c>
      <c r="BI15" s="382">
        <f t="shared" si="28"/>
        <v>0</v>
      </c>
      <c r="BJ15" s="382">
        <f t="shared" si="28"/>
        <v>0</v>
      </c>
      <c r="BK15" s="382">
        <f t="shared" si="28"/>
        <v>0</v>
      </c>
      <c r="BL15" s="382">
        <f t="shared" si="28"/>
        <v>0</v>
      </c>
      <c r="BM15" s="382">
        <f t="shared" si="28"/>
        <v>0</v>
      </c>
      <c r="BN15" s="383">
        <f t="shared" si="28"/>
        <v>0</v>
      </c>
      <c r="BO15" s="295">
        <f t="shared" si="29"/>
        <v>0</v>
      </c>
      <c r="BP15" s="381">
        <f t="shared" si="10"/>
        <v>0</v>
      </c>
      <c r="BQ15" s="382">
        <f t="shared" si="30"/>
        <v>0</v>
      </c>
      <c r="BR15" s="382">
        <f t="shared" si="30"/>
        <v>0</v>
      </c>
      <c r="BS15" s="382">
        <f t="shared" si="30"/>
        <v>0</v>
      </c>
      <c r="BT15" s="382">
        <f t="shared" si="30"/>
        <v>0</v>
      </c>
      <c r="BU15" s="382">
        <f t="shared" si="30"/>
        <v>0</v>
      </c>
      <c r="BV15" s="382">
        <f t="shared" si="30"/>
        <v>0</v>
      </c>
      <c r="BW15" s="382">
        <f t="shared" si="30"/>
        <v>0</v>
      </c>
      <c r="BX15" s="382">
        <f t="shared" si="30"/>
        <v>0</v>
      </c>
      <c r="BY15" s="382">
        <f t="shared" si="30"/>
        <v>0</v>
      </c>
      <c r="BZ15" s="382">
        <f t="shared" si="30"/>
        <v>0</v>
      </c>
      <c r="CA15" s="383">
        <f t="shared" si="30"/>
        <v>0</v>
      </c>
      <c r="CB15" s="295">
        <f t="shared" si="31"/>
        <v>0</v>
      </c>
      <c r="CC15" s="381">
        <f t="shared" si="12"/>
        <v>0</v>
      </c>
      <c r="CD15" s="382">
        <f t="shared" si="32"/>
        <v>0</v>
      </c>
      <c r="CE15" s="382">
        <f t="shared" si="32"/>
        <v>0</v>
      </c>
      <c r="CF15" s="382">
        <f t="shared" si="32"/>
        <v>0</v>
      </c>
      <c r="CG15" s="382">
        <f t="shared" si="32"/>
        <v>0</v>
      </c>
      <c r="CH15" s="382">
        <f t="shared" si="32"/>
        <v>0</v>
      </c>
      <c r="CI15" s="382">
        <f t="shared" si="32"/>
        <v>0</v>
      </c>
      <c r="CJ15" s="382">
        <f t="shared" si="32"/>
        <v>0</v>
      </c>
      <c r="CK15" s="382">
        <f t="shared" si="32"/>
        <v>0</v>
      </c>
      <c r="CL15" s="382">
        <f t="shared" si="32"/>
        <v>0</v>
      </c>
      <c r="CM15" s="382">
        <f t="shared" si="32"/>
        <v>0</v>
      </c>
      <c r="CN15" s="383">
        <f t="shared" si="32"/>
        <v>0</v>
      </c>
      <c r="CO15" s="311">
        <f t="shared" si="33"/>
        <v>0</v>
      </c>
      <c r="CP15" s="381">
        <f t="shared" si="14"/>
        <v>0</v>
      </c>
      <c r="CQ15" s="382">
        <f t="shared" si="34"/>
        <v>0</v>
      </c>
      <c r="CR15" s="382">
        <f t="shared" si="34"/>
        <v>0</v>
      </c>
      <c r="CS15" s="382">
        <f t="shared" si="34"/>
        <v>0</v>
      </c>
      <c r="CT15" s="382">
        <f t="shared" si="34"/>
        <v>0</v>
      </c>
      <c r="CU15" s="382">
        <f t="shared" si="34"/>
        <v>0</v>
      </c>
      <c r="CV15" s="382">
        <f t="shared" si="34"/>
        <v>0</v>
      </c>
      <c r="CW15" s="382">
        <f t="shared" si="34"/>
        <v>0</v>
      </c>
      <c r="CX15" s="382">
        <f t="shared" si="34"/>
        <v>0</v>
      </c>
      <c r="CY15" s="382">
        <f t="shared" si="34"/>
        <v>0</v>
      </c>
      <c r="CZ15" s="382">
        <f t="shared" si="34"/>
        <v>0</v>
      </c>
      <c r="DA15" s="383">
        <f t="shared" si="34"/>
        <v>0</v>
      </c>
      <c r="DB15" s="295">
        <f t="shared" si="35"/>
        <v>0</v>
      </c>
      <c r="DD15" s="378">
        <f t="shared" si="16"/>
        <v>0</v>
      </c>
      <c r="DE15" s="379">
        <f t="shared" si="17"/>
        <v>0</v>
      </c>
      <c r="DF15" s="379">
        <f t="shared" si="18"/>
        <v>0</v>
      </c>
      <c r="DG15" s="379">
        <f t="shared" si="19"/>
        <v>0</v>
      </c>
      <c r="DH15" s="379">
        <f t="shared" si="20"/>
        <v>0</v>
      </c>
      <c r="DI15" s="379">
        <f t="shared" si="36"/>
        <v>0</v>
      </c>
      <c r="DJ15" s="380">
        <f t="shared" si="37"/>
        <v>0</v>
      </c>
      <c r="DK15" s="2"/>
    </row>
    <row r="16" spans="2:115">
      <c r="B16" s="307" t="s">
        <v>181</v>
      </c>
      <c r="C16" s="308" t="s">
        <v>181</v>
      </c>
      <c r="D16" s="389" t="s">
        <v>181</v>
      </c>
      <c r="E16" s="390">
        <v>0.01</v>
      </c>
      <c r="F16" s="307"/>
      <c r="G16" s="308"/>
      <c r="H16" s="309"/>
      <c r="I16" s="294">
        <f t="shared" si="21"/>
        <v>0</v>
      </c>
      <c r="J16" s="310"/>
      <c r="K16" s="310">
        <v>0</v>
      </c>
      <c r="L16" s="32" t="str">
        <f t="shared" si="0"/>
        <v xml:space="preserve"> </v>
      </c>
      <c r="M16" s="33" t="str">
        <f t="shared" si="38"/>
        <v xml:space="preserve"> </v>
      </c>
      <c r="N16" s="8" t="str">
        <f t="shared" si="39"/>
        <v xml:space="preserve"> </v>
      </c>
      <c r="O16" s="274"/>
      <c r="P16" s="384">
        <f t="shared" si="22"/>
        <v>0</v>
      </c>
      <c r="Q16" s="382">
        <f t="shared" si="3"/>
        <v>0</v>
      </c>
      <c r="R16" s="382">
        <f t="shared" si="3"/>
        <v>0</v>
      </c>
      <c r="S16" s="382">
        <f t="shared" si="3"/>
        <v>0</v>
      </c>
      <c r="T16" s="382">
        <f t="shared" si="3"/>
        <v>0</v>
      </c>
      <c r="U16" s="382">
        <f t="shared" si="3"/>
        <v>0</v>
      </c>
      <c r="V16" s="382">
        <f t="shared" si="3"/>
        <v>0</v>
      </c>
      <c r="W16" s="382">
        <f t="shared" si="3"/>
        <v>0</v>
      </c>
      <c r="X16" s="382">
        <f t="shared" si="3"/>
        <v>0</v>
      </c>
      <c r="Y16" s="382">
        <f t="shared" si="3"/>
        <v>0</v>
      </c>
      <c r="Z16" s="382">
        <f t="shared" si="3"/>
        <v>0</v>
      </c>
      <c r="AA16" s="382">
        <f t="shared" si="3"/>
        <v>0</v>
      </c>
      <c r="AB16" s="295">
        <f t="shared" si="23"/>
        <v>0</v>
      </c>
      <c r="AC16" s="381">
        <f t="shared" si="4"/>
        <v>0</v>
      </c>
      <c r="AD16" s="382">
        <f t="shared" si="24"/>
        <v>0</v>
      </c>
      <c r="AE16" s="382">
        <f t="shared" si="24"/>
        <v>0</v>
      </c>
      <c r="AF16" s="382">
        <f t="shared" si="24"/>
        <v>0</v>
      </c>
      <c r="AG16" s="382">
        <f t="shared" si="24"/>
        <v>0</v>
      </c>
      <c r="AH16" s="382">
        <f t="shared" si="24"/>
        <v>0</v>
      </c>
      <c r="AI16" s="382">
        <f t="shared" si="24"/>
        <v>0</v>
      </c>
      <c r="AJ16" s="382">
        <f t="shared" si="24"/>
        <v>0</v>
      </c>
      <c r="AK16" s="382">
        <f t="shared" si="24"/>
        <v>0</v>
      </c>
      <c r="AL16" s="382">
        <f t="shared" si="24"/>
        <v>0</v>
      </c>
      <c r="AM16" s="382">
        <f t="shared" si="24"/>
        <v>0</v>
      </c>
      <c r="AN16" s="383">
        <f t="shared" si="24"/>
        <v>0</v>
      </c>
      <c r="AO16" s="295">
        <f t="shared" si="25"/>
        <v>0</v>
      </c>
      <c r="AP16" s="381">
        <f t="shared" si="6"/>
        <v>0</v>
      </c>
      <c r="AQ16" s="382">
        <f t="shared" si="26"/>
        <v>0</v>
      </c>
      <c r="AR16" s="382">
        <f t="shared" si="26"/>
        <v>0</v>
      </c>
      <c r="AS16" s="382">
        <f t="shared" si="26"/>
        <v>0</v>
      </c>
      <c r="AT16" s="382">
        <f t="shared" si="26"/>
        <v>0</v>
      </c>
      <c r="AU16" s="382">
        <f t="shared" si="26"/>
        <v>0</v>
      </c>
      <c r="AV16" s="382">
        <f t="shared" si="26"/>
        <v>0</v>
      </c>
      <c r="AW16" s="382">
        <f t="shared" si="26"/>
        <v>0</v>
      </c>
      <c r="AX16" s="382">
        <f t="shared" si="26"/>
        <v>0</v>
      </c>
      <c r="AY16" s="382">
        <f t="shared" si="26"/>
        <v>0</v>
      </c>
      <c r="AZ16" s="382">
        <f t="shared" si="26"/>
        <v>0</v>
      </c>
      <c r="BA16" s="383">
        <f t="shared" si="26"/>
        <v>0</v>
      </c>
      <c r="BB16" s="295">
        <f t="shared" si="27"/>
        <v>0</v>
      </c>
      <c r="BC16" s="381">
        <f t="shared" si="8"/>
        <v>0</v>
      </c>
      <c r="BD16" s="382">
        <f t="shared" si="28"/>
        <v>0</v>
      </c>
      <c r="BE16" s="382">
        <f t="shared" si="28"/>
        <v>0</v>
      </c>
      <c r="BF16" s="382">
        <f t="shared" si="28"/>
        <v>0</v>
      </c>
      <c r="BG16" s="382">
        <f t="shared" si="28"/>
        <v>0</v>
      </c>
      <c r="BH16" s="382">
        <f t="shared" si="28"/>
        <v>0</v>
      </c>
      <c r="BI16" s="382">
        <f t="shared" si="28"/>
        <v>0</v>
      </c>
      <c r="BJ16" s="382">
        <f t="shared" si="28"/>
        <v>0</v>
      </c>
      <c r="BK16" s="382">
        <f t="shared" si="28"/>
        <v>0</v>
      </c>
      <c r="BL16" s="382">
        <f t="shared" si="28"/>
        <v>0</v>
      </c>
      <c r="BM16" s="382">
        <f t="shared" si="28"/>
        <v>0</v>
      </c>
      <c r="BN16" s="383">
        <f t="shared" si="28"/>
        <v>0</v>
      </c>
      <c r="BO16" s="295">
        <f t="shared" si="29"/>
        <v>0</v>
      </c>
      <c r="BP16" s="381">
        <f t="shared" si="10"/>
        <v>0</v>
      </c>
      <c r="BQ16" s="382">
        <f t="shared" si="30"/>
        <v>0</v>
      </c>
      <c r="BR16" s="382">
        <f t="shared" si="30"/>
        <v>0</v>
      </c>
      <c r="BS16" s="382">
        <f t="shared" si="30"/>
        <v>0</v>
      </c>
      <c r="BT16" s="382">
        <f t="shared" si="30"/>
        <v>0</v>
      </c>
      <c r="BU16" s="382">
        <f t="shared" si="30"/>
        <v>0</v>
      </c>
      <c r="BV16" s="382">
        <f t="shared" si="30"/>
        <v>0</v>
      </c>
      <c r="BW16" s="382">
        <f t="shared" si="30"/>
        <v>0</v>
      </c>
      <c r="BX16" s="382">
        <f t="shared" si="30"/>
        <v>0</v>
      </c>
      <c r="BY16" s="382">
        <f t="shared" si="30"/>
        <v>0</v>
      </c>
      <c r="BZ16" s="382">
        <f t="shared" si="30"/>
        <v>0</v>
      </c>
      <c r="CA16" s="383">
        <f t="shared" si="30"/>
        <v>0</v>
      </c>
      <c r="CB16" s="295">
        <f t="shared" si="31"/>
        <v>0</v>
      </c>
      <c r="CC16" s="381">
        <f t="shared" si="12"/>
        <v>0</v>
      </c>
      <c r="CD16" s="382">
        <f t="shared" si="32"/>
        <v>0</v>
      </c>
      <c r="CE16" s="382">
        <f t="shared" si="32"/>
        <v>0</v>
      </c>
      <c r="CF16" s="382">
        <f t="shared" si="32"/>
        <v>0</v>
      </c>
      <c r="CG16" s="382">
        <f t="shared" si="32"/>
        <v>0</v>
      </c>
      <c r="CH16" s="382">
        <f t="shared" si="32"/>
        <v>0</v>
      </c>
      <c r="CI16" s="382">
        <f t="shared" si="32"/>
        <v>0</v>
      </c>
      <c r="CJ16" s="382">
        <f t="shared" si="32"/>
        <v>0</v>
      </c>
      <c r="CK16" s="382">
        <f t="shared" si="32"/>
        <v>0</v>
      </c>
      <c r="CL16" s="382">
        <f t="shared" si="32"/>
        <v>0</v>
      </c>
      <c r="CM16" s="382">
        <f t="shared" si="32"/>
        <v>0</v>
      </c>
      <c r="CN16" s="383">
        <f t="shared" si="32"/>
        <v>0</v>
      </c>
      <c r="CO16" s="311">
        <f t="shared" si="33"/>
        <v>0</v>
      </c>
      <c r="CP16" s="381">
        <f t="shared" si="14"/>
        <v>0</v>
      </c>
      <c r="CQ16" s="382">
        <f t="shared" si="34"/>
        <v>0</v>
      </c>
      <c r="CR16" s="382">
        <f t="shared" si="34"/>
        <v>0</v>
      </c>
      <c r="CS16" s="382">
        <f t="shared" si="34"/>
        <v>0</v>
      </c>
      <c r="CT16" s="382">
        <f t="shared" si="34"/>
        <v>0</v>
      </c>
      <c r="CU16" s="382">
        <f t="shared" si="34"/>
        <v>0</v>
      </c>
      <c r="CV16" s="382">
        <f t="shared" si="34"/>
        <v>0</v>
      </c>
      <c r="CW16" s="382">
        <f t="shared" si="34"/>
        <v>0</v>
      </c>
      <c r="CX16" s="382">
        <f t="shared" si="34"/>
        <v>0</v>
      </c>
      <c r="CY16" s="382">
        <f t="shared" si="34"/>
        <v>0</v>
      </c>
      <c r="CZ16" s="382">
        <f t="shared" si="34"/>
        <v>0</v>
      </c>
      <c r="DA16" s="383">
        <f t="shared" si="34"/>
        <v>0</v>
      </c>
      <c r="DB16" s="295">
        <f t="shared" si="35"/>
        <v>0</v>
      </c>
      <c r="DD16" s="378">
        <f t="shared" si="16"/>
        <v>0</v>
      </c>
      <c r="DE16" s="379">
        <f t="shared" si="17"/>
        <v>0</v>
      </c>
      <c r="DF16" s="379">
        <f t="shared" si="18"/>
        <v>0</v>
      </c>
      <c r="DG16" s="379">
        <f t="shared" si="19"/>
        <v>0</v>
      </c>
      <c r="DH16" s="379">
        <f t="shared" si="20"/>
        <v>0</v>
      </c>
      <c r="DI16" s="379">
        <f t="shared" si="36"/>
        <v>0</v>
      </c>
      <c r="DJ16" s="380">
        <f t="shared" si="37"/>
        <v>0</v>
      </c>
    </row>
    <row r="17" spans="2:114">
      <c r="B17" s="307" t="s">
        <v>182</v>
      </c>
      <c r="C17" s="308" t="s">
        <v>182</v>
      </c>
      <c r="D17" s="389" t="s">
        <v>181</v>
      </c>
      <c r="E17" s="390">
        <v>0.01</v>
      </c>
      <c r="F17" s="307"/>
      <c r="G17" s="308"/>
      <c r="H17" s="309"/>
      <c r="I17" s="294">
        <f t="shared" si="21"/>
        <v>0</v>
      </c>
      <c r="J17" s="310"/>
      <c r="K17" s="310">
        <v>0</v>
      </c>
      <c r="L17" s="32" t="str">
        <f t="shared" si="0"/>
        <v xml:space="preserve"> </v>
      </c>
      <c r="M17" s="33" t="str">
        <f t="shared" si="38"/>
        <v xml:space="preserve"> </v>
      </c>
      <c r="N17" s="8" t="str">
        <f t="shared" si="39"/>
        <v xml:space="preserve"> </v>
      </c>
      <c r="O17" s="274"/>
      <c r="P17" s="384">
        <f t="shared" si="22"/>
        <v>0</v>
      </c>
      <c r="Q17" s="382">
        <f t="shared" si="3"/>
        <v>0</v>
      </c>
      <c r="R17" s="382">
        <f t="shared" si="3"/>
        <v>0</v>
      </c>
      <c r="S17" s="382">
        <f t="shared" si="3"/>
        <v>0</v>
      </c>
      <c r="T17" s="382">
        <f t="shared" si="3"/>
        <v>0</v>
      </c>
      <c r="U17" s="382">
        <f t="shared" si="3"/>
        <v>0</v>
      </c>
      <c r="V17" s="382">
        <f t="shared" si="3"/>
        <v>0</v>
      </c>
      <c r="W17" s="382">
        <f t="shared" si="3"/>
        <v>0</v>
      </c>
      <c r="X17" s="382">
        <f t="shared" si="3"/>
        <v>0</v>
      </c>
      <c r="Y17" s="382">
        <f t="shared" si="3"/>
        <v>0</v>
      </c>
      <c r="Z17" s="382">
        <f t="shared" si="3"/>
        <v>0</v>
      </c>
      <c r="AA17" s="382">
        <f t="shared" si="3"/>
        <v>0</v>
      </c>
      <c r="AB17" s="295">
        <f t="shared" si="23"/>
        <v>0</v>
      </c>
      <c r="AC17" s="381">
        <f t="shared" si="4"/>
        <v>0</v>
      </c>
      <c r="AD17" s="382">
        <f t="shared" si="24"/>
        <v>0</v>
      </c>
      <c r="AE17" s="382">
        <f t="shared" si="24"/>
        <v>0</v>
      </c>
      <c r="AF17" s="382">
        <f t="shared" si="24"/>
        <v>0</v>
      </c>
      <c r="AG17" s="382">
        <f t="shared" si="24"/>
        <v>0</v>
      </c>
      <c r="AH17" s="382">
        <f t="shared" si="24"/>
        <v>0</v>
      </c>
      <c r="AI17" s="382">
        <f t="shared" si="24"/>
        <v>0</v>
      </c>
      <c r="AJ17" s="382">
        <f t="shared" si="24"/>
        <v>0</v>
      </c>
      <c r="AK17" s="382">
        <f t="shared" si="24"/>
        <v>0</v>
      </c>
      <c r="AL17" s="382">
        <f t="shared" si="24"/>
        <v>0</v>
      </c>
      <c r="AM17" s="382">
        <f t="shared" si="24"/>
        <v>0</v>
      </c>
      <c r="AN17" s="383">
        <f t="shared" si="24"/>
        <v>0</v>
      </c>
      <c r="AO17" s="295">
        <f t="shared" si="25"/>
        <v>0</v>
      </c>
      <c r="AP17" s="381">
        <f t="shared" si="6"/>
        <v>0</v>
      </c>
      <c r="AQ17" s="382">
        <f t="shared" si="26"/>
        <v>0</v>
      </c>
      <c r="AR17" s="382">
        <f t="shared" si="26"/>
        <v>0</v>
      </c>
      <c r="AS17" s="382">
        <f t="shared" si="26"/>
        <v>0</v>
      </c>
      <c r="AT17" s="382">
        <f t="shared" si="26"/>
        <v>0</v>
      </c>
      <c r="AU17" s="382">
        <f t="shared" si="26"/>
        <v>0</v>
      </c>
      <c r="AV17" s="382">
        <f t="shared" si="26"/>
        <v>0</v>
      </c>
      <c r="AW17" s="382">
        <f t="shared" si="26"/>
        <v>0</v>
      </c>
      <c r="AX17" s="382">
        <f t="shared" si="26"/>
        <v>0</v>
      </c>
      <c r="AY17" s="382">
        <f t="shared" si="26"/>
        <v>0</v>
      </c>
      <c r="AZ17" s="382">
        <f t="shared" si="26"/>
        <v>0</v>
      </c>
      <c r="BA17" s="383">
        <f t="shared" si="26"/>
        <v>0</v>
      </c>
      <c r="BB17" s="295">
        <f t="shared" si="27"/>
        <v>0</v>
      </c>
      <c r="BC17" s="381">
        <f t="shared" si="8"/>
        <v>0</v>
      </c>
      <c r="BD17" s="382">
        <f t="shared" si="28"/>
        <v>0</v>
      </c>
      <c r="BE17" s="382">
        <f t="shared" si="28"/>
        <v>0</v>
      </c>
      <c r="BF17" s="382">
        <f t="shared" si="28"/>
        <v>0</v>
      </c>
      <c r="BG17" s="382">
        <f t="shared" si="28"/>
        <v>0</v>
      </c>
      <c r="BH17" s="382">
        <f t="shared" si="28"/>
        <v>0</v>
      </c>
      <c r="BI17" s="382">
        <f t="shared" si="28"/>
        <v>0</v>
      </c>
      <c r="BJ17" s="382">
        <f t="shared" si="28"/>
        <v>0</v>
      </c>
      <c r="BK17" s="382">
        <f t="shared" si="28"/>
        <v>0</v>
      </c>
      <c r="BL17" s="382">
        <f t="shared" si="28"/>
        <v>0</v>
      </c>
      <c r="BM17" s="382">
        <f t="shared" si="28"/>
        <v>0</v>
      </c>
      <c r="BN17" s="383">
        <f t="shared" si="28"/>
        <v>0</v>
      </c>
      <c r="BO17" s="295">
        <f t="shared" si="29"/>
        <v>0</v>
      </c>
      <c r="BP17" s="381">
        <f t="shared" si="10"/>
        <v>0</v>
      </c>
      <c r="BQ17" s="382">
        <f t="shared" si="30"/>
        <v>0</v>
      </c>
      <c r="BR17" s="382">
        <f t="shared" si="30"/>
        <v>0</v>
      </c>
      <c r="BS17" s="382">
        <f t="shared" si="30"/>
        <v>0</v>
      </c>
      <c r="BT17" s="382">
        <f t="shared" si="30"/>
        <v>0</v>
      </c>
      <c r="BU17" s="382">
        <f t="shared" si="30"/>
        <v>0</v>
      </c>
      <c r="BV17" s="382">
        <f t="shared" si="30"/>
        <v>0</v>
      </c>
      <c r="BW17" s="382">
        <f t="shared" si="30"/>
        <v>0</v>
      </c>
      <c r="BX17" s="382">
        <f t="shared" si="30"/>
        <v>0</v>
      </c>
      <c r="BY17" s="382">
        <f t="shared" si="30"/>
        <v>0</v>
      </c>
      <c r="BZ17" s="382">
        <f t="shared" si="30"/>
        <v>0</v>
      </c>
      <c r="CA17" s="383">
        <f t="shared" si="30"/>
        <v>0</v>
      </c>
      <c r="CB17" s="295">
        <f t="shared" si="31"/>
        <v>0</v>
      </c>
      <c r="CC17" s="381">
        <f t="shared" si="12"/>
        <v>0</v>
      </c>
      <c r="CD17" s="382">
        <f t="shared" si="32"/>
        <v>0</v>
      </c>
      <c r="CE17" s="382">
        <f t="shared" si="32"/>
        <v>0</v>
      </c>
      <c r="CF17" s="382">
        <f t="shared" si="32"/>
        <v>0</v>
      </c>
      <c r="CG17" s="382">
        <f t="shared" si="32"/>
        <v>0</v>
      </c>
      <c r="CH17" s="382">
        <f t="shared" si="32"/>
        <v>0</v>
      </c>
      <c r="CI17" s="382">
        <f t="shared" si="32"/>
        <v>0</v>
      </c>
      <c r="CJ17" s="382">
        <f t="shared" si="32"/>
        <v>0</v>
      </c>
      <c r="CK17" s="382">
        <f t="shared" si="32"/>
        <v>0</v>
      </c>
      <c r="CL17" s="382">
        <f t="shared" si="32"/>
        <v>0</v>
      </c>
      <c r="CM17" s="382">
        <f t="shared" si="32"/>
        <v>0</v>
      </c>
      <c r="CN17" s="383">
        <f t="shared" si="32"/>
        <v>0</v>
      </c>
      <c r="CO17" s="311">
        <f t="shared" si="33"/>
        <v>0</v>
      </c>
      <c r="CP17" s="381">
        <f t="shared" si="14"/>
        <v>0</v>
      </c>
      <c r="CQ17" s="382">
        <f t="shared" si="34"/>
        <v>0</v>
      </c>
      <c r="CR17" s="382">
        <f t="shared" si="34"/>
        <v>0</v>
      </c>
      <c r="CS17" s="382">
        <f t="shared" si="34"/>
        <v>0</v>
      </c>
      <c r="CT17" s="382">
        <f t="shared" si="34"/>
        <v>0</v>
      </c>
      <c r="CU17" s="382">
        <f t="shared" si="34"/>
        <v>0</v>
      </c>
      <c r="CV17" s="382">
        <f t="shared" si="34"/>
        <v>0</v>
      </c>
      <c r="CW17" s="382">
        <f t="shared" si="34"/>
        <v>0</v>
      </c>
      <c r="CX17" s="382">
        <f t="shared" si="34"/>
        <v>0</v>
      </c>
      <c r="CY17" s="382">
        <f t="shared" si="34"/>
        <v>0</v>
      </c>
      <c r="CZ17" s="382">
        <f t="shared" si="34"/>
        <v>0</v>
      </c>
      <c r="DA17" s="383">
        <f t="shared" si="34"/>
        <v>0</v>
      </c>
      <c r="DB17" s="295">
        <f t="shared" si="35"/>
        <v>0</v>
      </c>
      <c r="DD17" s="378">
        <f t="shared" si="16"/>
        <v>0</v>
      </c>
      <c r="DE17" s="379">
        <f t="shared" si="17"/>
        <v>0</v>
      </c>
      <c r="DF17" s="379">
        <f t="shared" si="18"/>
        <v>0</v>
      </c>
      <c r="DG17" s="379">
        <f t="shared" si="19"/>
        <v>0</v>
      </c>
      <c r="DH17" s="379">
        <f t="shared" si="20"/>
        <v>0</v>
      </c>
      <c r="DI17" s="379">
        <f t="shared" ref="DI17:DI27" si="40">+(BP17*$H17)/12+(BQ17*$H17)/12+(BR17*$H17)/12+(BS17*$H17)/12+(BT17*$H17)/12+(BU17*$H17)/12+(BV17*$H17)/12+(BW17*$H17)/12+(BX17*$H17)/12+(BY17*$H17)/12+(BZ17*$H17)/12+(CA17*$H17)/12</f>
        <v>0</v>
      </c>
      <c r="DJ17" s="380">
        <f t="shared" ref="DJ17:DJ27" si="41">+(CC17*$H17)/12+(CD17*$H17)/12+(CE17*$H17)/12+(CF17*$H17)/12+(CG17*$H17)/12+(CH17*$H17)/12+(CI17*$H17)/12+(CJ17*$H17)/12+(CK17*$H17)/12+(CL17*$H17)/12+(CM17*$H17)/12+(CN17*$H17)/12</f>
        <v>0</v>
      </c>
    </row>
    <row r="18" spans="2:114">
      <c r="B18" s="307" t="s">
        <v>182</v>
      </c>
      <c r="C18" s="308" t="s">
        <v>182</v>
      </c>
      <c r="D18" s="389" t="s">
        <v>181</v>
      </c>
      <c r="E18" s="390">
        <v>0.02</v>
      </c>
      <c r="F18" s="307"/>
      <c r="G18" s="308"/>
      <c r="H18" s="309"/>
      <c r="I18" s="294">
        <f t="shared" si="21"/>
        <v>0</v>
      </c>
      <c r="J18" s="310"/>
      <c r="K18" s="310">
        <v>0</v>
      </c>
      <c r="L18" s="32" t="str">
        <f t="shared" si="0"/>
        <v xml:space="preserve"> </v>
      </c>
      <c r="M18" s="312" t="str">
        <f t="shared" si="38"/>
        <v xml:space="preserve"> </v>
      </c>
      <c r="N18" s="18" t="str">
        <f t="shared" si="39"/>
        <v xml:space="preserve"> </v>
      </c>
      <c r="O18" s="274"/>
      <c r="P18" s="384">
        <f t="shared" si="22"/>
        <v>0</v>
      </c>
      <c r="Q18" s="382">
        <f t="shared" si="3"/>
        <v>0</v>
      </c>
      <c r="R18" s="382">
        <f t="shared" si="3"/>
        <v>0</v>
      </c>
      <c r="S18" s="382">
        <f t="shared" si="3"/>
        <v>0</v>
      </c>
      <c r="T18" s="382">
        <f t="shared" si="3"/>
        <v>0</v>
      </c>
      <c r="U18" s="382">
        <f t="shared" si="3"/>
        <v>0</v>
      </c>
      <c r="V18" s="382">
        <f t="shared" si="3"/>
        <v>0</v>
      </c>
      <c r="W18" s="382">
        <f t="shared" si="3"/>
        <v>0</v>
      </c>
      <c r="X18" s="382">
        <f t="shared" si="3"/>
        <v>0</v>
      </c>
      <c r="Y18" s="382">
        <f t="shared" si="3"/>
        <v>0</v>
      </c>
      <c r="Z18" s="382">
        <f t="shared" si="3"/>
        <v>0</v>
      </c>
      <c r="AA18" s="382">
        <f t="shared" si="3"/>
        <v>0</v>
      </c>
      <c r="AB18" s="311">
        <f t="shared" si="23"/>
        <v>0</v>
      </c>
      <c r="AC18" s="381">
        <f t="shared" si="4"/>
        <v>0</v>
      </c>
      <c r="AD18" s="382">
        <f t="shared" si="24"/>
        <v>0</v>
      </c>
      <c r="AE18" s="382">
        <f t="shared" si="24"/>
        <v>0</v>
      </c>
      <c r="AF18" s="382">
        <f t="shared" si="24"/>
        <v>0</v>
      </c>
      <c r="AG18" s="382">
        <f t="shared" si="24"/>
        <v>0</v>
      </c>
      <c r="AH18" s="382">
        <f t="shared" si="24"/>
        <v>0</v>
      </c>
      <c r="AI18" s="382">
        <f t="shared" si="24"/>
        <v>0</v>
      </c>
      <c r="AJ18" s="382">
        <f t="shared" si="24"/>
        <v>0</v>
      </c>
      <c r="AK18" s="382">
        <f t="shared" si="24"/>
        <v>0</v>
      </c>
      <c r="AL18" s="382">
        <f t="shared" si="24"/>
        <v>0</v>
      </c>
      <c r="AM18" s="382">
        <f t="shared" si="24"/>
        <v>0</v>
      </c>
      <c r="AN18" s="382">
        <f t="shared" si="24"/>
        <v>0</v>
      </c>
      <c r="AO18" s="295">
        <f t="shared" si="25"/>
        <v>0</v>
      </c>
      <c r="AP18" s="381">
        <f t="shared" si="6"/>
        <v>0</v>
      </c>
      <c r="AQ18" s="382">
        <f t="shared" si="26"/>
        <v>0</v>
      </c>
      <c r="AR18" s="382">
        <f t="shared" si="26"/>
        <v>0</v>
      </c>
      <c r="AS18" s="382">
        <f t="shared" si="26"/>
        <v>0</v>
      </c>
      <c r="AT18" s="382">
        <f t="shared" si="26"/>
        <v>0</v>
      </c>
      <c r="AU18" s="382">
        <f t="shared" si="26"/>
        <v>0</v>
      </c>
      <c r="AV18" s="382">
        <f t="shared" si="26"/>
        <v>0</v>
      </c>
      <c r="AW18" s="382">
        <f t="shared" si="26"/>
        <v>0</v>
      </c>
      <c r="AX18" s="382">
        <f t="shared" si="26"/>
        <v>0</v>
      </c>
      <c r="AY18" s="382">
        <f t="shared" si="26"/>
        <v>0</v>
      </c>
      <c r="AZ18" s="382">
        <f t="shared" si="26"/>
        <v>0</v>
      </c>
      <c r="BA18" s="382">
        <f t="shared" si="26"/>
        <v>0</v>
      </c>
      <c r="BB18" s="311">
        <f t="shared" si="27"/>
        <v>0</v>
      </c>
      <c r="BC18" s="381">
        <f t="shared" si="8"/>
        <v>0</v>
      </c>
      <c r="BD18" s="382">
        <f t="shared" si="28"/>
        <v>0</v>
      </c>
      <c r="BE18" s="382">
        <f t="shared" si="28"/>
        <v>0</v>
      </c>
      <c r="BF18" s="382">
        <f t="shared" si="28"/>
        <v>0</v>
      </c>
      <c r="BG18" s="382">
        <f t="shared" si="28"/>
        <v>0</v>
      </c>
      <c r="BH18" s="382">
        <f t="shared" si="28"/>
        <v>0</v>
      </c>
      <c r="BI18" s="382">
        <f t="shared" si="28"/>
        <v>0</v>
      </c>
      <c r="BJ18" s="382">
        <f t="shared" si="28"/>
        <v>0</v>
      </c>
      <c r="BK18" s="382">
        <f t="shared" si="28"/>
        <v>0</v>
      </c>
      <c r="BL18" s="382">
        <f t="shared" si="28"/>
        <v>0</v>
      </c>
      <c r="BM18" s="382">
        <f t="shared" si="28"/>
        <v>0</v>
      </c>
      <c r="BN18" s="382">
        <f t="shared" si="28"/>
        <v>0</v>
      </c>
      <c r="BO18" s="311">
        <f t="shared" si="29"/>
        <v>0</v>
      </c>
      <c r="BP18" s="381">
        <f t="shared" si="10"/>
        <v>0</v>
      </c>
      <c r="BQ18" s="382">
        <f t="shared" si="30"/>
        <v>0</v>
      </c>
      <c r="BR18" s="382">
        <f t="shared" si="30"/>
        <v>0</v>
      </c>
      <c r="BS18" s="382">
        <f t="shared" si="30"/>
        <v>0</v>
      </c>
      <c r="BT18" s="382">
        <f t="shared" si="30"/>
        <v>0</v>
      </c>
      <c r="BU18" s="382">
        <f t="shared" si="30"/>
        <v>0</v>
      </c>
      <c r="BV18" s="382">
        <f t="shared" si="30"/>
        <v>0</v>
      </c>
      <c r="BW18" s="382">
        <f t="shared" si="30"/>
        <v>0</v>
      </c>
      <c r="BX18" s="382">
        <f t="shared" si="30"/>
        <v>0</v>
      </c>
      <c r="BY18" s="382">
        <f t="shared" si="30"/>
        <v>0</v>
      </c>
      <c r="BZ18" s="382">
        <f t="shared" si="30"/>
        <v>0</v>
      </c>
      <c r="CA18" s="382">
        <f t="shared" si="30"/>
        <v>0</v>
      </c>
      <c r="CB18" s="295">
        <f t="shared" si="31"/>
        <v>0</v>
      </c>
      <c r="CC18" s="381">
        <f t="shared" si="12"/>
        <v>0</v>
      </c>
      <c r="CD18" s="382">
        <f t="shared" si="32"/>
        <v>0</v>
      </c>
      <c r="CE18" s="382">
        <f t="shared" si="32"/>
        <v>0</v>
      </c>
      <c r="CF18" s="382">
        <f t="shared" si="32"/>
        <v>0</v>
      </c>
      <c r="CG18" s="382">
        <f t="shared" si="32"/>
        <v>0</v>
      </c>
      <c r="CH18" s="382">
        <f t="shared" si="32"/>
        <v>0</v>
      </c>
      <c r="CI18" s="382">
        <f t="shared" si="32"/>
        <v>0</v>
      </c>
      <c r="CJ18" s="382">
        <f t="shared" si="32"/>
        <v>0</v>
      </c>
      <c r="CK18" s="382">
        <f t="shared" si="32"/>
        <v>0</v>
      </c>
      <c r="CL18" s="382">
        <f t="shared" si="32"/>
        <v>0</v>
      </c>
      <c r="CM18" s="382">
        <f t="shared" si="32"/>
        <v>0</v>
      </c>
      <c r="CN18" s="382">
        <f t="shared" si="32"/>
        <v>0</v>
      </c>
      <c r="CO18" s="311">
        <f t="shared" si="33"/>
        <v>0</v>
      </c>
      <c r="CP18" s="381">
        <f t="shared" si="14"/>
        <v>0</v>
      </c>
      <c r="CQ18" s="382">
        <f t="shared" si="34"/>
        <v>0</v>
      </c>
      <c r="CR18" s="382">
        <f t="shared" si="34"/>
        <v>0</v>
      </c>
      <c r="CS18" s="382">
        <f t="shared" si="34"/>
        <v>0</v>
      </c>
      <c r="CT18" s="382">
        <f t="shared" si="34"/>
        <v>0</v>
      </c>
      <c r="CU18" s="382">
        <f t="shared" si="34"/>
        <v>0</v>
      </c>
      <c r="CV18" s="382">
        <f t="shared" si="34"/>
        <v>0</v>
      </c>
      <c r="CW18" s="382">
        <f t="shared" si="34"/>
        <v>0</v>
      </c>
      <c r="CX18" s="382">
        <f t="shared" si="34"/>
        <v>0</v>
      </c>
      <c r="CY18" s="382">
        <f t="shared" si="34"/>
        <v>0</v>
      </c>
      <c r="CZ18" s="382">
        <f t="shared" si="34"/>
        <v>0</v>
      </c>
      <c r="DA18" s="382">
        <f t="shared" si="34"/>
        <v>0</v>
      </c>
      <c r="DB18" s="295">
        <f t="shared" si="35"/>
        <v>0</v>
      </c>
      <c r="DD18" s="378">
        <f t="shared" si="16"/>
        <v>0</v>
      </c>
      <c r="DE18" s="379">
        <f t="shared" si="17"/>
        <v>0</v>
      </c>
      <c r="DF18" s="379">
        <f t="shared" si="18"/>
        <v>0</v>
      </c>
      <c r="DG18" s="379">
        <f t="shared" si="19"/>
        <v>0</v>
      </c>
      <c r="DH18" s="379">
        <f t="shared" si="20"/>
        <v>0</v>
      </c>
      <c r="DI18" s="379">
        <f t="shared" si="40"/>
        <v>0</v>
      </c>
      <c r="DJ18" s="380">
        <f t="shared" si="41"/>
        <v>0</v>
      </c>
    </row>
    <row r="19" spans="2:114">
      <c r="B19" s="307" t="s">
        <v>182</v>
      </c>
      <c r="C19" s="308" t="s">
        <v>181</v>
      </c>
      <c r="D19" s="389" t="s">
        <v>182</v>
      </c>
      <c r="E19" s="390">
        <v>0.03</v>
      </c>
      <c r="F19" s="307"/>
      <c r="G19" s="308"/>
      <c r="H19" s="309"/>
      <c r="I19" s="294">
        <f t="shared" si="21"/>
        <v>0</v>
      </c>
      <c r="J19" s="310"/>
      <c r="K19" s="310">
        <v>0</v>
      </c>
      <c r="L19" s="32" t="str">
        <f t="shared" si="0"/>
        <v xml:space="preserve"> </v>
      </c>
      <c r="M19" s="312" t="str">
        <f t="shared" si="38"/>
        <v xml:space="preserve"> </v>
      </c>
      <c r="N19" s="2" t="str">
        <f t="shared" si="39"/>
        <v xml:space="preserve"> </v>
      </c>
      <c r="O19" s="274"/>
      <c r="P19" s="384">
        <f t="shared" si="22"/>
        <v>0</v>
      </c>
      <c r="Q19" s="382">
        <f t="shared" si="3"/>
        <v>0</v>
      </c>
      <c r="R19" s="382">
        <f t="shared" si="3"/>
        <v>0</v>
      </c>
      <c r="S19" s="382">
        <f t="shared" si="3"/>
        <v>0</v>
      </c>
      <c r="T19" s="382">
        <f t="shared" si="3"/>
        <v>0</v>
      </c>
      <c r="U19" s="382">
        <f t="shared" si="3"/>
        <v>0</v>
      </c>
      <c r="V19" s="382">
        <f t="shared" si="3"/>
        <v>0</v>
      </c>
      <c r="W19" s="382">
        <f t="shared" si="3"/>
        <v>0</v>
      </c>
      <c r="X19" s="382">
        <f t="shared" si="3"/>
        <v>0</v>
      </c>
      <c r="Y19" s="382">
        <f t="shared" si="3"/>
        <v>0</v>
      </c>
      <c r="Z19" s="382">
        <f t="shared" si="3"/>
        <v>0</v>
      </c>
      <c r="AA19" s="382">
        <f t="shared" si="3"/>
        <v>0</v>
      </c>
      <c r="AB19" s="311">
        <f t="shared" si="23"/>
        <v>0</v>
      </c>
      <c r="AC19" s="381">
        <f t="shared" si="4"/>
        <v>0</v>
      </c>
      <c r="AD19" s="382">
        <f t="shared" si="24"/>
        <v>0</v>
      </c>
      <c r="AE19" s="382">
        <f t="shared" si="24"/>
        <v>0</v>
      </c>
      <c r="AF19" s="382">
        <f t="shared" si="24"/>
        <v>0</v>
      </c>
      <c r="AG19" s="382">
        <f t="shared" si="24"/>
        <v>0</v>
      </c>
      <c r="AH19" s="382">
        <f t="shared" si="24"/>
        <v>0</v>
      </c>
      <c r="AI19" s="382">
        <f t="shared" si="24"/>
        <v>0</v>
      </c>
      <c r="AJ19" s="382">
        <f t="shared" si="24"/>
        <v>0</v>
      </c>
      <c r="AK19" s="382">
        <f t="shared" si="24"/>
        <v>0</v>
      </c>
      <c r="AL19" s="382">
        <f t="shared" si="24"/>
        <v>0</v>
      </c>
      <c r="AM19" s="382">
        <f t="shared" si="24"/>
        <v>0</v>
      </c>
      <c r="AN19" s="382">
        <f t="shared" si="24"/>
        <v>0</v>
      </c>
      <c r="AO19" s="311">
        <f t="shared" si="25"/>
        <v>0</v>
      </c>
      <c r="AP19" s="381">
        <f t="shared" si="6"/>
        <v>0</v>
      </c>
      <c r="AQ19" s="382">
        <f t="shared" si="26"/>
        <v>0</v>
      </c>
      <c r="AR19" s="382">
        <f t="shared" si="26"/>
        <v>0</v>
      </c>
      <c r="AS19" s="382">
        <f t="shared" si="26"/>
        <v>0</v>
      </c>
      <c r="AT19" s="382">
        <f t="shared" si="26"/>
        <v>0</v>
      </c>
      <c r="AU19" s="382">
        <f t="shared" si="26"/>
        <v>0</v>
      </c>
      <c r="AV19" s="382">
        <f t="shared" si="26"/>
        <v>0</v>
      </c>
      <c r="AW19" s="382">
        <f t="shared" si="26"/>
        <v>0</v>
      </c>
      <c r="AX19" s="382">
        <f t="shared" si="26"/>
        <v>0</v>
      </c>
      <c r="AY19" s="382">
        <f t="shared" si="26"/>
        <v>0</v>
      </c>
      <c r="AZ19" s="382">
        <f t="shared" si="26"/>
        <v>0</v>
      </c>
      <c r="BA19" s="382">
        <f t="shared" si="26"/>
        <v>0</v>
      </c>
      <c r="BB19" s="311">
        <f t="shared" si="27"/>
        <v>0</v>
      </c>
      <c r="BC19" s="381">
        <f t="shared" si="8"/>
        <v>0</v>
      </c>
      <c r="BD19" s="382">
        <f t="shared" si="28"/>
        <v>0</v>
      </c>
      <c r="BE19" s="382">
        <f t="shared" si="28"/>
        <v>0</v>
      </c>
      <c r="BF19" s="382">
        <f t="shared" si="28"/>
        <v>0</v>
      </c>
      <c r="BG19" s="382">
        <f t="shared" si="28"/>
        <v>0</v>
      </c>
      <c r="BH19" s="382">
        <f t="shared" si="28"/>
        <v>0</v>
      </c>
      <c r="BI19" s="382">
        <f t="shared" si="28"/>
        <v>0</v>
      </c>
      <c r="BJ19" s="382">
        <f t="shared" si="28"/>
        <v>0</v>
      </c>
      <c r="BK19" s="382">
        <f t="shared" si="28"/>
        <v>0</v>
      </c>
      <c r="BL19" s="382">
        <f t="shared" si="28"/>
        <v>0</v>
      </c>
      <c r="BM19" s="382">
        <f t="shared" si="28"/>
        <v>0</v>
      </c>
      <c r="BN19" s="382">
        <f t="shared" si="28"/>
        <v>0</v>
      </c>
      <c r="BO19" s="311">
        <f t="shared" si="29"/>
        <v>0</v>
      </c>
      <c r="BP19" s="381">
        <f t="shared" si="10"/>
        <v>0</v>
      </c>
      <c r="BQ19" s="382">
        <f t="shared" si="30"/>
        <v>0</v>
      </c>
      <c r="BR19" s="382">
        <f t="shared" si="30"/>
        <v>0</v>
      </c>
      <c r="BS19" s="382">
        <f t="shared" si="30"/>
        <v>0</v>
      </c>
      <c r="BT19" s="382">
        <f t="shared" si="30"/>
        <v>0</v>
      </c>
      <c r="BU19" s="382">
        <f t="shared" si="30"/>
        <v>0</v>
      </c>
      <c r="BV19" s="382">
        <f t="shared" si="30"/>
        <v>0</v>
      </c>
      <c r="BW19" s="382">
        <f t="shared" si="30"/>
        <v>0</v>
      </c>
      <c r="BX19" s="382">
        <f t="shared" si="30"/>
        <v>0</v>
      </c>
      <c r="BY19" s="382">
        <f t="shared" si="30"/>
        <v>0</v>
      </c>
      <c r="BZ19" s="382">
        <f t="shared" si="30"/>
        <v>0</v>
      </c>
      <c r="CA19" s="382">
        <f t="shared" si="30"/>
        <v>0</v>
      </c>
      <c r="CB19" s="311">
        <f t="shared" si="31"/>
        <v>0</v>
      </c>
      <c r="CC19" s="381">
        <f t="shared" si="12"/>
        <v>0</v>
      </c>
      <c r="CD19" s="382">
        <f t="shared" si="32"/>
        <v>0</v>
      </c>
      <c r="CE19" s="382">
        <f t="shared" si="32"/>
        <v>0</v>
      </c>
      <c r="CF19" s="382">
        <f t="shared" si="32"/>
        <v>0</v>
      </c>
      <c r="CG19" s="382">
        <f t="shared" si="32"/>
        <v>0</v>
      </c>
      <c r="CH19" s="382">
        <f t="shared" si="32"/>
        <v>0</v>
      </c>
      <c r="CI19" s="382">
        <f t="shared" si="32"/>
        <v>0</v>
      </c>
      <c r="CJ19" s="382">
        <f t="shared" si="32"/>
        <v>0</v>
      </c>
      <c r="CK19" s="382">
        <f t="shared" si="32"/>
        <v>0</v>
      </c>
      <c r="CL19" s="382">
        <f t="shared" si="32"/>
        <v>0</v>
      </c>
      <c r="CM19" s="382">
        <f t="shared" si="32"/>
        <v>0</v>
      </c>
      <c r="CN19" s="382">
        <f t="shared" si="32"/>
        <v>0</v>
      </c>
      <c r="CO19" s="311">
        <f t="shared" si="33"/>
        <v>0</v>
      </c>
      <c r="CP19" s="381">
        <f t="shared" si="14"/>
        <v>0</v>
      </c>
      <c r="CQ19" s="382">
        <f t="shared" si="34"/>
        <v>0</v>
      </c>
      <c r="CR19" s="382">
        <f t="shared" si="34"/>
        <v>0</v>
      </c>
      <c r="CS19" s="382">
        <f t="shared" si="34"/>
        <v>0</v>
      </c>
      <c r="CT19" s="382">
        <f t="shared" si="34"/>
        <v>0</v>
      </c>
      <c r="CU19" s="382">
        <f t="shared" si="34"/>
        <v>0</v>
      </c>
      <c r="CV19" s="382">
        <f t="shared" si="34"/>
        <v>0</v>
      </c>
      <c r="CW19" s="382">
        <f t="shared" si="34"/>
        <v>0</v>
      </c>
      <c r="CX19" s="382">
        <f t="shared" si="34"/>
        <v>0</v>
      </c>
      <c r="CY19" s="382">
        <f t="shared" si="34"/>
        <v>0</v>
      </c>
      <c r="CZ19" s="382">
        <f t="shared" si="34"/>
        <v>0</v>
      </c>
      <c r="DA19" s="382">
        <f t="shared" si="34"/>
        <v>0</v>
      </c>
      <c r="DB19" s="295">
        <f t="shared" si="35"/>
        <v>0</v>
      </c>
      <c r="DD19" s="378">
        <f t="shared" si="16"/>
        <v>0</v>
      </c>
      <c r="DE19" s="379">
        <f t="shared" si="17"/>
        <v>0</v>
      </c>
      <c r="DF19" s="379">
        <f t="shared" si="18"/>
        <v>0</v>
      </c>
      <c r="DG19" s="379">
        <f t="shared" si="19"/>
        <v>0</v>
      </c>
      <c r="DH19" s="379">
        <f t="shared" si="20"/>
        <v>0</v>
      </c>
      <c r="DI19" s="379">
        <f t="shared" si="40"/>
        <v>0</v>
      </c>
      <c r="DJ19" s="380">
        <f t="shared" si="41"/>
        <v>0</v>
      </c>
    </row>
    <row r="20" spans="2:114">
      <c r="B20" s="307" t="s">
        <v>182</v>
      </c>
      <c r="C20" s="308" t="s">
        <v>181</v>
      </c>
      <c r="D20" s="389" t="s">
        <v>182</v>
      </c>
      <c r="E20" s="390">
        <v>0.01</v>
      </c>
      <c r="F20" s="307"/>
      <c r="G20" s="308"/>
      <c r="H20" s="309"/>
      <c r="I20" s="294">
        <f t="shared" si="21"/>
        <v>0</v>
      </c>
      <c r="J20" s="310"/>
      <c r="K20" s="310">
        <v>0</v>
      </c>
      <c r="L20" s="32" t="str">
        <f t="shared" si="0"/>
        <v xml:space="preserve"> </v>
      </c>
      <c r="M20" s="312" t="str">
        <f t="shared" si="38"/>
        <v xml:space="preserve"> </v>
      </c>
      <c r="N20" s="2" t="str">
        <f t="shared" si="39"/>
        <v xml:space="preserve"> </v>
      </c>
      <c r="O20" s="274"/>
      <c r="P20" s="384">
        <f t="shared" si="22"/>
        <v>0</v>
      </c>
      <c r="Q20" s="382">
        <f t="shared" si="3"/>
        <v>0</v>
      </c>
      <c r="R20" s="382">
        <f t="shared" si="3"/>
        <v>0</v>
      </c>
      <c r="S20" s="382">
        <f t="shared" si="3"/>
        <v>0</v>
      </c>
      <c r="T20" s="382">
        <f t="shared" si="3"/>
        <v>0</v>
      </c>
      <c r="U20" s="382">
        <f t="shared" si="3"/>
        <v>0</v>
      </c>
      <c r="V20" s="382">
        <f t="shared" si="3"/>
        <v>0</v>
      </c>
      <c r="W20" s="382">
        <f t="shared" si="3"/>
        <v>0</v>
      </c>
      <c r="X20" s="382">
        <f t="shared" si="3"/>
        <v>0</v>
      </c>
      <c r="Y20" s="382">
        <f t="shared" si="3"/>
        <v>0</v>
      </c>
      <c r="Z20" s="382">
        <f t="shared" si="3"/>
        <v>0</v>
      </c>
      <c r="AA20" s="382">
        <f t="shared" si="3"/>
        <v>0</v>
      </c>
      <c r="AB20" s="311">
        <f t="shared" si="23"/>
        <v>0</v>
      </c>
      <c r="AC20" s="381">
        <f t="shared" si="4"/>
        <v>0</v>
      </c>
      <c r="AD20" s="382">
        <f t="shared" si="24"/>
        <v>0</v>
      </c>
      <c r="AE20" s="382">
        <f t="shared" si="24"/>
        <v>0</v>
      </c>
      <c r="AF20" s="382">
        <f t="shared" si="24"/>
        <v>0</v>
      </c>
      <c r="AG20" s="382">
        <f t="shared" si="24"/>
        <v>0</v>
      </c>
      <c r="AH20" s="382">
        <f t="shared" si="24"/>
        <v>0</v>
      </c>
      <c r="AI20" s="382">
        <f t="shared" si="24"/>
        <v>0</v>
      </c>
      <c r="AJ20" s="382">
        <f t="shared" si="24"/>
        <v>0</v>
      </c>
      <c r="AK20" s="382">
        <f t="shared" si="24"/>
        <v>0</v>
      </c>
      <c r="AL20" s="382">
        <f t="shared" si="24"/>
        <v>0</v>
      </c>
      <c r="AM20" s="382">
        <f t="shared" si="24"/>
        <v>0</v>
      </c>
      <c r="AN20" s="382">
        <f t="shared" si="24"/>
        <v>0</v>
      </c>
      <c r="AO20" s="311">
        <f t="shared" si="25"/>
        <v>0</v>
      </c>
      <c r="AP20" s="381">
        <f t="shared" si="6"/>
        <v>0</v>
      </c>
      <c r="AQ20" s="382">
        <f t="shared" si="26"/>
        <v>0</v>
      </c>
      <c r="AR20" s="382">
        <f t="shared" si="26"/>
        <v>0</v>
      </c>
      <c r="AS20" s="382">
        <f t="shared" si="26"/>
        <v>0</v>
      </c>
      <c r="AT20" s="382">
        <f t="shared" si="26"/>
        <v>0</v>
      </c>
      <c r="AU20" s="382">
        <f t="shared" si="26"/>
        <v>0</v>
      </c>
      <c r="AV20" s="382">
        <f t="shared" si="26"/>
        <v>0</v>
      </c>
      <c r="AW20" s="382">
        <f t="shared" si="26"/>
        <v>0</v>
      </c>
      <c r="AX20" s="382">
        <f t="shared" si="26"/>
        <v>0</v>
      </c>
      <c r="AY20" s="382">
        <f t="shared" si="26"/>
        <v>0</v>
      </c>
      <c r="AZ20" s="382">
        <f t="shared" si="26"/>
        <v>0</v>
      </c>
      <c r="BA20" s="382">
        <f t="shared" si="26"/>
        <v>0</v>
      </c>
      <c r="BB20" s="311">
        <f t="shared" si="27"/>
        <v>0</v>
      </c>
      <c r="BC20" s="381">
        <f t="shared" si="8"/>
        <v>0</v>
      </c>
      <c r="BD20" s="382">
        <f t="shared" si="28"/>
        <v>0</v>
      </c>
      <c r="BE20" s="382">
        <f t="shared" si="28"/>
        <v>0</v>
      </c>
      <c r="BF20" s="382">
        <f t="shared" si="28"/>
        <v>0</v>
      </c>
      <c r="BG20" s="382">
        <f t="shared" si="28"/>
        <v>0</v>
      </c>
      <c r="BH20" s="382">
        <f t="shared" si="28"/>
        <v>0</v>
      </c>
      <c r="BI20" s="382">
        <f t="shared" si="28"/>
        <v>0</v>
      </c>
      <c r="BJ20" s="382">
        <f t="shared" si="28"/>
        <v>0</v>
      </c>
      <c r="BK20" s="382">
        <f t="shared" si="28"/>
        <v>0</v>
      </c>
      <c r="BL20" s="382">
        <f t="shared" si="28"/>
        <v>0</v>
      </c>
      <c r="BM20" s="382">
        <f t="shared" si="28"/>
        <v>0</v>
      </c>
      <c r="BN20" s="382">
        <f t="shared" si="28"/>
        <v>0</v>
      </c>
      <c r="BO20" s="311">
        <f t="shared" si="29"/>
        <v>0</v>
      </c>
      <c r="BP20" s="381">
        <f t="shared" si="10"/>
        <v>0</v>
      </c>
      <c r="BQ20" s="382">
        <f t="shared" si="30"/>
        <v>0</v>
      </c>
      <c r="BR20" s="382">
        <f t="shared" si="30"/>
        <v>0</v>
      </c>
      <c r="BS20" s="382">
        <f t="shared" si="30"/>
        <v>0</v>
      </c>
      <c r="BT20" s="382">
        <f t="shared" si="30"/>
        <v>0</v>
      </c>
      <c r="BU20" s="382">
        <f t="shared" si="30"/>
        <v>0</v>
      </c>
      <c r="BV20" s="382">
        <f t="shared" si="30"/>
        <v>0</v>
      </c>
      <c r="BW20" s="382">
        <f t="shared" si="30"/>
        <v>0</v>
      </c>
      <c r="BX20" s="382">
        <f t="shared" si="30"/>
        <v>0</v>
      </c>
      <c r="BY20" s="382">
        <f t="shared" si="30"/>
        <v>0</v>
      </c>
      <c r="BZ20" s="382">
        <f t="shared" si="30"/>
        <v>0</v>
      </c>
      <c r="CA20" s="382">
        <f t="shared" si="30"/>
        <v>0</v>
      </c>
      <c r="CB20" s="311">
        <f t="shared" si="31"/>
        <v>0</v>
      </c>
      <c r="CC20" s="381">
        <f t="shared" si="12"/>
        <v>0</v>
      </c>
      <c r="CD20" s="382">
        <f t="shared" si="32"/>
        <v>0</v>
      </c>
      <c r="CE20" s="382">
        <f t="shared" si="32"/>
        <v>0</v>
      </c>
      <c r="CF20" s="382">
        <f t="shared" si="32"/>
        <v>0</v>
      </c>
      <c r="CG20" s="382">
        <f t="shared" si="32"/>
        <v>0</v>
      </c>
      <c r="CH20" s="382">
        <f t="shared" si="32"/>
        <v>0</v>
      </c>
      <c r="CI20" s="382">
        <f t="shared" si="32"/>
        <v>0</v>
      </c>
      <c r="CJ20" s="382">
        <f t="shared" si="32"/>
        <v>0</v>
      </c>
      <c r="CK20" s="382">
        <f t="shared" si="32"/>
        <v>0</v>
      </c>
      <c r="CL20" s="382">
        <f t="shared" si="32"/>
        <v>0</v>
      </c>
      <c r="CM20" s="382">
        <f t="shared" si="32"/>
        <v>0</v>
      </c>
      <c r="CN20" s="382">
        <f t="shared" si="32"/>
        <v>0</v>
      </c>
      <c r="CO20" s="311">
        <f t="shared" si="33"/>
        <v>0</v>
      </c>
      <c r="CP20" s="381">
        <f t="shared" si="14"/>
        <v>0</v>
      </c>
      <c r="CQ20" s="382">
        <f t="shared" si="34"/>
        <v>0</v>
      </c>
      <c r="CR20" s="382">
        <f t="shared" si="34"/>
        <v>0</v>
      </c>
      <c r="CS20" s="382">
        <f t="shared" si="34"/>
        <v>0</v>
      </c>
      <c r="CT20" s="382">
        <f t="shared" si="34"/>
        <v>0</v>
      </c>
      <c r="CU20" s="382">
        <f t="shared" si="34"/>
        <v>0</v>
      </c>
      <c r="CV20" s="382">
        <f t="shared" si="34"/>
        <v>0</v>
      </c>
      <c r="CW20" s="382">
        <f t="shared" si="34"/>
        <v>0</v>
      </c>
      <c r="CX20" s="382">
        <f t="shared" si="34"/>
        <v>0</v>
      </c>
      <c r="CY20" s="382">
        <f t="shared" si="34"/>
        <v>0</v>
      </c>
      <c r="CZ20" s="382">
        <f t="shared" si="34"/>
        <v>0</v>
      </c>
      <c r="DA20" s="382">
        <f t="shared" si="34"/>
        <v>0</v>
      </c>
      <c r="DB20" s="295">
        <f t="shared" si="35"/>
        <v>0</v>
      </c>
      <c r="DD20" s="378">
        <f t="shared" si="16"/>
        <v>0</v>
      </c>
      <c r="DE20" s="379">
        <f t="shared" si="17"/>
        <v>0</v>
      </c>
      <c r="DF20" s="379">
        <f t="shared" si="18"/>
        <v>0</v>
      </c>
      <c r="DG20" s="379">
        <f t="shared" si="19"/>
        <v>0</v>
      </c>
      <c r="DH20" s="379">
        <f t="shared" si="20"/>
        <v>0</v>
      </c>
      <c r="DI20" s="379">
        <f t="shared" si="40"/>
        <v>0</v>
      </c>
      <c r="DJ20" s="380">
        <f t="shared" si="41"/>
        <v>0</v>
      </c>
    </row>
    <row r="21" spans="2:114">
      <c r="B21" s="307"/>
      <c r="C21" s="308"/>
      <c r="D21" s="389"/>
      <c r="E21" s="390"/>
      <c r="F21" s="307"/>
      <c r="G21" s="308"/>
      <c r="H21" s="309"/>
      <c r="I21" s="294">
        <f t="shared" si="21"/>
        <v>0</v>
      </c>
      <c r="J21" s="310"/>
      <c r="K21" s="310"/>
      <c r="L21" s="32" t="str">
        <f t="shared" si="0"/>
        <v xml:space="preserve"> </v>
      </c>
      <c r="M21" s="312" t="str">
        <f t="shared" si="38"/>
        <v xml:space="preserve"> </v>
      </c>
      <c r="N21" s="2" t="str">
        <f t="shared" si="39"/>
        <v xml:space="preserve"> </v>
      </c>
      <c r="O21" s="274"/>
      <c r="P21" s="384">
        <f t="shared" si="22"/>
        <v>0</v>
      </c>
      <c r="Q21" s="382">
        <f t="shared" si="3"/>
        <v>0</v>
      </c>
      <c r="R21" s="382">
        <f t="shared" si="3"/>
        <v>0</v>
      </c>
      <c r="S21" s="382">
        <f t="shared" si="3"/>
        <v>0</v>
      </c>
      <c r="T21" s="382">
        <f t="shared" si="3"/>
        <v>0</v>
      </c>
      <c r="U21" s="382">
        <f t="shared" si="3"/>
        <v>0</v>
      </c>
      <c r="V21" s="382">
        <f t="shared" si="3"/>
        <v>0</v>
      </c>
      <c r="W21" s="382">
        <f t="shared" si="3"/>
        <v>0</v>
      </c>
      <c r="X21" s="382">
        <f t="shared" si="3"/>
        <v>0</v>
      </c>
      <c r="Y21" s="382">
        <f t="shared" si="3"/>
        <v>0</v>
      </c>
      <c r="Z21" s="382">
        <f t="shared" si="3"/>
        <v>0</v>
      </c>
      <c r="AA21" s="382">
        <f t="shared" si="3"/>
        <v>0</v>
      </c>
      <c r="AB21" s="311">
        <f t="shared" si="23"/>
        <v>0</v>
      </c>
      <c r="AC21" s="381">
        <f t="shared" si="4"/>
        <v>0</v>
      </c>
      <c r="AD21" s="382">
        <f t="shared" si="24"/>
        <v>0</v>
      </c>
      <c r="AE21" s="382">
        <f t="shared" si="24"/>
        <v>0</v>
      </c>
      <c r="AF21" s="382">
        <f t="shared" si="24"/>
        <v>0</v>
      </c>
      <c r="AG21" s="382">
        <f t="shared" si="24"/>
        <v>0</v>
      </c>
      <c r="AH21" s="382">
        <f t="shared" si="24"/>
        <v>0</v>
      </c>
      <c r="AI21" s="382">
        <f t="shared" si="24"/>
        <v>0</v>
      </c>
      <c r="AJ21" s="382">
        <f t="shared" si="24"/>
        <v>0</v>
      </c>
      <c r="AK21" s="382">
        <f t="shared" si="24"/>
        <v>0</v>
      </c>
      <c r="AL21" s="382">
        <f t="shared" si="24"/>
        <v>0</v>
      </c>
      <c r="AM21" s="382">
        <f t="shared" si="24"/>
        <v>0</v>
      </c>
      <c r="AN21" s="382">
        <f t="shared" si="24"/>
        <v>0</v>
      </c>
      <c r="AO21" s="311">
        <f t="shared" si="25"/>
        <v>0</v>
      </c>
      <c r="AP21" s="381">
        <f t="shared" si="6"/>
        <v>0</v>
      </c>
      <c r="AQ21" s="382">
        <f t="shared" si="26"/>
        <v>0</v>
      </c>
      <c r="AR21" s="382">
        <f t="shared" si="26"/>
        <v>0</v>
      </c>
      <c r="AS21" s="382">
        <f t="shared" si="26"/>
        <v>0</v>
      </c>
      <c r="AT21" s="382">
        <f t="shared" si="26"/>
        <v>0</v>
      </c>
      <c r="AU21" s="382">
        <f t="shared" si="26"/>
        <v>0</v>
      </c>
      <c r="AV21" s="382">
        <f t="shared" si="26"/>
        <v>0</v>
      </c>
      <c r="AW21" s="382">
        <f t="shared" si="26"/>
        <v>0</v>
      </c>
      <c r="AX21" s="382">
        <f t="shared" si="26"/>
        <v>0</v>
      </c>
      <c r="AY21" s="382">
        <f t="shared" si="26"/>
        <v>0</v>
      </c>
      <c r="AZ21" s="382">
        <f t="shared" si="26"/>
        <v>0</v>
      </c>
      <c r="BA21" s="382">
        <f t="shared" si="26"/>
        <v>0</v>
      </c>
      <c r="BB21" s="311">
        <f t="shared" si="27"/>
        <v>0</v>
      </c>
      <c r="BC21" s="381">
        <f t="shared" si="8"/>
        <v>0</v>
      </c>
      <c r="BD21" s="382">
        <f t="shared" si="28"/>
        <v>0</v>
      </c>
      <c r="BE21" s="382">
        <f t="shared" si="28"/>
        <v>0</v>
      </c>
      <c r="BF21" s="382">
        <f t="shared" si="28"/>
        <v>0</v>
      </c>
      <c r="BG21" s="382">
        <f t="shared" si="28"/>
        <v>0</v>
      </c>
      <c r="BH21" s="382">
        <f t="shared" si="28"/>
        <v>0</v>
      </c>
      <c r="BI21" s="382">
        <f t="shared" si="28"/>
        <v>0</v>
      </c>
      <c r="BJ21" s="382">
        <f t="shared" si="28"/>
        <v>0</v>
      </c>
      <c r="BK21" s="382">
        <f t="shared" si="28"/>
        <v>0</v>
      </c>
      <c r="BL21" s="382">
        <f t="shared" si="28"/>
        <v>0</v>
      </c>
      <c r="BM21" s="382">
        <f t="shared" si="28"/>
        <v>0</v>
      </c>
      <c r="BN21" s="382">
        <f t="shared" si="28"/>
        <v>0</v>
      </c>
      <c r="BO21" s="311">
        <f t="shared" si="29"/>
        <v>0</v>
      </c>
      <c r="BP21" s="381">
        <f t="shared" si="10"/>
        <v>0</v>
      </c>
      <c r="BQ21" s="382">
        <f t="shared" si="30"/>
        <v>0</v>
      </c>
      <c r="BR21" s="382">
        <f t="shared" si="30"/>
        <v>0</v>
      </c>
      <c r="BS21" s="382">
        <f t="shared" si="30"/>
        <v>0</v>
      </c>
      <c r="BT21" s="382">
        <f t="shared" si="30"/>
        <v>0</v>
      </c>
      <c r="BU21" s="382">
        <f t="shared" si="30"/>
        <v>0</v>
      </c>
      <c r="BV21" s="382">
        <f t="shared" si="30"/>
        <v>0</v>
      </c>
      <c r="BW21" s="382">
        <f t="shared" si="30"/>
        <v>0</v>
      </c>
      <c r="BX21" s="382">
        <f t="shared" si="30"/>
        <v>0</v>
      </c>
      <c r="BY21" s="382">
        <f t="shared" si="30"/>
        <v>0</v>
      </c>
      <c r="BZ21" s="382">
        <f t="shared" si="30"/>
        <v>0</v>
      </c>
      <c r="CA21" s="382">
        <f t="shared" si="30"/>
        <v>0</v>
      </c>
      <c r="CB21" s="311">
        <f t="shared" si="31"/>
        <v>0</v>
      </c>
      <c r="CC21" s="381">
        <f t="shared" si="12"/>
        <v>0</v>
      </c>
      <c r="CD21" s="382">
        <f t="shared" si="32"/>
        <v>0</v>
      </c>
      <c r="CE21" s="382">
        <f t="shared" si="32"/>
        <v>0</v>
      </c>
      <c r="CF21" s="382">
        <f t="shared" si="32"/>
        <v>0</v>
      </c>
      <c r="CG21" s="382">
        <f t="shared" si="32"/>
        <v>0</v>
      </c>
      <c r="CH21" s="382">
        <f t="shared" si="32"/>
        <v>0</v>
      </c>
      <c r="CI21" s="382">
        <f t="shared" si="32"/>
        <v>0</v>
      </c>
      <c r="CJ21" s="382">
        <f t="shared" si="32"/>
        <v>0</v>
      </c>
      <c r="CK21" s="382">
        <f t="shared" si="32"/>
        <v>0</v>
      </c>
      <c r="CL21" s="382">
        <f t="shared" si="32"/>
        <v>0</v>
      </c>
      <c r="CM21" s="382">
        <f t="shared" si="32"/>
        <v>0</v>
      </c>
      <c r="CN21" s="382">
        <f t="shared" si="32"/>
        <v>0</v>
      </c>
      <c r="CO21" s="311">
        <f t="shared" si="33"/>
        <v>0</v>
      </c>
      <c r="CP21" s="381">
        <f t="shared" si="14"/>
        <v>0</v>
      </c>
      <c r="CQ21" s="382">
        <f t="shared" si="34"/>
        <v>0</v>
      </c>
      <c r="CR21" s="382">
        <f t="shared" si="34"/>
        <v>0</v>
      </c>
      <c r="CS21" s="382">
        <f t="shared" si="34"/>
        <v>0</v>
      </c>
      <c r="CT21" s="382">
        <f t="shared" si="34"/>
        <v>0</v>
      </c>
      <c r="CU21" s="382">
        <f t="shared" si="34"/>
        <v>0</v>
      </c>
      <c r="CV21" s="382">
        <f t="shared" si="34"/>
        <v>0</v>
      </c>
      <c r="CW21" s="382">
        <f t="shared" si="34"/>
        <v>0</v>
      </c>
      <c r="CX21" s="382">
        <f t="shared" si="34"/>
        <v>0</v>
      </c>
      <c r="CY21" s="382">
        <f t="shared" si="34"/>
        <v>0</v>
      </c>
      <c r="CZ21" s="382">
        <f t="shared" si="34"/>
        <v>0</v>
      </c>
      <c r="DA21" s="382">
        <f t="shared" si="34"/>
        <v>0</v>
      </c>
      <c r="DB21" s="295">
        <f t="shared" si="35"/>
        <v>0</v>
      </c>
      <c r="DD21" s="378">
        <f t="shared" si="16"/>
        <v>0</v>
      </c>
      <c r="DE21" s="379">
        <f t="shared" si="17"/>
        <v>0</v>
      </c>
      <c r="DF21" s="379">
        <f t="shared" si="18"/>
        <v>0</v>
      </c>
      <c r="DG21" s="379">
        <f t="shared" si="19"/>
        <v>0</v>
      </c>
      <c r="DH21" s="379">
        <f t="shared" si="20"/>
        <v>0</v>
      </c>
      <c r="DI21" s="379">
        <f t="shared" si="40"/>
        <v>0</v>
      </c>
      <c r="DJ21" s="380">
        <f t="shared" si="41"/>
        <v>0</v>
      </c>
    </row>
    <row r="22" spans="2:114">
      <c r="B22" s="307"/>
      <c r="C22" s="308"/>
      <c r="D22" s="389"/>
      <c r="E22" s="390"/>
      <c r="F22" s="307"/>
      <c r="G22" s="308"/>
      <c r="H22" s="309"/>
      <c r="I22" s="294">
        <f t="shared" si="21"/>
        <v>0</v>
      </c>
      <c r="J22" s="310"/>
      <c r="K22" s="310"/>
      <c r="L22" s="32" t="str">
        <f t="shared" si="0"/>
        <v xml:space="preserve"> </v>
      </c>
      <c r="M22" s="312" t="str">
        <f t="shared" si="38"/>
        <v xml:space="preserve"> </v>
      </c>
      <c r="N22" s="2" t="str">
        <f t="shared" si="39"/>
        <v xml:space="preserve"> </v>
      </c>
      <c r="O22" s="274"/>
      <c r="P22" s="384">
        <f t="shared" si="22"/>
        <v>0</v>
      </c>
      <c r="Q22" s="382">
        <f t="shared" si="3"/>
        <v>0</v>
      </c>
      <c r="R22" s="382">
        <f t="shared" si="3"/>
        <v>0</v>
      </c>
      <c r="S22" s="382">
        <f t="shared" si="3"/>
        <v>0</v>
      </c>
      <c r="T22" s="382">
        <f t="shared" si="3"/>
        <v>0</v>
      </c>
      <c r="U22" s="382">
        <f t="shared" si="3"/>
        <v>0</v>
      </c>
      <c r="V22" s="382">
        <f t="shared" si="3"/>
        <v>0</v>
      </c>
      <c r="W22" s="382">
        <f t="shared" si="3"/>
        <v>0</v>
      </c>
      <c r="X22" s="382">
        <f t="shared" si="3"/>
        <v>0</v>
      </c>
      <c r="Y22" s="382">
        <f t="shared" si="3"/>
        <v>0</v>
      </c>
      <c r="Z22" s="382">
        <f t="shared" si="3"/>
        <v>0</v>
      </c>
      <c r="AA22" s="382">
        <f t="shared" si="3"/>
        <v>0</v>
      </c>
      <c r="AB22" s="311">
        <f t="shared" si="23"/>
        <v>0</v>
      </c>
      <c r="AC22" s="381">
        <f t="shared" si="4"/>
        <v>0</v>
      </c>
      <c r="AD22" s="382">
        <f t="shared" si="24"/>
        <v>0</v>
      </c>
      <c r="AE22" s="382">
        <f t="shared" si="24"/>
        <v>0</v>
      </c>
      <c r="AF22" s="382">
        <f t="shared" si="24"/>
        <v>0</v>
      </c>
      <c r="AG22" s="382">
        <f t="shared" si="24"/>
        <v>0</v>
      </c>
      <c r="AH22" s="382">
        <f t="shared" si="24"/>
        <v>0</v>
      </c>
      <c r="AI22" s="382">
        <f t="shared" si="24"/>
        <v>0</v>
      </c>
      <c r="AJ22" s="382">
        <f t="shared" si="24"/>
        <v>0</v>
      </c>
      <c r="AK22" s="382">
        <f t="shared" si="24"/>
        <v>0</v>
      </c>
      <c r="AL22" s="382">
        <f t="shared" si="24"/>
        <v>0</v>
      </c>
      <c r="AM22" s="382">
        <f t="shared" si="24"/>
        <v>0</v>
      </c>
      <c r="AN22" s="382">
        <f t="shared" si="24"/>
        <v>0</v>
      </c>
      <c r="AO22" s="311">
        <f t="shared" si="25"/>
        <v>0</v>
      </c>
      <c r="AP22" s="381">
        <f t="shared" si="6"/>
        <v>0</v>
      </c>
      <c r="AQ22" s="382">
        <f t="shared" si="26"/>
        <v>0</v>
      </c>
      <c r="AR22" s="382">
        <f t="shared" si="26"/>
        <v>0</v>
      </c>
      <c r="AS22" s="382">
        <f t="shared" si="26"/>
        <v>0</v>
      </c>
      <c r="AT22" s="382">
        <f t="shared" si="26"/>
        <v>0</v>
      </c>
      <c r="AU22" s="382">
        <f t="shared" si="26"/>
        <v>0</v>
      </c>
      <c r="AV22" s="382">
        <f t="shared" si="26"/>
        <v>0</v>
      </c>
      <c r="AW22" s="382">
        <f t="shared" si="26"/>
        <v>0</v>
      </c>
      <c r="AX22" s="382">
        <f t="shared" si="26"/>
        <v>0</v>
      </c>
      <c r="AY22" s="382">
        <f t="shared" si="26"/>
        <v>0</v>
      </c>
      <c r="AZ22" s="382">
        <f t="shared" si="26"/>
        <v>0</v>
      </c>
      <c r="BA22" s="382">
        <f t="shared" si="26"/>
        <v>0</v>
      </c>
      <c r="BB22" s="311">
        <f t="shared" si="27"/>
        <v>0</v>
      </c>
      <c r="BC22" s="381">
        <f t="shared" si="8"/>
        <v>0</v>
      </c>
      <c r="BD22" s="382">
        <f t="shared" si="28"/>
        <v>0</v>
      </c>
      <c r="BE22" s="382">
        <f t="shared" si="28"/>
        <v>0</v>
      </c>
      <c r="BF22" s="382">
        <f t="shared" si="28"/>
        <v>0</v>
      </c>
      <c r="BG22" s="382">
        <f t="shared" si="28"/>
        <v>0</v>
      </c>
      <c r="BH22" s="382">
        <f t="shared" si="28"/>
        <v>0</v>
      </c>
      <c r="BI22" s="382">
        <f t="shared" si="28"/>
        <v>0</v>
      </c>
      <c r="BJ22" s="382">
        <f t="shared" si="28"/>
        <v>0</v>
      </c>
      <c r="BK22" s="382">
        <f t="shared" si="28"/>
        <v>0</v>
      </c>
      <c r="BL22" s="382">
        <f t="shared" si="28"/>
        <v>0</v>
      </c>
      <c r="BM22" s="382">
        <f t="shared" si="28"/>
        <v>0</v>
      </c>
      <c r="BN22" s="382">
        <f t="shared" si="28"/>
        <v>0</v>
      </c>
      <c r="BO22" s="311">
        <f t="shared" si="29"/>
        <v>0</v>
      </c>
      <c r="BP22" s="381">
        <f t="shared" si="10"/>
        <v>0</v>
      </c>
      <c r="BQ22" s="382">
        <f t="shared" si="30"/>
        <v>0</v>
      </c>
      <c r="BR22" s="382">
        <f t="shared" si="30"/>
        <v>0</v>
      </c>
      <c r="BS22" s="382">
        <f t="shared" si="30"/>
        <v>0</v>
      </c>
      <c r="BT22" s="382">
        <f t="shared" si="30"/>
        <v>0</v>
      </c>
      <c r="BU22" s="382">
        <f t="shared" si="30"/>
        <v>0</v>
      </c>
      <c r="BV22" s="382">
        <f t="shared" si="30"/>
        <v>0</v>
      </c>
      <c r="BW22" s="382">
        <f t="shared" si="30"/>
        <v>0</v>
      </c>
      <c r="BX22" s="382">
        <f t="shared" si="30"/>
        <v>0</v>
      </c>
      <c r="BY22" s="382">
        <f t="shared" si="30"/>
        <v>0</v>
      </c>
      <c r="BZ22" s="382">
        <f t="shared" si="30"/>
        <v>0</v>
      </c>
      <c r="CA22" s="382">
        <f t="shared" si="30"/>
        <v>0</v>
      </c>
      <c r="CB22" s="311">
        <f t="shared" si="31"/>
        <v>0</v>
      </c>
      <c r="CC22" s="381">
        <f t="shared" si="12"/>
        <v>0</v>
      </c>
      <c r="CD22" s="382">
        <f t="shared" si="32"/>
        <v>0</v>
      </c>
      <c r="CE22" s="382">
        <f t="shared" si="32"/>
        <v>0</v>
      </c>
      <c r="CF22" s="382">
        <f t="shared" si="32"/>
        <v>0</v>
      </c>
      <c r="CG22" s="382">
        <f t="shared" si="32"/>
        <v>0</v>
      </c>
      <c r="CH22" s="382">
        <f t="shared" si="32"/>
        <v>0</v>
      </c>
      <c r="CI22" s="382">
        <f t="shared" si="32"/>
        <v>0</v>
      </c>
      <c r="CJ22" s="382">
        <f t="shared" si="32"/>
        <v>0</v>
      </c>
      <c r="CK22" s="382">
        <f t="shared" si="32"/>
        <v>0</v>
      </c>
      <c r="CL22" s="382">
        <f t="shared" si="32"/>
        <v>0</v>
      </c>
      <c r="CM22" s="382">
        <f t="shared" si="32"/>
        <v>0</v>
      </c>
      <c r="CN22" s="382">
        <f t="shared" si="32"/>
        <v>0</v>
      </c>
      <c r="CO22" s="311">
        <f t="shared" si="33"/>
        <v>0</v>
      </c>
      <c r="CP22" s="381">
        <f t="shared" si="14"/>
        <v>0</v>
      </c>
      <c r="CQ22" s="382">
        <f t="shared" si="34"/>
        <v>0</v>
      </c>
      <c r="CR22" s="382">
        <f t="shared" si="34"/>
        <v>0</v>
      </c>
      <c r="CS22" s="382">
        <f t="shared" si="34"/>
        <v>0</v>
      </c>
      <c r="CT22" s="382">
        <f t="shared" si="34"/>
        <v>0</v>
      </c>
      <c r="CU22" s="382">
        <f t="shared" si="34"/>
        <v>0</v>
      </c>
      <c r="CV22" s="382">
        <f t="shared" si="34"/>
        <v>0</v>
      </c>
      <c r="CW22" s="382">
        <f t="shared" si="34"/>
        <v>0</v>
      </c>
      <c r="CX22" s="382">
        <f t="shared" si="34"/>
        <v>0</v>
      </c>
      <c r="CY22" s="382">
        <f t="shared" si="34"/>
        <v>0</v>
      </c>
      <c r="CZ22" s="382">
        <f t="shared" si="34"/>
        <v>0</v>
      </c>
      <c r="DA22" s="382">
        <f t="shared" si="34"/>
        <v>0</v>
      </c>
      <c r="DB22" s="295">
        <f t="shared" si="35"/>
        <v>0</v>
      </c>
      <c r="DD22" s="378">
        <f t="shared" si="16"/>
        <v>0</v>
      </c>
      <c r="DE22" s="379">
        <f t="shared" si="17"/>
        <v>0</v>
      </c>
      <c r="DF22" s="379">
        <f t="shared" si="18"/>
        <v>0</v>
      </c>
      <c r="DG22" s="379">
        <f t="shared" si="19"/>
        <v>0</v>
      </c>
      <c r="DH22" s="379">
        <f t="shared" si="20"/>
        <v>0</v>
      </c>
      <c r="DI22" s="379">
        <f t="shared" si="40"/>
        <v>0</v>
      </c>
      <c r="DJ22" s="380">
        <f t="shared" si="41"/>
        <v>0</v>
      </c>
    </row>
    <row r="23" spans="2:114">
      <c r="B23" s="307"/>
      <c r="C23" s="308"/>
      <c r="D23" s="389"/>
      <c r="E23" s="390"/>
      <c r="F23" s="307"/>
      <c r="G23" s="308"/>
      <c r="H23" s="309"/>
      <c r="I23" s="294">
        <f t="shared" si="21"/>
        <v>0</v>
      </c>
      <c r="J23" s="310"/>
      <c r="K23" s="310"/>
      <c r="L23" s="32" t="str">
        <f t="shared" si="0"/>
        <v xml:space="preserve"> </v>
      </c>
      <c r="M23" s="312" t="str">
        <f t="shared" si="38"/>
        <v xml:space="preserve"> </v>
      </c>
      <c r="N23" s="2" t="str">
        <f t="shared" si="39"/>
        <v xml:space="preserve"> </v>
      </c>
      <c r="O23" s="274"/>
      <c r="P23" s="384">
        <f t="shared" si="22"/>
        <v>0</v>
      </c>
      <c r="Q23" s="382">
        <f t="shared" si="3"/>
        <v>0</v>
      </c>
      <c r="R23" s="382">
        <f t="shared" si="3"/>
        <v>0</v>
      </c>
      <c r="S23" s="382">
        <f t="shared" si="3"/>
        <v>0</v>
      </c>
      <c r="T23" s="382">
        <f t="shared" si="3"/>
        <v>0</v>
      </c>
      <c r="U23" s="382">
        <f t="shared" si="3"/>
        <v>0</v>
      </c>
      <c r="V23" s="382">
        <f t="shared" si="3"/>
        <v>0</v>
      </c>
      <c r="W23" s="382">
        <f t="shared" si="3"/>
        <v>0</v>
      </c>
      <c r="X23" s="382">
        <f t="shared" si="3"/>
        <v>0</v>
      </c>
      <c r="Y23" s="382">
        <f t="shared" si="3"/>
        <v>0</v>
      </c>
      <c r="Z23" s="382">
        <f t="shared" si="3"/>
        <v>0</v>
      </c>
      <c r="AA23" s="382">
        <f t="shared" si="3"/>
        <v>0</v>
      </c>
      <c r="AB23" s="311">
        <f t="shared" si="23"/>
        <v>0</v>
      </c>
      <c r="AC23" s="381">
        <f t="shared" si="4"/>
        <v>0</v>
      </c>
      <c r="AD23" s="382">
        <f t="shared" si="24"/>
        <v>0</v>
      </c>
      <c r="AE23" s="382">
        <f t="shared" si="24"/>
        <v>0</v>
      </c>
      <c r="AF23" s="382">
        <f t="shared" si="24"/>
        <v>0</v>
      </c>
      <c r="AG23" s="382">
        <f t="shared" si="24"/>
        <v>0</v>
      </c>
      <c r="AH23" s="382">
        <f t="shared" si="24"/>
        <v>0</v>
      </c>
      <c r="AI23" s="382">
        <f t="shared" si="24"/>
        <v>0</v>
      </c>
      <c r="AJ23" s="382">
        <f t="shared" si="24"/>
        <v>0</v>
      </c>
      <c r="AK23" s="382">
        <f t="shared" si="24"/>
        <v>0</v>
      </c>
      <c r="AL23" s="382">
        <f t="shared" si="24"/>
        <v>0</v>
      </c>
      <c r="AM23" s="382">
        <f t="shared" si="24"/>
        <v>0</v>
      </c>
      <c r="AN23" s="382">
        <f t="shared" si="24"/>
        <v>0</v>
      </c>
      <c r="AO23" s="311">
        <f t="shared" si="25"/>
        <v>0</v>
      </c>
      <c r="AP23" s="381">
        <f t="shared" si="6"/>
        <v>0</v>
      </c>
      <c r="AQ23" s="382">
        <f t="shared" si="26"/>
        <v>0</v>
      </c>
      <c r="AR23" s="382">
        <f t="shared" si="26"/>
        <v>0</v>
      </c>
      <c r="AS23" s="382">
        <f t="shared" si="26"/>
        <v>0</v>
      </c>
      <c r="AT23" s="382">
        <f t="shared" si="26"/>
        <v>0</v>
      </c>
      <c r="AU23" s="382">
        <f t="shared" si="26"/>
        <v>0</v>
      </c>
      <c r="AV23" s="382">
        <f t="shared" si="26"/>
        <v>0</v>
      </c>
      <c r="AW23" s="382">
        <f t="shared" si="26"/>
        <v>0</v>
      </c>
      <c r="AX23" s="382">
        <f t="shared" si="26"/>
        <v>0</v>
      </c>
      <c r="AY23" s="382">
        <f t="shared" si="26"/>
        <v>0</v>
      </c>
      <c r="AZ23" s="382">
        <f t="shared" si="26"/>
        <v>0</v>
      </c>
      <c r="BA23" s="382">
        <f t="shared" si="26"/>
        <v>0</v>
      </c>
      <c r="BB23" s="311">
        <f t="shared" si="27"/>
        <v>0</v>
      </c>
      <c r="BC23" s="381">
        <f t="shared" si="8"/>
        <v>0</v>
      </c>
      <c r="BD23" s="382">
        <f t="shared" si="28"/>
        <v>0</v>
      </c>
      <c r="BE23" s="382">
        <f t="shared" si="28"/>
        <v>0</v>
      </c>
      <c r="BF23" s="382">
        <f t="shared" si="28"/>
        <v>0</v>
      </c>
      <c r="BG23" s="382">
        <f t="shared" si="28"/>
        <v>0</v>
      </c>
      <c r="BH23" s="382">
        <f t="shared" si="28"/>
        <v>0</v>
      </c>
      <c r="BI23" s="382">
        <f t="shared" si="28"/>
        <v>0</v>
      </c>
      <c r="BJ23" s="382">
        <f t="shared" si="28"/>
        <v>0</v>
      </c>
      <c r="BK23" s="382">
        <f t="shared" si="28"/>
        <v>0</v>
      </c>
      <c r="BL23" s="382">
        <f t="shared" si="28"/>
        <v>0</v>
      </c>
      <c r="BM23" s="382">
        <f t="shared" si="28"/>
        <v>0</v>
      </c>
      <c r="BN23" s="382">
        <f t="shared" si="28"/>
        <v>0</v>
      </c>
      <c r="BO23" s="311">
        <f t="shared" si="29"/>
        <v>0</v>
      </c>
      <c r="BP23" s="381">
        <f t="shared" si="10"/>
        <v>0</v>
      </c>
      <c r="BQ23" s="382">
        <f t="shared" si="30"/>
        <v>0</v>
      </c>
      <c r="BR23" s="382">
        <f t="shared" si="30"/>
        <v>0</v>
      </c>
      <c r="BS23" s="382">
        <f t="shared" si="30"/>
        <v>0</v>
      </c>
      <c r="BT23" s="382">
        <f t="shared" si="30"/>
        <v>0</v>
      </c>
      <c r="BU23" s="382">
        <f t="shared" si="30"/>
        <v>0</v>
      </c>
      <c r="BV23" s="382">
        <f t="shared" si="30"/>
        <v>0</v>
      </c>
      <c r="BW23" s="382">
        <f t="shared" si="30"/>
        <v>0</v>
      </c>
      <c r="BX23" s="382">
        <f t="shared" si="30"/>
        <v>0</v>
      </c>
      <c r="BY23" s="382">
        <f t="shared" si="30"/>
        <v>0</v>
      </c>
      <c r="BZ23" s="382">
        <f t="shared" si="30"/>
        <v>0</v>
      </c>
      <c r="CA23" s="382">
        <f t="shared" si="30"/>
        <v>0</v>
      </c>
      <c r="CB23" s="311">
        <f t="shared" si="31"/>
        <v>0</v>
      </c>
      <c r="CC23" s="381">
        <f t="shared" si="12"/>
        <v>0</v>
      </c>
      <c r="CD23" s="382">
        <f t="shared" si="32"/>
        <v>0</v>
      </c>
      <c r="CE23" s="382">
        <f t="shared" si="32"/>
        <v>0</v>
      </c>
      <c r="CF23" s="382">
        <f t="shared" si="32"/>
        <v>0</v>
      </c>
      <c r="CG23" s="382">
        <f t="shared" si="32"/>
        <v>0</v>
      </c>
      <c r="CH23" s="382">
        <f t="shared" si="32"/>
        <v>0</v>
      </c>
      <c r="CI23" s="382">
        <f t="shared" si="32"/>
        <v>0</v>
      </c>
      <c r="CJ23" s="382">
        <f t="shared" si="32"/>
        <v>0</v>
      </c>
      <c r="CK23" s="382">
        <f t="shared" si="32"/>
        <v>0</v>
      </c>
      <c r="CL23" s="382">
        <f t="shared" si="32"/>
        <v>0</v>
      </c>
      <c r="CM23" s="382">
        <f t="shared" si="32"/>
        <v>0</v>
      </c>
      <c r="CN23" s="382">
        <f t="shared" si="32"/>
        <v>0</v>
      </c>
      <c r="CO23" s="311">
        <f t="shared" si="33"/>
        <v>0</v>
      </c>
      <c r="CP23" s="381">
        <f t="shared" si="14"/>
        <v>0</v>
      </c>
      <c r="CQ23" s="382">
        <f t="shared" si="34"/>
        <v>0</v>
      </c>
      <c r="CR23" s="382">
        <f t="shared" si="34"/>
        <v>0</v>
      </c>
      <c r="CS23" s="382">
        <f t="shared" si="34"/>
        <v>0</v>
      </c>
      <c r="CT23" s="382">
        <f t="shared" si="34"/>
        <v>0</v>
      </c>
      <c r="CU23" s="382">
        <f t="shared" si="34"/>
        <v>0</v>
      </c>
      <c r="CV23" s="382">
        <f t="shared" si="34"/>
        <v>0</v>
      </c>
      <c r="CW23" s="382">
        <f t="shared" si="34"/>
        <v>0</v>
      </c>
      <c r="CX23" s="382">
        <f t="shared" si="34"/>
        <v>0</v>
      </c>
      <c r="CY23" s="382">
        <f t="shared" si="34"/>
        <v>0</v>
      </c>
      <c r="CZ23" s="382">
        <f t="shared" si="34"/>
        <v>0</v>
      </c>
      <c r="DA23" s="382">
        <f t="shared" si="34"/>
        <v>0</v>
      </c>
      <c r="DB23" s="295">
        <f t="shared" si="35"/>
        <v>0</v>
      </c>
      <c r="DD23" s="378">
        <f t="shared" si="16"/>
        <v>0</v>
      </c>
      <c r="DE23" s="379">
        <f t="shared" si="17"/>
        <v>0</v>
      </c>
      <c r="DF23" s="379">
        <f t="shared" si="18"/>
        <v>0</v>
      </c>
      <c r="DG23" s="379">
        <f t="shared" si="19"/>
        <v>0</v>
      </c>
      <c r="DH23" s="379">
        <f t="shared" si="20"/>
        <v>0</v>
      </c>
      <c r="DI23" s="379">
        <f t="shared" si="40"/>
        <v>0</v>
      </c>
      <c r="DJ23" s="380">
        <f t="shared" si="41"/>
        <v>0</v>
      </c>
    </row>
    <row r="24" spans="2:114">
      <c r="B24" s="307"/>
      <c r="C24" s="308"/>
      <c r="D24" s="389"/>
      <c r="E24" s="390"/>
      <c r="F24" s="307"/>
      <c r="G24" s="308"/>
      <c r="H24" s="309"/>
      <c r="I24" s="294">
        <f t="shared" si="21"/>
        <v>0</v>
      </c>
      <c r="J24" s="310"/>
      <c r="K24" s="310"/>
      <c r="L24" s="32" t="str">
        <f t="shared" si="0"/>
        <v xml:space="preserve"> </v>
      </c>
      <c r="M24" s="312" t="str">
        <f t="shared" si="38"/>
        <v xml:space="preserve"> </v>
      </c>
      <c r="N24" s="2" t="str">
        <f t="shared" si="39"/>
        <v xml:space="preserve"> </v>
      </c>
      <c r="O24" s="274"/>
      <c r="P24" s="384">
        <f t="shared" si="22"/>
        <v>0</v>
      </c>
      <c r="Q24" s="382">
        <f t="shared" si="3"/>
        <v>0</v>
      </c>
      <c r="R24" s="382">
        <f t="shared" si="3"/>
        <v>0</v>
      </c>
      <c r="S24" s="382">
        <f t="shared" si="3"/>
        <v>0</v>
      </c>
      <c r="T24" s="382">
        <f t="shared" si="3"/>
        <v>0</v>
      </c>
      <c r="U24" s="382">
        <f t="shared" si="3"/>
        <v>0</v>
      </c>
      <c r="V24" s="382">
        <f t="shared" si="3"/>
        <v>0</v>
      </c>
      <c r="W24" s="382">
        <f t="shared" si="3"/>
        <v>0</v>
      </c>
      <c r="X24" s="382">
        <f t="shared" si="3"/>
        <v>0</v>
      </c>
      <c r="Y24" s="382">
        <f t="shared" si="3"/>
        <v>0</v>
      </c>
      <c r="Z24" s="382">
        <f t="shared" si="3"/>
        <v>0</v>
      </c>
      <c r="AA24" s="382">
        <f t="shared" si="3"/>
        <v>0</v>
      </c>
      <c r="AB24" s="311">
        <f t="shared" si="23"/>
        <v>0</v>
      </c>
      <c r="AC24" s="381">
        <f t="shared" si="4"/>
        <v>0</v>
      </c>
      <c r="AD24" s="382">
        <f t="shared" si="24"/>
        <v>0</v>
      </c>
      <c r="AE24" s="382">
        <f t="shared" si="24"/>
        <v>0</v>
      </c>
      <c r="AF24" s="382">
        <f t="shared" si="24"/>
        <v>0</v>
      </c>
      <c r="AG24" s="382">
        <f t="shared" si="24"/>
        <v>0</v>
      </c>
      <c r="AH24" s="382">
        <f t="shared" si="24"/>
        <v>0</v>
      </c>
      <c r="AI24" s="382">
        <f t="shared" si="24"/>
        <v>0</v>
      </c>
      <c r="AJ24" s="382">
        <f t="shared" si="24"/>
        <v>0</v>
      </c>
      <c r="AK24" s="382">
        <f t="shared" si="24"/>
        <v>0</v>
      </c>
      <c r="AL24" s="382">
        <f t="shared" si="24"/>
        <v>0</v>
      </c>
      <c r="AM24" s="382">
        <f t="shared" si="24"/>
        <v>0</v>
      </c>
      <c r="AN24" s="382">
        <f t="shared" si="24"/>
        <v>0</v>
      </c>
      <c r="AO24" s="311">
        <f t="shared" si="25"/>
        <v>0</v>
      </c>
      <c r="AP24" s="381">
        <f t="shared" si="6"/>
        <v>0</v>
      </c>
      <c r="AQ24" s="382">
        <f t="shared" si="26"/>
        <v>0</v>
      </c>
      <c r="AR24" s="382">
        <f t="shared" si="26"/>
        <v>0</v>
      </c>
      <c r="AS24" s="382">
        <f t="shared" si="26"/>
        <v>0</v>
      </c>
      <c r="AT24" s="382">
        <f t="shared" si="26"/>
        <v>0</v>
      </c>
      <c r="AU24" s="382">
        <f t="shared" si="26"/>
        <v>0</v>
      </c>
      <c r="AV24" s="382">
        <f t="shared" si="26"/>
        <v>0</v>
      </c>
      <c r="AW24" s="382">
        <f t="shared" si="26"/>
        <v>0</v>
      </c>
      <c r="AX24" s="382">
        <f t="shared" si="26"/>
        <v>0</v>
      </c>
      <c r="AY24" s="382">
        <f t="shared" si="26"/>
        <v>0</v>
      </c>
      <c r="AZ24" s="382">
        <f t="shared" si="26"/>
        <v>0</v>
      </c>
      <c r="BA24" s="382">
        <f t="shared" si="26"/>
        <v>0</v>
      </c>
      <c r="BB24" s="311">
        <f t="shared" si="27"/>
        <v>0</v>
      </c>
      <c r="BC24" s="381">
        <f t="shared" si="8"/>
        <v>0</v>
      </c>
      <c r="BD24" s="382">
        <f t="shared" si="28"/>
        <v>0</v>
      </c>
      <c r="BE24" s="382">
        <f t="shared" si="28"/>
        <v>0</v>
      </c>
      <c r="BF24" s="382">
        <f t="shared" si="28"/>
        <v>0</v>
      </c>
      <c r="BG24" s="382">
        <f t="shared" si="28"/>
        <v>0</v>
      </c>
      <c r="BH24" s="382">
        <f t="shared" si="28"/>
        <v>0</v>
      </c>
      <c r="BI24" s="382">
        <f t="shared" si="28"/>
        <v>0</v>
      </c>
      <c r="BJ24" s="382">
        <f t="shared" si="28"/>
        <v>0</v>
      </c>
      <c r="BK24" s="382">
        <f t="shared" si="28"/>
        <v>0</v>
      </c>
      <c r="BL24" s="382">
        <f t="shared" si="28"/>
        <v>0</v>
      </c>
      <c r="BM24" s="382">
        <f t="shared" si="28"/>
        <v>0</v>
      </c>
      <c r="BN24" s="382">
        <f t="shared" si="28"/>
        <v>0</v>
      </c>
      <c r="BO24" s="311">
        <f t="shared" si="29"/>
        <v>0</v>
      </c>
      <c r="BP24" s="381">
        <f t="shared" si="10"/>
        <v>0</v>
      </c>
      <c r="BQ24" s="382">
        <f t="shared" si="30"/>
        <v>0</v>
      </c>
      <c r="BR24" s="382">
        <f t="shared" si="30"/>
        <v>0</v>
      </c>
      <c r="BS24" s="382">
        <f t="shared" si="30"/>
        <v>0</v>
      </c>
      <c r="BT24" s="382">
        <f t="shared" si="30"/>
        <v>0</v>
      </c>
      <c r="BU24" s="382">
        <f t="shared" si="30"/>
        <v>0</v>
      </c>
      <c r="BV24" s="382">
        <f t="shared" si="30"/>
        <v>0</v>
      </c>
      <c r="BW24" s="382">
        <f t="shared" si="30"/>
        <v>0</v>
      </c>
      <c r="BX24" s="382">
        <f t="shared" si="30"/>
        <v>0</v>
      </c>
      <c r="BY24" s="382">
        <f t="shared" si="30"/>
        <v>0</v>
      </c>
      <c r="BZ24" s="382">
        <f t="shared" si="30"/>
        <v>0</v>
      </c>
      <c r="CA24" s="382">
        <f t="shared" si="30"/>
        <v>0</v>
      </c>
      <c r="CB24" s="311">
        <f t="shared" si="31"/>
        <v>0</v>
      </c>
      <c r="CC24" s="381">
        <f t="shared" si="12"/>
        <v>0</v>
      </c>
      <c r="CD24" s="382">
        <f t="shared" si="32"/>
        <v>0</v>
      </c>
      <c r="CE24" s="382">
        <f t="shared" si="32"/>
        <v>0</v>
      </c>
      <c r="CF24" s="382">
        <f t="shared" si="32"/>
        <v>0</v>
      </c>
      <c r="CG24" s="382">
        <f t="shared" si="32"/>
        <v>0</v>
      </c>
      <c r="CH24" s="382">
        <f t="shared" si="32"/>
        <v>0</v>
      </c>
      <c r="CI24" s="382">
        <f t="shared" si="32"/>
        <v>0</v>
      </c>
      <c r="CJ24" s="382">
        <f t="shared" si="32"/>
        <v>0</v>
      </c>
      <c r="CK24" s="382">
        <f t="shared" si="32"/>
        <v>0</v>
      </c>
      <c r="CL24" s="382">
        <f t="shared" si="32"/>
        <v>0</v>
      </c>
      <c r="CM24" s="382">
        <f t="shared" si="32"/>
        <v>0</v>
      </c>
      <c r="CN24" s="382">
        <f t="shared" si="32"/>
        <v>0</v>
      </c>
      <c r="CO24" s="311">
        <f t="shared" si="33"/>
        <v>0</v>
      </c>
      <c r="CP24" s="381">
        <f t="shared" si="14"/>
        <v>0</v>
      </c>
      <c r="CQ24" s="382">
        <f t="shared" si="34"/>
        <v>0</v>
      </c>
      <c r="CR24" s="382">
        <f t="shared" si="34"/>
        <v>0</v>
      </c>
      <c r="CS24" s="382">
        <f t="shared" si="34"/>
        <v>0</v>
      </c>
      <c r="CT24" s="382">
        <f t="shared" si="34"/>
        <v>0</v>
      </c>
      <c r="CU24" s="382">
        <f t="shared" si="34"/>
        <v>0</v>
      </c>
      <c r="CV24" s="382">
        <f t="shared" si="34"/>
        <v>0</v>
      </c>
      <c r="CW24" s="382">
        <f t="shared" si="34"/>
        <v>0</v>
      </c>
      <c r="CX24" s="382">
        <f t="shared" si="34"/>
        <v>0</v>
      </c>
      <c r="CY24" s="382">
        <f t="shared" si="34"/>
        <v>0</v>
      </c>
      <c r="CZ24" s="382">
        <f t="shared" si="34"/>
        <v>0</v>
      </c>
      <c r="DA24" s="382">
        <f t="shared" si="34"/>
        <v>0</v>
      </c>
      <c r="DB24" s="295">
        <f t="shared" si="35"/>
        <v>0</v>
      </c>
      <c r="DD24" s="378">
        <f t="shared" si="16"/>
        <v>0</v>
      </c>
      <c r="DE24" s="379">
        <f t="shared" si="17"/>
        <v>0</v>
      </c>
      <c r="DF24" s="379">
        <f t="shared" si="18"/>
        <v>0</v>
      </c>
      <c r="DG24" s="379">
        <f t="shared" si="19"/>
        <v>0</v>
      </c>
      <c r="DH24" s="379">
        <f t="shared" si="20"/>
        <v>0</v>
      </c>
      <c r="DI24" s="379">
        <f t="shared" si="40"/>
        <v>0</v>
      </c>
      <c r="DJ24" s="380">
        <f t="shared" si="41"/>
        <v>0</v>
      </c>
    </row>
    <row r="25" spans="2:114">
      <c r="B25" s="307"/>
      <c r="C25" s="308"/>
      <c r="D25" s="389"/>
      <c r="E25" s="390"/>
      <c r="F25" s="307"/>
      <c r="G25" s="308"/>
      <c r="H25" s="309"/>
      <c r="I25" s="294">
        <f t="shared" si="21"/>
        <v>0</v>
      </c>
      <c r="J25" s="310"/>
      <c r="K25" s="310"/>
      <c r="L25" s="32" t="str">
        <f t="shared" si="0"/>
        <v xml:space="preserve"> </v>
      </c>
      <c r="M25" s="312" t="str">
        <f t="shared" si="38"/>
        <v xml:space="preserve"> </v>
      </c>
      <c r="N25" s="2" t="str">
        <f t="shared" si="39"/>
        <v xml:space="preserve"> </v>
      </c>
      <c r="O25" s="274"/>
      <c r="P25" s="384">
        <f t="shared" si="22"/>
        <v>0</v>
      </c>
      <c r="Q25" s="382">
        <f t="shared" si="3"/>
        <v>0</v>
      </c>
      <c r="R25" s="382">
        <f t="shared" si="3"/>
        <v>0</v>
      </c>
      <c r="S25" s="382">
        <f t="shared" si="3"/>
        <v>0</v>
      </c>
      <c r="T25" s="382">
        <f t="shared" si="3"/>
        <v>0</v>
      </c>
      <c r="U25" s="382">
        <f t="shared" si="3"/>
        <v>0</v>
      </c>
      <c r="V25" s="382">
        <f t="shared" si="3"/>
        <v>0</v>
      </c>
      <c r="W25" s="382">
        <f t="shared" si="3"/>
        <v>0</v>
      </c>
      <c r="X25" s="382">
        <f t="shared" si="3"/>
        <v>0</v>
      </c>
      <c r="Y25" s="382">
        <f t="shared" si="3"/>
        <v>0</v>
      </c>
      <c r="Z25" s="382">
        <f t="shared" si="3"/>
        <v>0</v>
      </c>
      <c r="AA25" s="382">
        <f t="shared" si="3"/>
        <v>0</v>
      </c>
      <c r="AB25" s="311">
        <f t="shared" si="23"/>
        <v>0</v>
      </c>
      <c r="AC25" s="381">
        <f t="shared" si="4"/>
        <v>0</v>
      </c>
      <c r="AD25" s="382">
        <f t="shared" si="24"/>
        <v>0</v>
      </c>
      <c r="AE25" s="382">
        <f t="shared" si="24"/>
        <v>0</v>
      </c>
      <c r="AF25" s="382">
        <f t="shared" si="24"/>
        <v>0</v>
      </c>
      <c r="AG25" s="382">
        <f t="shared" si="24"/>
        <v>0</v>
      </c>
      <c r="AH25" s="382">
        <f t="shared" si="24"/>
        <v>0</v>
      </c>
      <c r="AI25" s="382">
        <f t="shared" si="24"/>
        <v>0</v>
      </c>
      <c r="AJ25" s="382">
        <f t="shared" si="24"/>
        <v>0</v>
      </c>
      <c r="AK25" s="382">
        <f t="shared" si="24"/>
        <v>0</v>
      </c>
      <c r="AL25" s="382">
        <f t="shared" si="24"/>
        <v>0</v>
      </c>
      <c r="AM25" s="382">
        <f t="shared" si="24"/>
        <v>0</v>
      </c>
      <c r="AN25" s="382">
        <f t="shared" si="24"/>
        <v>0</v>
      </c>
      <c r="AO25" s="311">
        <f t="shared" si="25"/>
        <v>0</v>
      </c>
      <c r="AP25" s="381">
        <f t="shared" si="6"/>
        <v>0</v>
      </c>
      <c r="AQ25" s="382">
        <f t="shared" si="26"/>
        <v>0</v>
      </c>
      <c r="AR25" s="382">
        <f t="shared" si="26"/>
        <v>0</v>
      </c>
      <c r="AS25" s="382">
        <f t="shared" si="26"/>
        <v>0</v>
      </c>
      <c r="AT25" s="382">
        <f t="shared" si="26"/>
        <v>0</v>
      </c>
      <c r="AU25" s="382">
        <f t="shared" si="26"/>
        <v>0</v>
      </c>
      <c r="AV25" s="382">
        <f t="shared" si="26"/>
        <v>0</v>
      </c>
      <c r="AW25" s="382">
        <f t="shared" si="26"/>
        <v>0</v>
      </c>
      <c r="AX25" s="382">
        <f t="shared" si="26"/>
        <v>0</v>
      </c>
      <c r="AY25" s="382">
        <f t="shared" si="26"/>
        <v>0</v>
      </c>
      <c r="AZ25" s="382">
        <f t="shared" si="26"/>
        <v>0</v>
      </c>
      <c r="BA25" s="382">
        <f t="shared" si="26"/>
        <v>0</v>
      </c>
      <c r="BB25" s="311">
        <f t="shared" si="27"/>
        <v>0</v>
      </c>
      <c r="BC25" s="381">
        <f t="shared" si="8"/>
        <v>0</v>
      </c>
      <c r="BD25" s="382">
        <f t="shared" si="28"/>
        <v>0</v>
      </c>
      <c r="BE25" s="382">
        <f t="shared" si="28"/>
        <v>0</v>
      </c>
      <c r="BF25" s="382">
        <f t="shared" si="28"/>
        <v>0</v>
      </c>
      <c r="BG25" s="382">
        <f t="shared" si="28"/>
        <v>0</v>
      </c>
      <c r="BH25" s="382">
        <f t="shared" si="28"/>
        <v>0</v>
      </c>
      <c r="BI25" s="382">
        <f t="shared" si="28"/>
        <v>0</v>
      </c>
      <c r="BJ25" s="382">
        <f t="shared" si="28"/>
        <v>0</v>
      </c>
      <c r="BK25" s="382">
        <f t="shared" si="28"/>
        <v>0</v>
      </c>
      <c r="BL25" s="382">
        <f t="shared" si="28"/>
        <v>0</v>
      </c>
      <c r="BM25" s="382">
        <f t="shared" si="28"/>
        <v>0</v>
      </c>
      <c r="BN25" s="382">
        <f t="shared" si="28"/>
        <v>0</v>
      </c>
      <c r="BO25" s="311">
        <f t="shared" si="29"/>
        <v>0</v>
      </c>
      <c r="BP25" s="381">
        <f t="shared" si="10"/>
        <v>0</v>
      </c>
      <c r="BQ25" s="382">
        <f t="shared" si="30"/>
        <v>0</v>
      </c>
      <c r="BR25" s="382">
        <f t="shared" si="30"/>
        <v>0</v>
      </c>
      <c r="BS25" s="382">
        <f t="shared" si="30"/>
        <v>0</v>
      </c>
      <c r="BT25" s="382">
        <f t="shared" si="30"/>
        <v>0</v>
      </c>
      <c r="BU25" s="382">
        <f t="shared" si="30"/>
        <v>0</v>
      </c>
      <c r="BV25" s="382">
        <f t="shared" si="30"/>
        <v>0</v>
      </c>
      <c r="BW25" s="382">
        <f t="shared" si="30"/>
        <v>0</v>
      </c>
      <c r="BX25" s="382">
        <f t="shared" si="30"/>
        <v>0</v>
      </c>
      <c r="BY25" s="382">
        <f t="shared" si="30"/>
        <v>0</v>
      </c>
      <c r="BZ25" s="382">
        <f t="shared" si="30"/>
        <v>0</v>
      </c>
      <c r="CA25" s="382">
        <f t="shared" si="30"/>
        <v>0</v>
      </c>
      <c r="CB25" s="311">
        <f t="shared" si="31"/>
        <v>0</v>
      </c>
      <c r="CC25" s="381">
        <f t="shared" si="12"/>
        <v>0</v>
      </c>
      <c r="CD25" s="382">
        <f t="shared" si="32"/>
        <v>0</v>
      </c>
      <c r="CE25" s="382">
        <f t="shared" si="32"/>
        <v>0</v>
      </c>
      <c r="CF25" s="382">
        <f t="shared" si="32"/>
        <v>0</v>
      </c>
      <c r="CG25" s="382">
        <f t="shared" si="32"/>
        <v>0</v>
      </c>
      <c r="CH25" s="382">
        <f t="shared" si="32"/>
        <v>0</v>
      </c>
      <c r="CI25" s="382">
        <f t="shared" si="32"/>
        <v>0</v>
      </c>
      <c r="CJ25" s="382">
        <f t="shared" si="32"/>
        <v>0</v>
      </c>
      <c r="CK25" s="382">
        <f t="shared" si="32"/>
        <v>0</v>
      </c>
      <c r="CL25" s="382">
        <f t="shared" si="32"/>
        <v>0</v>
      </c>
      <c r="CM25" s="382">
        <f t="shared" si="32"/>
        <v>0</v>
      </c>
      <c r="CN25" s="382">
        <f t="shared" si="32"/>
        <v>0</v>
      </c>
      <c r="CO25" s="311">
        <f t="shared" si="33"/>
        <v>0</v>
      </c>
      <c r="CP25" s="381">
        <f t="shared" si="14"/>
        <v>0</v>
      </c>
      <c r="CQ25" s="382">
        <f t="shared" si="34"/>
        <v>0</v>
      </c>
      <c r="CR25" s="382">
        <f t="shared" si="34"/>
        <v>0</v>
      </c>
      <c r="CS25" s="382">
        <f t="shared" si="34"/>
        <v>0</v>
      </c>
      <c r="CT25" s="382">
        <f t="shared" si="34"/>
        <v>0</v>
      </c>
      <c r="CU25" s="382">
        <f t="shared" si="34"/>
        <v>0</v>
      </c>
      <c r="CV25" s="382">
        <f t="shared" si="34"/>
        <v>0</v>
      </c>
      <c r="CW25" s="382">
        <f t="shared" si="34"/>
        <v>0</v>
      </c>
      <c r="CX25" s="382">
        <f t="shared" si="34"/>
        <v>0</v>
      </c>
      <c r="CY25" s="382">
        <f t="shared" si="34"/>
        <v>0</v>
      </c>
      <c r="CZ25" s="382">
        <f t="shared" si="34"/>
        <v>0</v>
      </c>
      <c r="DA25" s="382">
        <f t="shared" si="34"/>
        <v>0</v>
      </c>
      <c r="DB25" s="295">
        <f t="shared" si="35"/>
        <v>0</v>
      </c>
      <c r="DD25" s="378">
        <f t="shared" si="16"/>
        <v>0</v>
      </c>
      <c r="DE25" s="379">
        <f t="shared" si="17"/>
        <v>0</v>
      </c>
      <c r="DF25" s="379">
        <f t="shared" si="18"/>
        <v>0</v>
      </c>
      <c r="DG25" s="379">
        <f t="shared" si="19"/>
        <v>0</v>
      </c>
      <c r="DH25" s="379">
        <f t="shared" si="20"/>
        <v>0</v>
      </c>
      <c r="DI25" s="379">
        <f t="shared" si="40"/>
        <v>0</v>
      </c>
      <c r="DJ25" s="380">
        <f t="shared" si="41"/>
        <v>0</v>
      </c>
    </row>
    <row r="26" spans="2:114">
      <c r="B26" s="307"/>
      <c r="C26" s="308"/>
      <c r="D26" s="389"/>
      <c r="E26" s="390"/>
      <c r="F26" s="307"/>
      <c r="G26" s="308"/>
      <c r="H26" s="309"/>
      <c r="I26" s="294">
        <f t="shared" si="21"/>
        <v>0</v>
      </c>
      <c r="J26" s="310"/>
      <c r="K26" s="310"/>
      <c r="L26" s="32" t="str">
        <f t="shared" si="0"/>
        <v xml:space="preserve"> </v>
      </c>
      <c r="M26" s="312" t="str">
        <f t="shared" si="38"/>
        <v xml:space="preserve"> </v>
      </c>
      <c r="N26" s="2" t="str">
        <f t="shared" si="39"/>
        <v xml:space="preserve"> </v>
      </c>
      <c r="O26" s="274"/>
      <c r="P26" s="384">
        <f t="shared" si="22"/>
        <v>0</v>
      </c>
      <c r="Q26" s="382">
        <f t="shared" si="3"/>
        <v>0</v>
      </c>
      <c r="R26" s="382">
        <f t="shared" si="3"/>
        <v>0</v>
      </c>
      <c r="S26" s="382">
        <f t="shared" si="3"/>
        <v>0</v>
      </c>
      <c r="T26" s="382">
        <f t="shared" si="3"/>
        <v>0</v>
      </c>
      <c r="U26" s="382">
        <f t="shared" si="3"/>
        <v>0</v>
      </c>
      <c r="V26" s="382">
        <f t="shared" si="3"/>
        <v>0</v>
      </c>
      <c r="W26" s="382">
        <f t="shared" si="3"/>
        <v>0</v>
      </c>
      <c r="X26" s="382">
        <f t="shared" si="3"/>
        <v>0</v>
      </c>
      <c r="Y26" s="382">
        <f t="shared" si="3"/>
        <v>0</v>
      </c>
      <c r="Z26" s="382">
        <f t="shared" si="3"/>
        <v>0</v>
      </c>
      <c r="AA26" s="382">
        <f t="shared" si="3"/>
        <v>0</v>
      </c>
      <c r="AB26" s="311">
        <f t="shared" si="23"/>
        <v>0</v>
      </c>
      <c r="AC26" s="381">
        <f t="shared" si="4"/>
        <v>0</v>
      </c>
      <c r="AD26" s="382">
        <f t="shared" si="24"/>
        <v>0</v>
      </c>
      <c r="AE26" s="382">
        <f t="shared" si="24"/>
        <v>0</v>
      </c>
      <c r="AF26" s="382">
        <f t="shared" si="24"/>
        <v>0</v>
      </c>
      <c r="AG26" s="382">
        <f t="shared" si="24"/>
        <v>0</v>
      </c>
      <c r="AH26" s="382">
        <f t="shared" si="24"/>
        <v>0</v>
      </c>
      <c r="AI26" s="382">
        <f t="shared" si="24"/>
        <v>0</v>
      </c>
      <c r="AJ26" s="382">
        <f t="shared" si="24"/>
        <v>0</v>
      </c>
      <c r="AK26" s="382">
        <f t="shared" si="24"/>
        <v>0</v>
      </c>
      <c r="AL26" s="382">
        <f t="shared" si="24"/>
        <v>0</v>
      </c>
      <c r="AM26" s="382">
        <f t="shared" si="24"/>
        <v>0</v>
      </c>
      <c r="AN26" s="382">
        <f t="shared" si="24"/>
        <v>0</v>
      </c>
      <c r="AO26" s="311">
        <f t="shared" si="25"/>
        <v>0</v>
      </c>
      <c r="AP26" s="381">
        <f t="shared" si="6"/>
        <v>0</v>
      </c>
      <c r="AQ26" s="382">
        <f t="shared" si="26"/>
        <v>0</v>
      </c>
      <c r="AR26" s="382">
        <f t="shared" si="26"/>
        <v>0</v>
      </c>
      <c r="AS26" s="382">
        <f t="shared" si="26"/>
        <v>0</v>
      </c>
      <c r="AT26" s="382">
        <f t="shared" si="26"/>
        <v>0</v>
      </c>
      <c r="AU26" s="382">
        <f t="shared" si="26"/>
        <v>0</v>
      </c>
      <c r="AV26" s="382">
        <f t="shared" si="26"/>
        <v>0</v>
      </c>
      <c r="AW26" s="382">
        <f t="shared" si="26"/>
        <v>0</v>
      </c>
      <c r="AX26" s="382">
        <f t="shared" si="26"/>
        <v>0</v>
      </c>
      <c r="AY26" s="382">
        <f t="shared" si="26"/>
        <v>0</v>
      </c>
      <c r="AZ26" s="382">
        <f t="shared" si="26"/>
        <v>0</v>
      </c>
      <c r="BA26" s="382">
        <f t="shared" si="26"/>
        <v>0</v>
      </c>
      <c r="BB26" s="311">
        <f t="shared" si="27"/>
        <v>0</v>
      </c>
      <c r="BC26" s="381">
        <f t="shared" si="8"/>
        <v>0</v>
      </c>
      <c r="BD26" s="382">
        <f t="shared" si="28"/>
        <v>0</v>
      </c>
      <c r="BE26" s="382">
        <f t="shared" si="28"/>
        <v>0</v>
      </c>
      <c r="BF26" s="382">
        <f t="shared" si="28"/>
        <v>0</v>
      </c>
      <c r="BG26" s="382">
        <f t="shared" si="28"/>
        <v>0</v>
      </c>
      <c r="BH26" s="382">
        <f t="shared" si="28"/>
        <v>0</v>
      </c>
      <c r="BI26" s="382">
        <f t="shared" si="28"/>
        <v>0</v>
      </c>
      <c r="BJ26" s="382">
        <f t="shared" si="28"/>
        <v>0</v>
      </c>
      <c r="BK26" s="382">
        <f t="shared" si="28"/>
        <v>0</v>
      </c>
      <c r="BL26" s="382">
        <f t="shared" si="28"/>
        <v>0</v>
      </c>
      <c r="BM26" s="382">
        <f t="shared" si="28"/>
        <v>0</v>
      </c>
      <c r="BN26" s="382">
        <f t="shared" si="28"/>
        <v>0</v>
      </c>
      <c r="BO26" s="311">
        <f t="shared" si="29"/>
        <v>0</v>
      </c>
      <c r="BP26" s="381">
        <f t="shared" si="10"/>
        <v>0</v>
      </c>
      <c r="BQ26" s="382">
        <f t="shared" si="30"/>
        <v>0</v>
      </c>
      <c r="BR26" s="382">
        <f t="shared" si="30"/>
        <v>0</v>
      </c>
      <c r="BS26" s="382">
        <f t="shared" si="30"/>
        <v>0</v>
      </c>
      <c r="BT26" s="382">
        <f t="shared" si="30"/>
        <v>0</v>
      </c>
      <c r="BU26" s="382">
        <f t="shared" si="30"/>
        <v>0</v>
      </c>
      <c r="BV26" s="382">
        <f t="shared" si="30"/>
        <v>0</v>
      </c>
      <c r="BW26" s="382">
        <f t="shared" si="30"/>
        <v>0</v>
      </c>
      <c r="BX26" s="382">
        <f t="shared" si="30"/>
        <v>0</v>
      </c>
      <c r="BY26" s="382">
        <f t="shared" si="30"/>
        <v>0</v>
      </c>
      <c r="BZ26" s="382">
        <f t="shared" si="30"/>
        <v>0</v>
      </c>
      <c r="CA26" s="382">
        <f t="shared" si="30"/>
        <v>0</v>
      </c>
      <c r="CB26" s="311">
        <f t="shared" si="31"/>
        <v>0</v>
      </c>
      <c r="CC26" s="381">
        <f t="shared" si="12"/>
        <v>0</v>
      </c>
      <c r="CD26" s="382">
        <f t="shared" si="32"/>
        <v>0</v>
      </c>
      <c r="CE26" s="382">
        <f t="shared" si="32"/>
        <v>0</v>
      </c>
      <c r="CF26" s="382">
        <f t="shared" si="32"/>
        <v>0</v>
      </c>
      <c r="CG26" s="382">
        <f t="shared" si="32"/>
        <v>0</v>
      </c>
      <c r="CH26" s="382">
        <f t="shared" si="32"/>
        <v>0</v>
      </c>
      <c r="CI26" s="382">
        <f t="shared" si="32"/>
        <v>0</v>
      </c>
      <c r="CJ26" s="382">
        <f t="shared" si="32"/>
        <v>0</v>
      </c>
      <c r="CK26" s="382">
        <f t="shared" si="32"/>
        <v>0</v>
      </c>
      <c r="CL26" s="382">
        <f t="shared" si="32"/>
        <v>0</v>
      </c>
      <c r="CM26" s="382">
        <f t="shared" si="32"/>
        <v>0</v>
      </c>
      <c r="CN26" s="382">
        <f t="shared" si="32"/>
        <v>0</v>
      </c>
      <c r="CO26" s="311">
        <f t="shared" si="33"/>
        <v>0</v>
      </c>
      <c r="CP26" s="381">
        <f t="shared" si="14"/>
        <v>0</v>
      </c>
      <c r="CQ26" s="382">
        <f t="shared" si="34"/>
        <v>0</v>
      </c>
      <c r="CR26" s="382">
        <f t="shared" si="34"/>
        <v>0</v>
      </c>
      <c r="CS26" s="382">
        <f t="shared" si="34"/>
        <v>0</v>
      </c>
      <c r="CT26" s="382">
        <f t="shared" si="34"/>
        <v>0</v>
      </c>
      <c r="CU26" s="382">
        <f t="shared" si="34"/>
        <v>0</v>
      </c>
      <c r="CV26" s="382">
        <f t="shared" si="34"/>
        <v>0</v>
      </c>
      <c r="CW26" s="382">
        <f t="shared" si="34"/>
        <v>0</v>
      </c>
      <c r="CX26" s="382">
        <f t="shared" si="34"/>
        <v>0</v>
      </c>
      <c r="CY26" s="382">
        <f t="shared" si="34"/>
        <v>0</v>
      </c>
      <c r="CZ26" s="382">
        <f t="shared" si="34"/>
        <v>0</v>
      </c>
      <c r="DA26" s="382">
        <f t="shared" si="34"/>
        <v>0</v>
      </c>
      <c r="DB26" s="295">
        <f t="shared" si="35"/>
        <v>0</v>
      </c>
      <c r="DD26" s="378">
        <f t="shared" si="16"/>
        <v>0</v>
      </c>
      <c r="DE26" s="379">
        <f t="shared" si="17"/>
        <v>0</v>
      </c>
      <c r="DF26" s="379">
        <f t="shared" si="18"/>
        <v>0</v>
      </c>
      <c r="DG26" s="379">
        <f t="shared" si="19"/>
        <v>0</v>
      </c>
      <c r="DH26" s="379">
        <f t="shared" si="20"/>
        <v>0</v>
      </c>
      <c r="DI26" s="379">
        <f t="shared" si="40"/>
        <v>0</v>
      </c>
      <c r="DJ26" s="380">
        <f t="shared" si="41"/>
        <v>0</v>
      </c>
    </row>
    <row r="27" spans="2:114" ht="15.75" thickBot="1">
      <c r="B27" s="391"/>
      <c r="C27" s="392"/>
      <c r="D27" s="393"/>
      <c r="E27" s="394"/>
      <c r="F27" s="307"/>
      <c r="G27" s="308"/>
      <c r="H27" s="309"/>
      <c r="I27" s="294">
        <f t="shared" si="21"/>
        <v>0</v>
      </c>
      <c r="J27" s="310"/>
      <c r="K27" s="310"/>
      <c r="L27" s="32" t="str">
        <f t="shared" si="0"/>
        <v xml:space="preserve"> </v>
      </c>
      <c r="M27" s="312" t="str">
        <f t="shared" si="38"/>
        <v xml:space="preserve"> </v>
      </c>
      <c r="N27" s="2" t="str">
        <f t="shared" si="39"/>
        <v xml:space="preserve"> </v>
      </c>
      <c r="O27" s="274"/>
      <c r="P27" s="385">
        <f t="shared" si="22"/>
        <v>0</v>
      </c>
      <c r="Q27" s="386">
        <f t="shared" si="3"/>
        <v>0</v>
      </c>
      <c r="R27" s="386">
        <f t="shared" si="3"/>
        <v>0</v>
      </c>
      <c r="S27" s="386">
        <f t="shared" si="3"/>
        <v>0</v>
      </c>
      <c r="T27" s="386">
        <f t="shared" si="3"/>
        <v>0</v>
      </c>
      <c r="U27" s="386">
        <f t="shared" si="3"/>
        <v>0</v>
      </c>
      <c r="V27" s="386">
        <f t="shared" si="3"/>
        <v>0</v>
      </c>
      <c r="W27" s="386">
        <f t="shared" si="3"/>
        <v>0</v>
      </c>
      <c r="X27" s="386">
        <f t="shared" si="3"/>
        <v>0</v>
      </c>
      <c r="Y27" s="386">
        <f t="shared" si="3"/>
        <v>0</v>
      </c>
      <c r="Z27" s="386">
        <f t="shared" si="3"/>
        <v>0</v>
      </c>
      <c r="AA27" s="386">
        <f t="shared" si="3"/>
        <v>0</v>
      </c>
      <c r="AB27" s="387">
        <f t="shared" si="23"/>
        <v>0</v>
      </c>
      <c r="AC27" s="388">
        <f t="shared" si="4"/>
        <v>0</v>
      </c>
      <c r="AD27" s="386">
        <f t="shared" si="24"/>
        <v>0</v>
      </c>
      <c r="AE27" s="386">
        <f t="shared" si="24"/>
        <v>0</v>
      </c>
      <c r="AF27" s="386">
        <f t="shared" si="24"/>
        <v>0</v>
      </c>
      <c r="AG27" s="386">
        <f t="shared" si="24"/>
        <v>0</v>
      </c>
      <c r="AH27" s="386">
        <f t="shared" si="24"/>
        <v>0</v>
      </c>
      <c r="AI27" s="386">
        <f t="shared" si="24"/>
        <v>0</v>
      </c>
      <c r="AJ27" s="386">
        <f t="shared" si="24"/>
        <v>0</v>
      </c>
      <c r="AK27" s="386">
        <f t="shared" si="24"/>
        <v>0</v>
      </c>
      <c r="AL27" s="386">
        <f t="shared" si="24"/>
        <v>0</v>
      </c>
      <c r="AM27" s="386">
        <f t="shared" si="24"/>
        <v>0</v>
      </c>
      <c r="AN27" s="386">
        <f t="shared" si="24"/>
        <v>0</v>
      </c>
      <c r="AO27" s="387">
        <f t="shared" si="25"/>
        <v>0</v>
      </c>
      <c r="AP27" s="388">
        <f t="shared" si="6"/>
        <v>0</v>
      </c>
      <c r="AQ27" s="386">
        <f t="shared" si="26"/>
        <v>0</v>
      </c>
      <c r="AR27" s="386">
        <f t="shared" si="26"/>
        <v>0</v>
      </c>
      <c r="AS27" s="386">
        <f t="shared" si="26"/>
        <v>0</v>
      </c>
      <c r="AT27" s="386">
        <f t="shared" si="26"/>
        <v>0</v>
      </c>
      <c r="AU27" s="386">
        <f t="shared" si="26"/>
        <v>0</v>
      </c>
      <c r="AV27" s="386">
        <f t="shared" si="26"/>
        <v>0</v>
      </c>
      <c r="AW27" s="386">
        <f t="shared" si="26"/>
        <v>0</v>
      </c>
      <c r="AX27" s="386">
        <f t="shared" si="26"/>
        <v>0</v>
      </c>
      <c r="AY27" s="386">
        <f t="shared" si="26"/>
        <v>0</v>
      </c>
      <c r="AZ27" s="386">
        <f t="shared" si="26"/>
        <v>0</v>
      </c>
      <c r="BA27" s="386">
        <f t="shared" si="26"/>
        <v>0</v>
      </c>
      <c r="BB27" s="387">
        <f t="shared" si="27"/>
        <v>0</v>
      </c>
      <c r="BC27" s="388">
        <f t="shared" si="8"/>
        <v>0</v>
      </c>
      <c r="BD27" s="386">
        <f t="shared" si="28"/>
        <v>0</v>
      </c>
      <c r="BE27" s="386">
        <f t="shared" si="28"/>
        <v>0</v>
      </c>
      <c r="BF27" s="386">
        <f t="shared" si="28"/>
        <v>0</v>
      </c>
      <c r="BG27" s="386">
        <f t="shared" si="28"/>
        <v>0</v>
      </c>
      <c r="BH27" s="386">
        <f t="shared" si="28"/>
        <v>0</v>
      </c>
      <c r="BI27" s="386">
        <f t="shared" si="28"/>
        <v>0</v>
      </c>
      <c r="BJ27" s="386">
        <f t="shared" si="28"/>
        <v>0</v>
      </c>
      <c r="BK27" s="386">
        <f t="shared" si="28"/>
        <v>0</v>
      </c>
      <c r="BL27" s="386">
        <f t="shared" si="28"/>
        <v>0</v>
      </c>
      <c r="BM27" s="386">
        <f t="shared" si="28"/>
        <v>0</v>
      </c>
      <c r="BN27" s="386">
        <f t="shared" si="28"/>
        <v>0</v>
      </c>
      <c r="BO27" s="387">
        <f t="shared" si="29"/>
        <v>0</v>
      </c>
      <c r="BP27" s="388">
        <f t="shared" si="10"/>
        <v>0</v>
      </c>
      <c r="BQ27" s="386">
        <f t="shared" si="30"/>
        <v>0</v>
      </c>
      <c r="BR27" s="386">
        <f t="shared" si="30"/>
        <v>0</v>
      </c>
      <c r="BS27" s="386">
        <f t="shared" si="30"/>
        <v>0</v>
      </c>
      <c r="BT27" s="386">
        <f t="shared" si="30"/>
        <v>0</v>
      </c>
      <c r="BU27" s="386">
        <f t="shared" si="30"/>
        <v>0</v>
      </c>
      <c r="BV27" s="386">
        <f t="shared" si="30"/>
        <v>0</v>
      </c>
      <c r="BW27" s="386">
        <f t="shared" si="30"/>
        <v>0</v>
      </c>
      <c r="BX27" s="386">
        <f t="shared" si="30"/>
        <v>0</v>
      </c>
      <c r="BY27" s="386">
        <f t="shared" si="30"/>
        <v>0</v>
      </c>
      <c r="BZ27" s="386">
        <f t="shared" si="30"/>
        <v>0</v>
      </c>
      <c r="CA27" s="386">
        <f t="shared" si="30"/>
        <v>0</v>
      </c>
      <c r="CB27" s="387">
        <f t="shared" si="31"/>
        <v>0</v>
      </c>
      <c r="CC27" s="388">
        <f t="shared" si="12"/>
        <v>0</v>
      </c>
      <c r="CD27" s="386">
        <f t="shared" si="32"/>
        <v>0</v>
      </c>
      <c r="CE27" s="386">
        <f t="shared" si="32"/>
        <v>0</v>
      </c>
      <c r="CF27" s="386">
        <f t="shared" si="32"/>
        <v>0</v>
      </c>
      <c r="CG27" s="386">
        <f t="shared" si="32"/>
        <v>0</v>
      </c>
      <c r="CH27" s="386">
        <f t="shared" si="32"/>
        <v>0</v>
      </c>
      <c r="CI27" s="386">
        <f t="shared" si="32"/>
        <v>0</v>
      </c>
      <c r="CJ27" s="386">
        <f t="shared" si="32"/>
        <v>0</v>
      </c>
      <c r="CK27" s="386">
        <f t="shared" si="32"/>
        <v>0</v>
      </c>
      <c r="CL27" s="386">
        <f t="shared" si="32"/>
        <v>0</v>
      </c>
      <c r="CM27" s="386">
        <f t="shared" si="32"/>
        <v>0</v>
      </c>
      <c r="CN27" s="386">
        <f t="shared" si="32"/>
        <v>0</v>
      </c>
      <c r="CO27" s="387">
        <f t="shared" si="33"/>
        <v>0</v>
      </c>
      <c r="CP27" s="388">
        <f t="shared" si="14"/>
        <v>0</v>
      </c>
      <c r="CQ27" s="386">
        <f t="shared" si="34"/>
        <v>0</v>
      </c>
      <c r="CR27" s="386">
        <f t="shared" si="34"/>
        <v>0</v>
      </c>
      <c r="CS27" s="386">
        <f t="shared" si="34"/>
        <v>0</v>
      </c>
      <c r="CT27" s="386">
        <f t="shared" si="34"/>
        <v>0</v>
      </c>
      <c r="CU27" s="386">
        <f t="shared" si="34"/>
        <v>0</v>
      </c>
      <c r="CV27" s="386">
        <f t="shared" si="34"/>
        <v>0</v>
      </c>
      <c r="CW27" s="386">
        <f t="shared" si="34"/>
        <v>0</v>
      </c>
      <c r="CX27" s="386">
        <f t="shared" si="34"/>
        <v>0</v>
      </c>
      <c r="CY27" s="386">
        <f t="shared" si="34"/>
        <v>0</v>
      </c>
      <c r="CZ27" s="386">
        <f t="shared" si="34"/>
        <v>0</v>
      </c>
      <c r="DA27" s="386">
        <f t="shared" si="34"/>
        <v>0</v>
      </c>
      <c r="DB27" s="296">
        <f t="shared" si="35"/>
        <v>0</v>
      </c>
      <c r="DD27" s="378">
        <f t="shared" si="16"/>
        <v>0</v>
      </c>
      <c r="DE27" s="379">
        <f t="shared" si="17"/>
        <v>0</v>
      </c>
      <c r="DF27" s="379">
        <f t="shared" si="18"/>
        <v>0</v>
      </c>
      <c r="DG27" s="379">
        <f t="shared" si="19"/>
        <v>0</v>
      </c>
      <c r="DH27" s="379">
        <f t="shared" si="20"/>
        <v>0</v>
      </c>
      <c r="DI27" s="379">
        <f t="shared" si="40"/>
        <v>0</v>
      </c>
      <c r="DJ27" s="380">
        <f t="shared" si="41"/>
        <v>0</v>
      </c>
    </row>
    <row r="28" spans="2:114" ht="15.75" thickBot="1">
      <c r="B28" s="47">
        <f>SUMIF(B11:B27,"y",I11:I27)</f>
        <v>1</v>
      </c>
      <c r="C28" s="47">
        <f>SUMIF(C11:C27,"y",I11:I27)</f>
        <v>0.72727272727272729</v>
      </c>
      <c r="D28" s="47">
        <f>SUMIF(D11:D27,"y",I11:I27)</f>
        <v>1</v>
      </c>
      <c r="F28" s="297" t="s">
        <v>157</v>
      </c>
      <c r="G28" s="91"/>
      <c r="H28" s="298">
        <f>SUM(H11:H27)</f>
        <v>5500</v>
      </c>
      <c r="I28" s="313">
        <f>SUM(I11:I17)</f>
        <v>1</v>
      </c>
      <c r="J28" s="242"/>
      <c r="K28" s="242"/>
      <c r="L28" s="243"/>
      <c r="M28" s="243">
        <f>SUM(M11:M20)</f>
        <v>324000</v>
      </c>
      <c r="N28" s="243">
        <f>SUM(N11:N20)</f>
        <v>27000</v>
      </c>
      <c r="O28" s="274"/>
      <c r="P28" s="314">
        <f t="shared" ref="P28:AA28" si="42">AVERAGEIF(P11:P18,"&gt;0")</f>
        <v>61.333333333333336</v>
      </c>
      <c r="Q28" s="314">
        <f t="shared" si="42"/>
        <v>61.333333333333336</v>
      </c>
      <c r="R28" s="314">
        <f t="shared" si="42"/>
        <v>61.333333333333336</v>
      </c>
      <c r="S28" s="314">
        <f t="shared" si="42"/>
        <v>61.333333333333336</v>
      </c>
      <c r="T28" s="314">
        <f t="shared" si="42"/>
        <v>61.333333333333336</v>
      </c>
      <c r="U28" s="314">
        <f t="shared" si="42"/>
        <v>61.333333333333336</v>
      </c>
      <c r="V28" s="314">
        <f t="shared" si="42"/>
        <v>61.333333333333336</v>
      </c>
      <c r="W28" s="314">
        <f t="shared" si="42"/>
        <v>61.333333333333336</v>
      </c>
      <c r="X28" s="314">
        <f t="shared" si="42"/>
        <v>61.333333333333336</v>
      </c>
      <c r="Y28" s="314">
        <f t="shared" si="42"/>
        <v>61.333333333333336</v>
      </c>
      <c r="Z28" s="314">
        <f t="shared" si="42"/>
        <v>61.333333333333336</v>
      </c>
      <c r="AA28" s="314">
        <f t="shared" si="42"/>
        <v>61.333333333333336</v>
      </c>
      <c r="AB28" s="314">
        <f t="shared" ref="AB28:BG28" si="43">AVERAGEIF(AB11:AB18,"&gt;0")</f>
        <v>61.333333333333336</v>
      </c>
      <c r="AC28" s="314">
        <f t="shared" si="43"/>
        <v>61.333333333333336</v>
      </c>
      <c r="AD28" s="314">
        <f t="shared" si="43"/>
        <v>61.333333333333336</v>
      </c>
      <c r="AE28" s="314">
        <f t="shared" si="43"/>
        <v>61.333333333333336</v>
      </c>
      <c r="AF28" s="314">
        <f t="shared" si="43"/>
        <v>61.333333333333336</v>
      </c>
      <c r="AG28" s="314">
        <f t="shared" si="43"/>
        <v>61.333333333333336</v>
      </c>
      <c r="AH28" s="314">
        <f t="shared" si="43"/>
        <v>61.333333333333336</v>
      </c>
      <c r="AI28" s="314">
        <f t="shared" si="43"/>
        <v>61.333333333333336</v>
      </c>
      <c r="AJ28" s="314">
        <f t="shared" si="43"/>
        <v>61.333333333333336</v>
      </c>
      <c r="AK28" s="314">
        <f t="shared" si="43"/>
        <v>61.333333333333336</v>
      </c>
      <c r="AL28" s="314">
        <f t="shared" si="43"/>
        <v>61.333333333333336</v>
      </c>
      <c r="AM28" s="314">
        <f t="shared" si="43"/>
        <v>61.333333333333336</v>
      </c>
      <c r="AN28" s="314">
        <f t="shared" si="43"/>
        <v>61.333333333333336</v>
      </c>
      <c r="AO28" s="314">
        <f t="shared" si="43"/>
        <v>61.333333333333336</v>
      </c>
      <c r="AP28" s="314">
        <f t="shared" si="43"/>
        <v>61.333333333333336</v>
      </c>
      <c r="AQ28" s="314">
        <f t="shared" si="43"/>
        <v>61.333333333333336</v>
      </c>
      <c r="AR28" s="314">
        <f t="shared" si="43"/>
        <v>61.333333333333336</v>
      </c>
      <c r="AS28" s="314">
        <f t="shared" si="43"/>
        <v>61.333333333333336</v>
      </c>
      <c r="AT28" s="314">
        <f t="shared" si="43"/>
        <v>61.333333333333336</v>
      </c>
      <c r="AU28" s="314">
        <f t="shared" si="43"/>
        <v>61.333333333333336</v>
      </c>
      <c r="AV28" s="314">
        <f t="shared" si="43"/>
        <v>61.333333333333336</v>
      </c>
      <c r="AW28" s="314">
        <f t="shared" si="43"/>
        <v>61.333333333333336</v>
      </c>
      <c r="AX28" s="314">
        <f t="shared" si="43"/>
        <v>61.333333333333336</v>
      </c>
      <c r="AY28" s="314">
        <f t="shared" si="43"/>
        <v>61.333333333333336</v>
      </c>
      <c r="AZ28" s="314">
        <f t="shared" si="43"/>
        <v>61.333333333333336</v>
      </c>
      <c r="BA28" s="314">
        <f t="shared" si="43"/>
        <v>61.333333333333336</v>
      </c>
      <c r="BB28" s="314">
        <f t="shared" si="43"/>
        <v>61.333333333333336</v>
      </c>
      <c r="BC28" s="314">
        <f t="shared" si="43"/>
        <v>61.333333333333336</v>
      </c>
      <c r="BD28" s="314">
        <f t="shared" si="43"/>
        <v>61.333333333333336</v>
      </c>
      <c r="BE28" s="314">
        <f t="shared" si="43"/>
        <v>61.333333333333336</v>
      </c>
      <c r="BF28" s="314">
        <f t="shared" si="43"/>
        <v>61.333333333333336</v>
      </c>
      <c r="BG28" s="314">
        <f t="shared" si="43"/>
        <v>61.333333333333336</v>
      </c>
      <c r="BH28" s="314">
        <f t="shared" ref="BH28:CM28" si="44">AVERAGEIF(BH11:BH18,"&gt;0")</f>
        <v>61.333333333333336</v>
      </c>
      <c r="BI28" s="314">
        <f t="shared" si="44"/>
        <v>61.333333333333336</v>
      </c>
      <c r="BJ28" s="314">
        <f t="shared" si="44"/>
        <v>61.333333333333336</v>
      </c>
      <c r="BK28" s="314">
        <f t="shared" si="44"/>
        <v>61.333333333333336</v>
      </c>
      <c r="BL28" s="314">
        <f t="shared" si="44"/>
        <v>61.333333333333336</v>
      </c>
      <c r="BM28" s="314">
        <f t="shared" si="44"/>
        <v>61.333333333333336</v>
      </c>
      <c r="BN28" s="314">
        <f t="shared" si="44"/>
        <v>61.333333333333336</v>
      </c>
      <c r="BO28" s="314">
        <f t="shared" si="44"/>
        <v>61.333333333333336</v>
      </c>
      <c r="BP28" s="314">
        <f t="shared" si="44"/>
        <v>61.333333333333336</v>
      </c>
      <c r="BQ28" s="314">
        <f t="shared" si="44"/>
        <v>61.333333333333336</v>
      </c>
      <c r="BR28" s="314">
        <f t="shared" si="44"/>
        <v>61.333333333333336</v>
      </c>
      <c r="BS28" s="314">
        <f t="shared" si="44"/>
        <v>61.333333333333336</v>
      </c>
      <c r="BT28" s="314">
        <f t="shared" si="44"/>
        <v>61.333333333333336</v>
      </c>
      <c r="BU28" s="314">
        <f t="shared" si="44"/>
        <v>61.333333333333336</v>
      </c>
      <c r="BV28" s="314">
        <f t="shared" si="44"/>
        <v>61.333333333333336</v>
      </c>
      <c r="BW28" s="314">
        <f t="shared" si="44"/>
        <v>61.333333333333336</v>
      </c>
      <c r="BX28" s="314">
        <f t="shared" si="44"/>
        <v>61.333333333333336</v>
      </c>
      <c r="BY28" s="314">
        <f t="shared" si="44"/>
        <v>61.333333333333336</v>
      </c>
      <c r="BZ28" s="314">
        <f t="shared" si="44"/>
        <v>61.333333333333336</v>
      </c>
      <c r="CA28" s="314">
        <f t="shared" si="44"/>
        <v>61.333333333333336</v>
      </c>
      <c r="CB28" s="314">
        <f t="shared" si="44"/>
        <v>61.333333333333336</v>
      </c>
      <c r="CC28" s="314">
        <f t="shared" si="44"/>
        <v>61.333333333333336</v>
      </c>
      <c r="CD28" s="314">
        <f t="shared" si="44"/>
        <v>61.333333333333336</v>
      </c>
      <c r="CE28" s="314">
        <f t="shared" si="44"/>
        <v>61.333333333333336</v>
      </c>
      <c r="CF28" s="314">
        <f t="shared" si="44"/>
        <v>61.333333333333336</v>
      </c>
      <c r="CG28" s="314">
        <f t="shared" si="44"/>
        <v>61.333333333333336</v>
      </c>
      <c r="CH28" s="314">
        <f t="shared" si="44"/>
        <v>61.333333333333336</v>
      </c>
      <c r="CI28" s="314">
        <f t="shared" si="44"/>
        <v>61.333333333333336</v>
      </c>
      <c r="CJ28" s="314">
        <f t="shared" si="44"/>
        <v>61.333333333333336</v>
      </c>
      <c r="CK28" s="314">
        <f t="shared" si="44"/>
        <v>61.333333333333336</v>
      </c>
      <c r="CL28" s="314">
        <f t="shared" si="44"/>
        <v>61.333333333333336</v>
      </c>
      <c r="CM28" s="314">
        <f t="shared" si="44"/>
        <v>61.333333333333336</v>
      </c>
      <c r="CN28" s="314">
        <f t="shared" ref="CN28:DB28" si="45">AVERAGEIF(CN11:CN18,"&gt;0")</f>
        <v>61.333333333333336</v>
      </c>
      <c r="CO28" s="314">
        <f t="shared" si="45"/>
        <v>61.333333333333336</v>
      </c>
      <c r="CP28" s="314">
        <f t="shared" si="45"/>
        <v>61.333333333333336</v>
      </c>
      <c r="CQ28" s="314">
        <f t="shared" si="45"/>
        <v>61.333333333333336</v>
      </c>
      <c r="CR28" s="314">
        <f t="shared" si="45"/>
        <v>61.333333333333336</v>
      </c>
      <c r="CS28" s="314">
        <f t="shared" si="45"/>
        <v>61.333333333333336</v>
      </c>
      <c r="CT28" s="314">
        <f t="shared" si="45"/>
        <v>61.333333333333336</v>
      </c>
      <c r="CU28" s="314">
        <f t="shared" si="45"/>
        <v>61.333333333333336</v>
      </c>
      <c r="CV28" s="314">
        <f t="shared" si="45"/>
        <v>61.333333333333336</v>
      </c>
      <c r="CW28" s="314">
        <f t="shared" si="45"/>
        <v>61.333333333333336</v>
      </c>
      <c r="CX28" s="314">
        <f t="shared" si="45"/>
        <v>61.333333333333336</v>
      </c>
      <c r="CY28" s="314">
        <f t="shared" si="45"/>
        <v>61.333333333333336</v>
      </c>
      <c r="CZ28" s="314">
        <f t="shared" si="45"/>
        <v>61.333333333333336</v>
      </c>
      <c r="DA28" s="314">
        <f t="shared" si="45"/>
        <v>61.333333333333336</v>
      </c>
      <c r="DB28" s="374">
        <f t="shared" si="45"/>
        <v>61.333333333333336</v>
      </c>
      <c r="DD28" s="299">
        <f>SUM(DD11:DD27)</f>
        <v>324000</v>
      </c>
      <c r="DE28" s="117">
        <f t="shared" ref="DE28:DJ28" si="46">SUM(DE11:DE27)</f>
        <v>324000</v>
      </c>
      <c r="DF28" s="117">
        <f t="shared" si="46"/>
        <v>324000</v>
      </c>
      <c r="DG28" s="117">
        <f t="shared" si="46"/>
        <v>324000</v>
      </c>
      <c r="DH28" s="117">
        <f t="shared" si="46"/>
        <v>324000</v>
      </c>
      <c r="DI28" s="117">
        <f t="shared" si="46"/>
        <v>324000</v>
      </c>
      <c r="DJ28" s="30">
        <f t="shared" si="46"/>
        <v>324000</v>
      </c>
    </row>
    <row r="29" spans="2:114" ht="15" customHeight="1" thickBot="1">
      <c r="H29" s="315"/>
      <c r="I29" s="316"/>
      <c r="J29" s="317"/>
      <c r="K29" s="317"/>
      <c r="L29" s="318"/>
      <c r="M29" s="318"/>
      <c r="N29" s="318"/>
      <c r="DB29" s="312"/>
      <c r="DD29" s="97"/>
      <c r="DE29" s="97"/>
      <c r="DF29" s="97"/>
      <c r="DG29" s="97"/>
      <c r="DH29" s="97"/>
      <c r="DI29" s="97"/>
      <c r="DJ29" s="97"/>
    </row>
    <row r="30" spans="2:114" ht="15.75" thickBot="1">
      <c r="F30" s="416" t="s">
        <v>230</v>
      </c>
      <c r="G30" s="438"/>
      <c r="H30" s="438"/>
      <c r="I30" s="438"/>
      <c r="J30" s="438"/>
      <c r="K30" s="438"/>
      <c r="L30" s="417"/>
      <c r="N30" s="20"/>
      <c r="DC30" s="97"/>
      <c r="DD30" s="97"/>
      <c r="DE30" s="97"/>
      <c r="DF30" s="97"/>
      <c r="DG30" s="97"/>
      <c r="DH30" s="97"/>
      <c r="DI30" s="97"/>
    </row>
    <row r="31" spans="2:114">
      <c r="F31" s="358" t="s">
        <v>231</v>
      </c>
      <c r="G31" s="359">
        <v>2027</v>
      </c>
      <c r="H31" s="359">
        <v>2028</v>
      </c>
      <c r="I31" s="359">
        <v>2029</v>
      </c>
      <c r="J31" s="359">
        <v>2030</v>
      </c>
      <c r="K31" s="359">
        <v>2031</v>
      </c>
      <c r="L31" s="360">
        <v>2032</v>
      </c>
    </row>
    <row r="32" spans="2:114">
      <c r="F32" s="337" t="s">
        <v>229</v>
      </c>
      <c r="G32" s="362"/>
      <c r="H32" s="395"/>
      <c r="I32" s="395"/>
      <c r="J32" s="395"/>
      <c r="K32" s="395"/>
      <c r="L32" s="396"/>
    </row>
    <row r="33" spans="6:12" ht="15.75" thickBot="1">
      <c r="F33" s="361" t="s">
        <v>130</v>
      </c>
      <c r="G33" s="397"/>
      <c r="H33" s="397"/>
      <c r="I33" s="397"/>
      <c r="J33" s="397"/>
      <c r="K33" s="397"/>
      <c r="L33" s="398"/>
    </row>
    <row r="34" spans="6:12" ht="15.75" thickBot="1">
      <c r="F34" s="235" t="s">
        <v>40</v>
      </c>
      <c r="G34" s="363">
        <f>SUM(G32:G33)</f>
        <v>0</v>
      </c>
      <c r="H34" s="124">
        <f t="shared" ref="H34:L34" si="47">SUM(H32:H33)</f>
        <v>0</v>
      </c>
      <c r="I34" s="124">
        <f t="shared" si="47"/>
        <v>0</v>
      </c>
      <c r="J34" s="124">
        <f t="shared" si="47"/>
        <v>0</v>
      </c>
      <c r="K34" s="124">
        <f t="shared" si="47"/>
        <v>0</v>
      </c>
      <c r="L34" s="125">
        <f t="shared" si="47"/>
        <v>0</v>
      </c>
    </row>
  </sheetData>
  <sheetProtection sheet="1" objects="1" scenarios="1" formatCells="0" sort="0" autoFilter="0" pivotTables="0"/>
  <mergeCells count="3">
    <mergeCell ref="F8:N8"/>
    <mergeCell ref="B9:D9"/>
    <mergeCell ref="F30:L30"/>
  </mergeCells>
  <phoneticPr fontId="21" type="noConversion"/>
  <pageMargins left="0.7" right="0.7" top="0.75" bottom="0.75" header="0.3" footer="0.3"/>
  <ignoredErrors>
    <ignoredError sqref="L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5">
    <tabColor rgb="FFB4C4C1"/>
  </sheetPr>
  <dimension ref="C1:L55"/>
  <sheetViews>
    <sheetView showGridLines="0" topLeftCell="A33" zoomScaleNormal="100" workbookViewId="0">
      <selection activeCell="J26" sqref="J26"/>
    </sheetView>
  </sheetViews>
  <sheetFormatPr defaultColWidth="8.85546875" defaultRowHeight="15"/>
  <cols>
    <col min="3" max="3" width="24.7109375" bestFit="1" customWidth="1"/>
    <col min="4" max="4" width="14.85546875" bestFit="1" customWidth="1"/>
    <col min="5" max="5" width="14.85546875" customWidth="1"/>
    <col min="6" max="8" width="13.7109375" bestFit="1" customWidth="1"/>
    <col min="9" max="9" width="14.7109375" bestFit="1" customWidth="1"/>
    <col min="10" max="10" width="14.28515625" bestFit="1" customWidth="1"/>
    <col min="11" max="11" width="15.28515625" bestFit="1" customWidth="1"/>
  </cols>
  <sheetData>
    <row r="1" spans="3:8">
      <c r="C1" s="55"/>
      <c r="D1" s="55"/>
      <c r="E1" s="55"/>
    </row>
    <row r="2" spans="3:8" ht="15.75" thickBot="1"/>
    <row r="3" spans="3:8">
      <c r="C3" s="427" t="s">
        <v>99</v>
      </c>
      <c r="D3" s="457"/>
      <c r="E3" s="457"/>
      <c r="F3" s="428"/>
    </row>
    <row r="4" spans="3:8" ht="15.75" thickBot="1">
      <c r="C4" s="165"/>
      <c r="D4" s="174" t="s">
        <v>102</v>
      </c>
      <c r="E4" s="174" t="s">
        <v>97</v>
      </c>
      <c r="F4" s="166" t="s">
        <v>98</v>
      </c>
    </row>
    <row r="5" spans="3:8">
      <c r="C5" s="175"/>
      <c r="D5" s="176">
        <f>+'Deal Summary'!$T$10</f>
        <v>46023</v>
      </c>
      <c r="E5" s="176">
        <v>46387</v>
      </c>
      <c r="F5" s="177">
        <f>+F14</f>
        <v>47118</v>
      </c>
      <c r="G5" s="193" t="s">
        <v>70</v>
      </c>
    </row>
    <row r="6" spans="3:8">
      <c r="C6" s="36" t="s">
        <v>71</v>
      </c>
      <c r="D6" s="14">
        <f>-'Deal Summary'!G36</f>
        <v>-741746.44335999992</v>
      </c>
      <c r="E6" s="14"/>
      <c r="F6" s="8"/>
      <c r="G6" s="10"/>
    </row>
    <row r="7" spans="3:8">
      <c r="C7" s="36" t="s">
        <v>72</v>
      </c>
      <c r="D7" s="14"/>
      <c r="E7" s="14"/>
      <c r="F7" s="8">
        <f>-D6</f>
        <v>741746.44335999992</v>
      </c>
      <c r="G7" s="10"/>
    </row>
    <row r="8" spans="3:8">
      <c r="C8" s="36" t="s">
        <v>73</v>
      </c>
      <c r="D8" s="14"/>
      <c r="E8" s="14">
        <f>+E17</f>
        <v>91549.423535887239</v>
      </c>
      <c r="F8" s="8">
        <f t="shared" ref="F8" si="0">+F17</f>
        <v>75072.440723830892</v>
      </c>
      <c r="G8" s="10"/>
    </row>
    <row r="9" spans="3:8">
      <c r="C9" s="45" t="s">
        <v>74</v>
      </c>
      <c r="D9" s="122"/>
      <c r="E9" s="122"/>
      <c r="F9" s="19">
        <f>Proforma!G50</f>
        <v>919714.9806334204</v>
      </c>
      <c r="G9" s="161"/>
    </row>
    <row r="10" spans="3:8" ht="15.75" thickBot="1">
      <c r="C10" s="123" t="s">
        <v>75</v>
      </c>
      <c r="D10" s="124">
        <f t="shared" ref="D10:E10" si="1">SUM(D6:D9)</f>
        <v>-741746.44335999992</v>
      </c>
      <c r="E10" s="124">
        <f t="shared" si="1"/>
        <v>91549.423535887239</v>
      </c>
      <c r="F10" s="162">
        <f>SUM(F7:F9)</f>
        <v>1736533.8647172512</v>
      </c>
      <c r="G10" s="194">
        <f>XIRR(D10:F10,D5:F5,0)</f>
        <v>0.37031056152343755</v>
      </c>
    </row>
    <row r="11" spans="3:8" ht="15.75" thickBot="1"/>
    <row r="12" spans="3:8">
      <c r="C12" s="427" t="s">
        <v>100</v>
      </c>
      <c r="D12" s="457"/>
      <c r="E12" s="457"/>
      <c r="F12" s="457"/>
      <c r="G12" s="428"/>
    </row>
    <row r="13" spans="3:8" ht="15.75" thickBot="1">
      <c r="C13" s="165"/>
      <c r="D13" s="174" t="s">
        <v>102</v>
      </c>
      <c r="E13" s="174" t="s">
        <v>97</v>
      </c>
      <c r="F13" s="174" t="s">
        <v>98</v>
      </c>
      <c r="G13" s="166" t="s">
        <v>101</v>
      </c>
    </row>
    <row r="14" spans="3:8">
      <c r="C14" s="175"/>
      <c r="D14" s="176">
        <f>+'Deal Summary'!$T$10</f>
        <v>46023</v>
      </c>
      <c r="E14" s="176">
        <v>46387</v>
      </c>
      <c r="F14" s="176">
        <f t="shared" ref="F14:G14" si="2">+F23</f>
        <v>47118</v>
      </c>
      <c r="G14" s="177">
        <f t="shared" si="2"/>
        <v>47483</v>
      </c>
      <c r="H14" s="193" t="s">
        <v>70</v>
      </c>
    </row>
    <row r="15" spans="3:8">
      <c r="C15" s="35" t="s">
        <v>71</v>
      </c>
      <c r="D15" s="14">
        <f>D6</f>
        <v>-741746.44335999992</v>
      </c>
      <c r="E15" s="14"/>
      <c r="F15" s="14"/>
      <c r="G15" s="8"/>
      <c r="H15" s="10"/>
    </row>
    <row r="16" spans="3:8">
      <c r="C16" s="36" t="s">
        <v>72</v>
      </c>
      <c r="D16" s="14"/>
      <c r="E16" s="14"/>
      <c r="F16" s="14"/>
      <c r="G16" s="8">
        <f>-D15</f>
        <v>741746.44335999992</v>
      </c>
      <c r="H16" s="10"/>
    </row>
    <row r="17" spans="3:10">
      <c r="C17" s="36" t="s">
        <v>73</v>
      </c>
      <c r="D17" s="14"/>
      <c r="E17" s="14">
        <f>+E26</f>
        <v>91549.423535887239</v>
      </c>
      <c r="F17" s="14">
        <f t="shared" ref="F17:G17" si="3">+F26</f>
        <v>75072.440723830892</v>
      </c>
      <c r="G17" s="8">
        <f t="shared" si="3"/>
        <v>75072.440723830892</v>
      </c>
      <c r="H17" s="10"/>
    </row>
    <row r="18" spans="3:10">
      <c r="C18" s="45" t="s">
        <v>74</v>
      </c>
      <c r="D18" s="122"/>
      <c r="E18" s="122"/>
      <c r="F18" s="122"/>
      <c r="G18" s="19">
        <f>Proforma!H50</f>
        <v>973858.9607642279</v>
      </c>
      <c r="H18" s="161"/>
    </row>
    <row r="19" spans="3:10" ht="15.75" thickBot="1">
      <c r="C19" s="123" t="s">
        <v>75</v>
      </c>
      <c r="D19" s="124">
        <f t="shared" ref="D19:F19" si="4">SUM(D15:D18)</f>
        <v>-741746.44335999992</v>
      </c>
      <c r="E19" s="124">
        <f t="shared" si="4"/>
        <v>91549.423535887239</v>
      </c>
      <c r="F19" s="124">
        <f t="shared" si="4"/>
        <v>75072.440723830892</v>
      </c>
      <c r="G19" s="125">
        <f>SUM(G15:G18)</f>
        <v>1790677.8448480587</v>
      </c>
      <c r="H19" s="194">
        <f>XIRR(D19:G19,D14:G14,0)</f>
        <v>0.29512906738281242</v>
      </c>
    </row>
    <row r="20" spans="3:10" ht="15.75" thickBot="1"/>
    <row r="21" spans="3:10">
      <c r="C21" s="427" t="s">
        <v>108</v>
      </c>
      <c r="D21" s="457"/>
      <c r="E21" s="457"/>
      <c r="F21" s="457"/>
      <c r="G21" s="457"/>
      <c r="H21" s="428"/>
    </row>
    <row r="22" spans="3:10" ht="15.75" thickBot="1">
      <c r="C22" s="165"/>
      <c r="D22" s="174" t="s">
        <v>102</v>
      </c>
      <c r="E22" s="174" t="s">
        <v>97</v>
      </c>
      <c r="F22" s="174" t="s">
        <v>98</v>
      </c>
      <c r="G22" s="174" t="s">
        <v>101</v>
      </c>
      <c r="H22" s="178" t="s">
        <v>109</v>
      </c>
    </row>
    <row r="23" spans="3:10">
      <c r="C23" s="175"/>
      <c r="D23" s="176">
        <f>+'Deal Summary'!$T$10</f>
        <v>46023</v>
      </c>
      <c r="E23" s="176">
        <v>46387</v>
      </c>
      <c r="F23" s="176">
        <v>47118</v>
      </c>
      <c r="G23" s="176">
        <v>47483</v>
      </c>
      <c r="H23" s="177">
        <v>47848</v>
      </c>
      <c r="I23" s="193" t="s">
        <v>70</v>
      </c>
    </row>
    <row r="24" spans="3:10">
      <c r="C24" s="35" t="s">
        <v>71</v>
      </c>
      <c r="D24" s="14">
        <f>D15</f>
        <v>-741746.44335999992</v>
      </c>
      <c r="E24" s="14"/>
      <c r="F24" s="14"/>
      <c r="G24" s="14"/>
      <c r="H24" s="8"/>
      <c r="I24" s="10"/>
    </row>
    <row r="25" spans="3:10">
      <c r="C25" s="36" t="s">
        <v>72</v>
      </c>
      <c r="D25" s="14"/>
      <c r="E25" s="14"/>
      <c r="F25" s="14"/>
      <c r="G25" s="14"/>
      <c r="H25" s="8">
        <f>-D24</f>
        <v>741746.44335999992</v>
      </c>
      <c r="I25" s="10"/>
    </row>
    <row r="26" spans="3:10">
      <c r="C26" s="36" t="s">
        <v>73</v>
      </c>
      <c r="D26" s="33"/>
      <c r="E26" s="33">
        <f>E35</f>
        <v>91549.423535887239</v>
      </c>
      <c r="F26" s="33">
        <f t="shared" ref="F26:H26" si="5">F35</f>
        <v>75072.440723830892</v>
      </c>
      <c r="G26" s="33">
        <f t="shared" si="5"/>
        <v>75072.440723830892</v>
      </c>
      <c r="H26" s="15">
        <f t="shared" si="5"/>
        <v>75072.440723830892</v>
      </c>
      <c r="I26" s="10"/>
    </row>
    <row r="27" spans="3:10">
      <c r="C27" s="45" t="s">
        <v>74</v>
      </c>
      <c r="D27" s="122"/>
      <c r="E27" s="122"/>
      <c r="F27" s="122"/>
      <c r="G27" s="122"/>
      <c r="H27" s="19">
        <f>Proforma!I50</f>
        <v>1031485.5799470595</v>
      </c>
      <c r="I27" s="161"/>
    </row>
    <row r="28" spans="3:10" ht="15.75" thickBot="1">
      <c r="C28" s="123" t="s">
        <v>75</v>
      </c>
      <c r="D28" s="124">
        <f t="shared" ref="D28:H28" si="6">SUM(D24:D27)</f>
        <v>-741746.44335999992</v>
      </c>
      <c r="E28" s="124">
        <f t="shared" si="6"/>
        <v>91549.423535887239</v>
      </c>
      <c r="F28" s="124">
        <f t="shared" si="6"/>
        <v>75072.440723830892</v>
      </c>
      <c r="G28" s="124">
        <f t="shared" si="6"/>
        <v>75072.440723830892</v>
      </c>
      <c r="H28" s="125">
        <f t="shared" si="6"/>
        <v>1848304.4640308903</v>
      </c>
      <c r="I28" s="194">
        <f>XIRR(D28:H28,D23:H23,0)</f>
        <v>0.25240019042968753</v>
      </c>
    </row>
    <row r="29" spans="3:10" ht="15.75" thickBot="1"/>
    <row r="30" spans="3:10">
      <c r="C30" s="427" t="s">
        <v>199</v>
      </c>
      <c r="D30" s="457"/>
      <c r="E30" s="457"/>
      <c r="F30" s="457"/>
      <c r="G30" s="457"/>
      <c r="H30" s="457"/>
      <c r="I30" s="428"/>
    </row>
    <row r="31" spans="3:10" ht="15.75" thickBot="1">
      <c r="C31" s="165"/>
      <c r="D31" s="174" t="s">
        <v>102</v>
      </c>
      <c r="E31" s="174" t="s">
        <v>97</v>
      </c>
      <c r="F31" s="174" t="s">
        <v>98</v>
      </c>
      <c r="G31" s="174" t="s">
        <v>101</v>
      </c>
      <c r="H31" s="174" t="s">
        <v>109</v>
      </c>
      <c r="I31" s="174" t="s">
        <v>197</v>
      </c>
    </row>
    <row r="32" spans="3:10">
      <c r="C32" s="175"/>
      <c r="D32" s="176">
        <f>+'Deal Summary'!$T$10</f>
        <v>46023</v>
      </c>
      <c r="E32" s="176">
        <v>46387</v>
      </c>
      <c r="F32" s="176">
        <v>47118</v>
      </c>
      <c r="G32" s="176">
        <v>47483</v>
      </c>
      <c r="H32" s="176">
        <v>47848</v>
      </c>
      <c r="I32" s="176">
        <v>48213</v>
      </c>
      <c r="J32" s="193" t="s">
        <v>70</v>
      </c>
    </row>
    <row r="33" spans="3:11">
      <c r="C33" s="35" t="s">
        <v>71</v>
      </c>
      <c r="D33" s="14">
        <f>D24</f>
        <v>-741746.44335999992</v>
      </c>
      <c r="E33" s="14"/>
      <c r="F33" s="14"/>
      <c r="G33" s="14"/>
      <c r="H33" s="14"/>
      <c r="I33" s="8"/>
      <c r="J33" s="10"/>
    </row>
    <row r="34" spans="3:11">
      <c r="C34" s="36" t="s">
        <v>72</v>
      </c>
      <c r="D34" s="14"/>
      <c r="E34" s="14"/>
      <c r="F34" s="14"/>
      <c r="G34" s="14"/>
      <c r="H34" s="14"/>
      <c r="I34" s="8">
        <f>-D33</f>
        <v>741746.44335999992</v>
      </c>
      <c r="J34" s="10"/>
    </row>
    <row r="35" spans="3:11">
      <c r="C35" s="36" t="s">
        <v>73</v>
      </c>
      <c r="D35" s="33"/>
      <c r="E35" s="33">
        <f>Proforma!F24</f>
        <v>91549.423535887239</v>
      </c>
      <c r="F35" s="33">
        <f>Proforma!G24</f>
        <v>75072.440723830892</v>
      </c>
      <c r="G35" s="33">
        <f>Proforma!H24</f>
        <v>75072.440723830892</v>
      </c>
      <c r="H35" s="33">
        <f>Proforma!I24</f>
        <v>75072.440723830892</v>
      </c>
      <c r="I35" s="15">
        <f>Proforma!J24</f>
        <v>75072.440723830892</v>
      </c>
      <c r="J35" s="10"/>
    </row>
    <row r="36" spans="3:11">
      <c r="C36" s="45" t="s">
        <v>74</v>
      </c>
      <c r="D36" s="122"/>
      <c r="E36" s="122"/>
      <c r="F36" s="122"/>
      <c r="G36" s="122"/>
      <c r="H36" s="122"/>
      <c r="I36" s="19">
        <f>Proforma!J50</f>
        <v>1092818.8478453602</v>
      </c>
      <c r="J36" s="161"/>
    </row>
    <row r="37" spans="3:11" ht="15.75" thickBot="1">
      <c r="C37" s="123" t="s">
        <v>75</v>
      </c>
      <c r="D37" s="124">
        <f t="shared" ref="D37:I37" si="7">SUM(D33:D36)</f>
        <v>-741746.44335999992</v>
      </c>
      <c r="E37" s="124">
        <f t="shared" si="7"/>
        <v>91549.423535887239</v>
      </c>
      <c r="F37" s="124">
        <f t="shared" si="7"/>
        <v>75072.440723830892</v>
      </c>
      <c r="G37" s="124">
        <f t="shared" si="7"/>
        <v>75072.440723830892</v>
      </c>
      <c r="H37" s="124">
        <f t="shared" si="7"/>
        <v>75072.440723830892</v>
      </c>
      <c r="I37" s="125">
        <f t="shared" si="7"/>
        <v>1909637.7319291909</v>
      </c>
      <c r="J37" s="194">
        <f>XIRR(D37:I37,D32:I32,0)</f>
        <v>0.22485148925781256</v>
      </c>
    </row>
    <row r="38" spans="3:11" ht="15.75" thickBot="1"/>
    <row r="39" spans="3:11">
      <c r="C39" s="427" t="s">
        <v>200</v>
      </c>
      <c r="D39" s="457"/>
      <c r="E39" s="457"/>
      <c r="F39" s="457"/>
      <c r="G39" s="457"/>
      <c r="H39" s="457"/>
      <c r="I39" s="457"/>
      <c r="J39" s="428"/>
    </row>
    <row r="40" spans="3:11" ht="15.75" thickBot="1">
      <c r="C40" s="165"/>
      <c r="D40" s="174" t="s">
        <v>102</v>
      </c>
      <c r="E40" s="174" t="s">
        <v>97</v>
      </c>
      <c r="F40" s="174" t="s">
        <v>98</v>
      </c>
      <c r="G40" s="174" t="s">
        <v>101</v>
      </c>
      <c r="H40" s="174" t="s">
        <v>109</v>
      </c>
      <c r="I40" s="174" t="s">
        <v>197</v>
      </c>
      <c r="J40" s="178" t="s">
        <v>198</v>
      </c>
    </row>
    <row r="41" spans="3:11">
      <c r="C41" s="175"/>
      <c r="D41" s="176">
        <f>+'Deal Summary'!$T$10</f>
        <v>46023</v>
      </c>
      <c r="E41" s="176">
        <v>46387</v>
      </c>
      <c r="F41" s="176">
        <v>47118</v>
      </c>
      <c r="G41" s="176">
        <v>47483</v>
      </c>
      <c r="H41" s="176">
        <v>47848</v>
      </c>
      <c r="I41" s="176">
        <v>48213</v>
      </c>
      <c r="J41" s="177">
        <v>48579</v>
      </c>
      <c r="K41" s="193" t="s">
        <v>70</v>
      </c>
    </row>
    <row r="42" spans="3:11">
      <c r="C42" s="35" t="s">
        <v>71</v>
      </c>
      <c r="D42" s="14">
        <f>D33</f>
        <v>-741746.44335999992</v>
      </c>
      <c r="E42" s="14"/>
      <c r="F42" s="14"/>
      <c r="G42" s="14"/>
      <c r="H42" s="14"/>
      <c r="I42" s="14"/>
      <c r="J42" s="8"/>
      <c r="K42" s="10"/>
    </row>
    <row r="43" spans="3:11">
      <c r="C43" s="36" t="s">
        <v>72</v>
      </c>
      <c r="D43" s="14"/>
      <c r="E43" s="14"/>
      <c r="F43" s="14"/>
      <c r="G43" s="14"/>
      <c r="H43" s="14"/>
      <c r="I43" s="14"/>
      <c r="J43" s="8">
        <f>-D42</f>
        <v>741746.44335999992</v>
      </c>
      <c r="K43" s="10"/>
    </row>
    <row r="44" spans="3:11">
      <c r="C44" s="36" t="s">
        <v>73</v>
      </c>
      <c r="D44" s="33"/>
      <c r="E44" s="33">
        <f>Proforma!F24</f>
        <v>91549.423535887239</v>
      </c>
      <c r="F44" s="33">
        <f>Proforma!G24</f>
        <v>75072.440723830892</v>
      </c>
      <c r="G44" s="33">
        <f>Proforma!H24</f>
        <v>75072.440723830892</v>
      </c>
      <c r="H44" s="33">
        <f>Proforma!I24</f>
        <v>75072.440723830892</v>
      </c>
      <c r="I44" s="33">
        <f>Proforma!J24</f>
        <v>75072.440723830892</v>
      </c>
      <c r="J44" s="15">
        <f>Proforma!K24</f>
        <v>75072.440723830892</v>
      </c>
      <c r="K44" s="10"/>
    </row>
    <row r="45" spans="3:11">
      <c r="C45" s="45" t="s">
        <v>74</v>
      </c>
      <c r="D45" s="122"/>
      <c r="E45" s="122"/>
      <c r="F45" s="122"/>
      <c r="G45" s="122"/>
      <c r="H45" s="122"/>
      <c r="I45" s="122"/>
      <c r="J45" s="19">
        <f>Proforma!K50</f>
        <v>1158097.1828306159</v>
      </c>
      <c r="K45" s="161"/>
    </row>
    <row r="46" spans="3:11" ht="15.75" thickBot="1">
      <c r="C46" s="123" t="s">
        <v>75</v>
      </c>
      <c r="D46" s="124">
        <f t="shared" ref="D46:I46" si="8">SUM(D42:D45)</f>
        <v>-741746.44335999992</v>
      </c>
      <c r="E46" s="124">
        <f t="shared" si="8"/>
        <v>91549.423535887239</v>
      </c>
      <c r="F46" s="124">
        <f t="shared" si="8"/>
        <v>75072.440723830892</v>
      </c>
      <c r="G46" s="124">
        <f t="shared" si="8"/>
        <v>75072.440723830892</v>
      </c>
      <c r="H46" s="124">
        <f t="shared" si="8"/>
        <v>75072.440723830892</v>
      </c>
      <c r="I46" s="124">
        <f t="shared" si="8"/>
        <v>75072.440723830892</v>
      </c>
      <c r="J46" s="125">
        <f t="shared" ref="J46" si="9">SUM(J42:J45)</f>
        <v>1974916.0669144467</v>
      </c>
      <c r="K46" s="194">
        <f>XIRR(D46:J46,D41:J41,0)</f>
        <v>0.20553067871093755</v>
      </c>
    </row>
    <row r="47" spans="3:11" ht="15.75" thickBot="1"/>
    <row r="48" spans="3:11">
      <c r="C48" s="427" t="s">
        <v>200</v>
      </c>
      <c r="D48" s="457"/>
      <c r="E48" s="457"/>
      <c r="F48" s="457"/>
      <c r="G48" s="457"/>
      <c r="H48" s="457"/>
      <c r="I48" s="457"/>
      <c r="J48" s="457"/>
      <c r="K48" s="428"/>
    </row>
    <row r="49" spans="3:12" ht="15.75" thickBot="1">
      <c r="C49" s="165"/>
      <c r="D49" s="174" t="s">
        <v>102</v>
      </c>
      <c r="E49" s="174" t="s">
        <v>97</v>
      </c>
      <c r="F49" s="174" t="s">
        <v>98</v>
      </c>
      <c r="G49" s="174" t="s">
        <v>101</v>
      </c>
      <c r="H49" s="174" t="s">
        <v>109</v>
      </c>
      <c r="I49" s="174" t="s">
        <v>197</v>
      </c>
      <c r="J49" s="174" t="s">
        <v>198</v>
      </c>
      <c r="K49" s="166" t="s">
        <v>233</v>
      </c>
    </row>
    <row r="50" spans="3:12">
      <c r="C50" s="175"/>
      <c r="D50" s="176">
        <f>+'Deal Summary'!$T$10</f>
        <v>46023</v>
      </c>
      <c r="E50" s="176">
        <v>46387</v>
      </c>
      <c r="F50" s="176">
        <v>47118</v>
      </c>
      <c r="G50" s="176">
        <v>47483</v>
      </c>
      <c r="H50" s="176">
        <v>47848</v>
      </c>
      <c r="I50" s="176">
        <v>48213</v>
      </c>
      <c r="J50" s="176">
        <v>48579</v>
      </c>
      <c r="K50" s="177">
        <v>48944</v>
      </c>
      <c r="L50" s="193" t="s">
        <v>70</v>
      </c>
    </row>
    <row r="51" spans="3:12">
      <c r="C51" s="35" t="s">
        <v>71</v>
      </c>
      <c r="D51" s="14">
        <f>D42</f>
        <v>-741746.44335999992</v>
      </c>
      <c r="E51" s="14"/>
      <c r="F51" s="14"/>
      <c r="G51" s="14"/>
      <c r="H51" s="14"/>
      <c r="I51" s="14"/>
      <c r="J51" s="14"/>
      <c r="K51" s="8"/>
      <c r="L51" s="10"/>
    </row>
    <row r="52" spans="3:12">
      <c r="C52" s="36" t="s">
        <v>72</v>
      </c>
      <c r="D52" s="14"/>
      <c r="E52" s="14"/>
      <c r="F52" s="14"/>
      <c r="G52" s="14"/>
      <c r="H52" s="14"/>
      <c r="I52" s="14"/>
      <c r="J52" s="14"/>
      <c r="K52" s="8">
        <f>-D51</f>
        <v>741746.44335999992</v>
      </c>
      <c r="L52" s="10"/>
    </row>
    <row r="53" spans="3:12">
      <c r="C53" s="36" t="s">
        <v>73</v>
      </c>
      <c r="D53" s="33"/>
      <c r="E53" s="33">
        <f>Proforma!F24</f>
        <v>91549.423535887239</v>
      </c>
      <c r="F53" s="33">
        <f>Proforma!G24</f>
        <v>75072.440723830892</v>
      </c>
      <c r="G53" s="33">
        <f>Proforma!H24</f>
        <v>75072.440723830892</v>
      </c>
      <c r="H53" s="33">
        <f>Proforma!I24</f>
        <v>75072.440723830892</v>
      </c>
      <c r="I53" s="33">
        <f>Proforma!J24</f>
        <v>75072.440723830892</v>
      </c>
      <c r="J53" s="33">
        <f>Proforma!K24</f>
        <v>75072.440723830892</v>
      </c>
      <c r="K53" s="15">
        <f>Proforma!L24</f>
        <v>75072.440723830892</v>
      </c>
      <c r="L53" s="10"/>
    </row>
    <row r="54" spans="3:12">
      <c r="C54" s="45" t="s">
        <v>74</v>
      </c>
      <c r="D54" s="122"/>
      <c r="E54" s="122"/>
      <c r="F54" s="122"/>
      <c r="G54" s="122"/>
      <c r="H54" s="122"/>
      <c r="I54" s="122"/>
      <c r="J54" s="122"/>
      <c r="K54" s="19">
        <f>Proforma!L50</f>
        <v>1227574.3387766043</v>
      </c>
      <c r="L54" s="161"/>
    </row>
    <row r="55" spans="3:12" ht="15.75" thickBot="1">
      <c r="C55" s="123" t="s">
        <v>75</v>
      </c>
      <c r="D55" s="124">
        <f t="shared" ref="D55:K55" si="10">SUM(D51:D54)</f>
        <v>-741746.44335999992</v>
      </c>
      <c r="E55" s="124">
        <f t="shared" si="10"/>
        <v>91549.423535887239</v>
      </c>
      <c r="F55" s="124">
        <f t="shared" si="10"/>
        <v>75072.440723830892</v>
      </c>
      <c r="G55" s="124">
        <f t="shared" si="10"/>
        <v>75072.440723830892</v>
      </c>
      <c r="H55" s="124">
        <f t="shared" si="10"/>
        <v>75072.440723830892</v>
      </c>
      <c r="I55" s="124">
        <f t="shared" si="10"/>
        <v>75072.440723830892</v>
      </c>
      <c r="J55" s="124">
        <f t="shared" si="10"/>
        <v>75072.440723830892</v>
      </c>
      <c r="K55" s="125">
        <f t="shared" si="10"/>
        <v>2044393.222860435</v>
      </c>
      <c r="L55" s="194">
        <f>XIRR(D55:K55,D50:K50,0)</f>
        <v>0.19132937011718754</v>
      </c>
    </row>
  </sheetData>
  <sheetProtection sheet="1" objects="1" scenarios="1" formatCells="0" sort="0" autoFilter="0" pivotTables="0"/>
  <mergeCells count="6">
    <mergeCell ref="C48:K48"/>
    <mergeCell ref="C39:J39"/>
    <mergeCell ref="C3:F3"/>
    <mergeCell ref="C12:G12"/>
    <mergeCell ref="C21:H21"/>
    <mergeCell ref="C30:I30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6">
    <tabColor rgb="FFB4C4C1"/>
  </sheetPr>
  <dimension ref="B1:R376"/>
  <sheetViews>
    <sheetView showGridLines="0" zoomScale="80" zoomScaleNormal="80" workbookViewId="0">
      <selection activeCell="K7" sqref="K7"/>
    </sheetView>
  </sheetViews>
  <sheetFormatPr defaultColWidth="8.85546875" defaultRowHeight="15"/>
  <cols>
    <col min="1" max="1" width="2.7109375" customWidth="1"/>
    <col min="2" max="2" width="30.140625" bestFit="1" customWidth="1"/>
    <col min="3" max="4" width="19.140625" bestFit="1" customWidth="1"/>
    <col min="5" max="6" width="17.42578125" bestFit="1" customWidth="1"/>
    <col min="7" max="7" width="17.140625" bestFit="1" customWidth="1"/>
    <col min="8" max="8" width="21.7109375" customWidth="1"/>
    <col min="9" max="9" width="14.28515625" bestFit="1" customWidth="1"/>
    <col min="10" max="10" width="23.5703125" bestFit="1" customWidth="1"/>
    <col min="11" max="11" width="5" customWidth="1"/>
    <col min="12" max="12" width="12.28515625" bestFit="1" customWidth="1"/>
    <col min="13" max="13" width="10.140625" bestFit="1" customWidth="1"/>
    <col min="14" max="14" width="14.28515625" bestFit="1" customWidth="1"/>
    <col min="16" max="16" width="10.140625" bestFit="1" customWidth="1"/>
    <col min="18" max="18" width="11.42578125" bestFit="1" customWidth="1"/>
  </cols>
  <sheetData>
    <row r="1" spans="2:11">
      <c r="B1" s="52"/>
    </row>
    <row r="2" spans="2:11">
      <c r="B2" s="52"/>
    </row>
    <row r="3" spans="2:11" ht="15.75" thickBot="1"/>
    <row r="4" spans="2:11" ht="15.75" thickBot="1">
      <c r="B4" s="427" t="s">
        <v>76</v>
      </c>
      <c r="C4" s="428"/>
      <c r="E4" s="427" t="s">
        <v>2</v>
      </c>
      <c r="F4" s="428"/>
      <c r="H4" s="186" t="s">
        <v>26</v>
      </c>
    </row>
    <row r="5" spans="2:11" ht="15.75" thickBot="1">
      <c r="B5" s="184" t="s">
        <v>77</v>
      </c>
      <c r="C5" s="130">
        <f>+'Deal Summary'!G35</f>
        <v>2966985.7734400001</v>
      </c>
      <c r="E5" s="184" t="s">
        <v>78</v>
      </c>
      <c r="F5" s="130">
        <f>+'Deal Summary'!D32</f>
        <v>3708732.2168000001</v>
      </c>
      <c r="H5" s="269">
        <f>K5*C13</f>
        <v>123624.40722666668</v>
      </c>
      <c r="J5" s="373" t="s">
        <v>235</v>
      </c>
      <c r="K5" s="371">
        <f>MIN('Deal Summary'!T35,'Deal Summary'!T38)</f>
        <v>8</v>
      </c>
    </row>
    <row r="6" spans="2:11" ht="15.75" thickBot="1">
      <c r="B6" s="184" t="s">
        <v>11</v>
      </c>
      <c r="C6" s="179">
        <f>'Deal Summary'!T33</f>
        <v>6.25E-2</v>
      </c>
      <c r="E6" s="184" t="s">
        <v>7</v>
      </c>
      <c r="F6" s="179">
        <f>'Deal Summary'!T36</f>
        <v>0.8</v>
      </c>
      <c r="J6" s="184" t="s">
        <v>236</v>
      </c>
      <c r="K6" s="161">
        <f>'Deal Summary'!T35-Financing!K5</f>
        <v>4</v>
      </c>
    </row>
    <row r="7" spans="2:11">
      <c r="B7" s="184" t="s">
        <v>79</v>
      </c>
      <c r="C7" s="180">
        <f>'Deal Summary'!T34</f>
        <v>25</v>
      </c>
      <c r="E7" s="184" t="s">
        <v>80</v>
      </c>
      <c r="F7" s="130">
        <f>F5*(100%-F6)</f>
        <v>741746.4433599998</v>
      </c>
      <c r="H7" s="186" t="s">
        <v>115</v>
      </c>
      <c r="I7" s="14"/>
      <c r="J7" s="184" t="s">
        <v>238</v>
      </c>
      <c r="K7" s="10">
        <f>MIN(12,K6)</f>
        <v>4</v>
      </c>
    </row>
    <row r="8" spans="2:11" ht="15.75" thickBot="1">
      <c r="B8" s="184" t="s">
        <v>81</v>
      </c>
      <c r="C8" s="181">
        <f>'Deal Summary'!T35</f>
        <v>12</v>
      </c>
      <c r="E8" s="185" t="s">
        <v>82</v>
      </c>
      <c r="F8" s="135">
        <f>F5-F7</f>
        <v>2966985.7734400001</v>
      </c>
      <c r="H8" s="269">
        <f>C5*'Deal Summary'!T37</f>
        <v>29669.8577344</v>
      </c>
      <c r="J8" s="184" t="s">
        <v>237</v>
      </c>
      <c r="K8" s="161">
        <f>MAX(12-K7,0)</f>
        <v>8</v>
      </c>
    </row>
    <row r="9" spans="2:11">
      <c r="B9" s="184" t="s">
        <v>83</v>
      </c>
      <c r="C9" s="136">
        <f>(C7*12)</f>
        <v>300</v>
      </c>
      <c r="J9" s="184" t="s">
        <v>239</v>
      </c>
      <c r="K9" s="10">
        <f>MAX(MIN(K6- 12, 12), 0)</f>
        <v>0</v>
      </c>
    </row>
    <row r="10" spans="2:11">
      <c r="B10" s="184" t="s">
        <v>84</v>
      </c>
      <c r="C10" s="136">
        <f>C8+C9</f>
        <v>312</v>
      </c>
      <c r="J10" s="184" t="s">
        <v>241</v>
      </c>
      <c r="K10" s="161">
        <f>MAX(12-K9,0)</f>
        <v>12</v>
      </c>
    </row>
    <row r="11" spans="2:11">
      <c r="B11" s="184" t="s">
        <v>85</v>
      </c>
      <c r="C11" s="130">
        <f>PMT(C6/12,$C$7*12,$C$5,0,0)*-1</f>
        <v>19572.296606347427</v>
      </c>
      <c r="J11" s="184" t="s">
        <v>240</v>
      </c>
      <c r="K11" s="10">
        <f>MAX(MIN(K6 - 24, 12), 0)</f>
        <v>0</v>
      </c>
    </row>
    <row r="12" spans="2:11" ht="15.75" thickBot="1">
      <c r="B12" s="185" t="s">
        <v>86</v>
      </c>
      <c r="C12" s="135">
        <f>C11*12</f>
        <v>234867.55927616911</v>
      </c>
      <c r="J12" s="185" t="s">
        <v>242</v>
      </c>
      <c r="K12" s="197">
        <f>MAX(12-K11,0)</f>
        <v>12</v>
      </c>
    </row>
    <row r="13" spans="2:11" ht="15.75" thickBot="1">
      <c r="B13" s="185" t="s">
        <v>243</v>
      </c>
      <c r="C13" s="372">
        <f>(C6*C5)/12</f>
        <v>15453.050903333335</v>
      </c>
    </row>
    <row r="14" spans="2:11" ht="15.75" thickBot="1">
      <c r="B14" s="105"/>
      <c r="D14" s="458" t="s">
        <v>87</v>
      </c>
      <c r="E14" s="458"/>
      <c r="F14" s="458"/>
    </row>
    <row r="15" spans="2:11">
      <c r="B15" s="5" t="s">
        <v>88</v>
      </c>
      <c r="C15" s="183" t="s">
        <v>89</v>
      </c>
      <c r="D15" s="183" t="s">
        <v>90</v>
      </c>
      <c r="E15" s="183" t="s">
        <v>91</v>
      </c>
      <c r="F15" s="183" t="s">
        <v>92</v>
      </c>
      <c r="G15" s="183" t="s">
        <v>8</v>
      </c>
      <c r="H15" s="182" t="s">
        <v>93</v>
      </c>
    </row>
    <row r="16" spans="2:11">
      <c r="B16" s="40">
        <v>0</v>
      </c>
      <c r="C16" s="58">
        <v>0</v>
      </c>
      <c r="D16" s="144"/>
      <c r="E16" s="144"/>
      <c r="F16" s="144"/>
      <c r="G16" s="144"/>
      <c r="H16" s="145">
        <f>C5</f>
        <v>2966985.7734400001</v>
      </c>
      <c r="I16" s="2"/>
    </row>
    <row r="17" spans="2:18">
      <c r="B17" s="40"/>
      <c r="C17" s="58">
        <v>1</v>
      </c>
      <c r="D17" s="144">
        <f>H16</f>
        <v>2966985.7734400001</v>
      </c>
      <c r="E17" s="144">
        <f>IF(C17&gt;$C$10,0,IF(C17&lt;=$C$8,F17,-PMT($C$6/12,$C$9,$D$17,0,0)))</f>
        <v>15453.050903333333</v>
      </c>
      <c r="F17" s="144">
        <f>IF(C17&gt;$C$10,0,($C$6/12)*D17)</f>
        <v>15453.050903333333</v>
      </c>
      <c r="G17" s="144">
        <f t="shared" ref="G17:G80" si="0">E17-F17</f>
        <v>0</v>
      </c>
      <c r="H17" s="145">
        <f t="shared" ref="H17:H80" si="1">D17-G17</f>
        <v>2966985.7734400001</v>
      </c>
      <c r="I17" s="21"/>
      <c r="L17" s="21"/>
      <c r="M17" s="146"/>
      <c r="N17" s="2"/>
      <c r="P17" s="146"/>
    </row>
    <row r="18" spans="2:18">
      <c r="B18" s="40"/>
      <c r="C18" s="58">
        <v>2</v>
      </c>
      <c r="D18" s="144">
        <f>H17</f>
        <v>2966985.7734400001</v>
      </c>
      <c r="E18" s="144">
        <f>IF(C18&gt;$C$10,0,IF(C18&lt;=$C$8,F18,-PMT($C$6/12,$C$9,$C$5,0,0)))</f>
        <v>15453.050903333333</v>
      </c>
      <c r="F18" s="144">
        <f t="shared" ref="F18:F81" si="2">IF(C18&gt;$C$10,0,($C$6/12)*H17)</f>
        <v>15453.050903333333</v>
      </c>
      <c r="G18" s="144">
        <f t="shared" si="0"/>
        <v>0</v>
      </c>
      <c r="H18" s="145">
        <f t="shared" si="1"/>
        <v>2966985.7734400001</v>
      </c>
      <c r="I18" s="21"/>
      <c r="L18" s="21"/>
      <c r="M18" s="146"/>
      <c r="N18" s="2"/>
      <c r="P18" s="146"/>
    </row>
    <row r="19" spans="2:18">
      <c r="B19" s="40"/>
      <c r="C19" s="58">
        <v>3</v>
      </c>
      <c r="D19" s="144">
        <f>H18</f>
        <v>2966985.7734400001</v>
      </c>
      <c r="E19" s="144">
        <f>IF(C19&gt;$C$10,0,IF(C19&lt;=$C$8,F19,-PMT($C$6/12,$C$9,$C$5,0,0)))</f>
        <v>15453.050903333333</v>
      </c>
      <c r="F19" s="144">
        <f t="shared" si="2"/>
        <v>15453.050903333333</v>
      </c>
      <c r="G19" s="144">
        <f t="shared" si="0"/>
        <v>0</v>
      </c>
      <c r="H19" s="145">
        <f t="shared" si="1"/>
        <v>2966985.7734400001</v>
      </c>
      <c r="J19" s="2"/>
      <c r="K19" s="146"/>
      <c r="L19" s="21"/>
      <c r="M19" s="146"/>
      <c r="N19" s="2"/>
      <c r="P19" s="146"/>
    </row>
    <row r="20" spans="2:18">
      <c r="B20" s="40"/>
      <c r="C20" s="58">
        <v>4</v>
      </c>
      <c r="D20" s="144">
        <f>H19</f>
        <v>2966985.7734400001</v>
      </c>
      <c r="E20" s="144">
        <f>IF(C20&gt;$C$10,0,IF(C20&lt;=$C$8,F20,-PMT($C$6/12,$C$9,$D$17,0,0)))</f>
        <v>15453.050903333333</v>
      </c>
      <c r="F20" s="144">
        <f t="shared" si="2"/>
        <v>15453.050903333333</v>
      </c>
      <c r="G20" s="144">
        <f t="shared" si="0"/>
        <v>0</v>
      </c>
      <c r="H20" s="145">
        <f t="shared" si="1"/>
        <v>2966985.7734400001</v>
      </c>
      <c r="J20" s="2"/>
      <c r="K20" s="146"/>
      <c r="L20" s="21"/>
      <c r="M20" s="146"/>
      <c r="N20" s="2"/>
      <c r="P20" s="146"/>
      <c r="R20" s="21"/>
    </row>
    <row r="21" spans="2:18">
      <c r="B21" s="40"/>
      <c r="C21" s="58">
        <v>5</v>
      </c>
      <c r="D21" s="144">
        <f>H20</f>
        <v>2966985.7734400001</v>
      </c>
      <c r="E21" s="144">
        <f t="shared" ref="E21:E84" si="3">IF(C21&gt;$C$10,0,IF(C21&lt;=$C$8,F21,-PMT($C$6/12,$C$9,$C$5,0,0)))</f>
        <v>15453.050903333333</v>
      </c>
      <c r="F21" s="144">
        <f t="shared" si="2"/>
        <v>15453.050903333333</v>
      </c>
      <c r="G21" s="144">
        <f t="shared" si="0"/>
        <v>0</v>
      </c>
      <c r="H21" s="145">
        <f t="shared" si="1"/>
        <v>2966985.7734400001</v>
      </c>
      <c r="J21" s="2"/>
      <c r="K21" s="146"/>
      <c r="L21" s="21"/>
      <c r="M21" s="146"/>
      <c r="N21" s="2"/>
      <c r="P21" s="146"/>
    </row>
    <row r="22" spans="2:18">
      <c r="B22" s="40"/>
      <c r="C22" s="58">
        <v>6</v>
      </c>
      <c r="D22" s="144">
        <f t="shared" ref="D22:D85" si="4">IF(C22&gt;$C$10,0,H21)</f>
        <v>2966985.7734400001</v>
      </c>
      <c r="E22" s="144">
        <f t="shared" si="3"/>
        <v>15453.050903333333</v>
      </c>
      <c r="F22" s="144">
        <f t="shared" si="2"/>
        <v>15453.050903333333</v>
      </c>
      <c r="G22" s="144">
        <f t="shared" si="0"/>
        <v>0</v>
      </c>
      <c r="H22" s="145">
        <f t="shared" si="1"/>
        <v>2966985.7734400001</v>
      </c>
      <c r="J22" s="2"/>
      <c r="K22" s="146"/>
      <c r="L22" s="21"/>
      <c r="M22" s="146"/>
      <c r="N22" s="2"/>
      <c r="P22" s="146"/>
    </row>
    <row r="23" spans="2:18">
      <c r="B23" s="40"/>
      <c r="C23" s="58">
        <v>7</v>
      </c>
      <c r="D23" s="144">
        <f t="shared" si="4"/>
        <v>2966985.7734400001</v>
      </c>
      <c r="E23" s="144">
        <f t="shared" si="3"/>
        <v>15453.050903333333</v>
      </c>
      <c r="F23" s="144">
        <f t="shared" si="2"/>
        <v>15453.050903333333</v>
      </c>
      <c r="G23" s="144">
        <f t="shared" si="0"/>
        <v>0</v>
      </c>
      <c r="H23" s="145">
        <f t="shared" si="1"/>
        <v>2966985.7734400001</v>
      </c>
      <c r="J23" s="2"/>
      <c r="K23" s="146"/>
      <c r="L23" s="21"/>
      <c r="M23" s="146"/>
      <c r="N23" s="2"/>
      <c r="P23" s="146"/>
    </row>
    <row r="24" spans="2:18">
      <c r="B24" s="40"/>
      <c r="C24" s="58">
        <v>8</v>
      </c>
      <c r="D24" s="144">
        <f t="shared" si="4"/>
        <v>2966985.7734400001</v>
      </c>
      <c r="E24" s="144">
        <f t="shared" si="3"/>
        <v>15453.050903333333</v>
      </c>
      <c r="F24" s="144">
        <f t="shared" si="2"/>
        <v>15453.050903333333</v>
      </c>
      <c r="G24" s="144">
        <f t="shared" si="0"/>
        <v>0</v>
      </c>
      <c r="H24" s="145">
        <f t="shared" si="1"/>
        <v>2966985.7734400001</v>
      </c>
      <c r="J24" s="2"/>
      <c r="K24" s="146"/>
      <c r="L24" s="21"/>
      <c r="M24" s="146"/>
      <c r="N24" s="2"/>
      <c r="P24" s="146"/>
    </row>
    <row r="25" spans="2:18">
      <c r="B25" s="40"/>
      <c r="C25" s="58">
        <v>9</v>
      </c>
      <c r="D25" s="144">
        <f t="shared" si="4"/>
        <v>2966985.7734400001</v>
      </c>
      <c r="E25" s="144">
        <f t="shared" si="3"/>
        <v>15453.050903333333</v>
      </c>
      <c r="F25" s="144">
        <f t="shared" si="2"/>
        <v>15453.050903333333</v>
      </c>
      <c r="G25" s="144">
        <f t="shared" si="0"/>
        <v>0</v>
      </c>
      <c r="H25" s="145">
        <f t="shared" si="1"/>
        <v>2966985.7734400001</v>
      </c>
      <c r="J25" s="2"/>
      <c r="K25" s="146"/>
      <c r="L25" s="21"/>
      <c r="M25" s="146"/>
      <c r="N25" s="2"/>
      <c r="P25" s="146"/>
    </row>
    <row r="26" spans="2:18">
      <c r="B26" s="40"/>
      <c r="C26" s="58">
        <v>10</v>
      </c>
      <c r="D26" s="144">
        <f t="shared" si="4"/>
        <v>2966985.7734400001</v>
      </c>
      <c r="E26" s="144">
        <f t="shared" si="3"/>
        <v>15453.050903333333</v>
      </c>
      <c r="F26" s="144">
        <f t="shared" si="2"/>
        <v>15453.050903333333</v>
      </c>
      <c r="G26" s="144">
        <f t="shared" si="0"/>
        <v>0</v>
      </c>
      <c r="H26" s="145">
        <f t="shared" si="1"/>
        <v>2966985.7734400001</v>
      </c>
      <c r="J26" s="2"/>
      <c r="K26" s="146"/>
      <c r="L26" s="21"/>
      <c r="M26" s="146"/>
      <c r="N26" s="2"/>
      <c r="P26" s="146"/>
    </row>
    <row r="27" spans="2:18">
      <c r="B27" s="40"/>
      <c r="C27" s="58">
        <v>11</v>
      </c>
      <c r="D27" s="144">
        <f t="shared" si="4"/>
        <v>2966985.7734400001</v>
      </c>
      <c r="E27" s="144">
        <f t="shared" si="3"/>
        <v>15453.050903333333</v>
      </c>
      <c r="F27" s="144">
        <f t="shared" si="2"/>
        <v>15453.050903333333</v>
      </c>
      <c r="G27" s="144">
        <f t="shared" si="0"/>
        <v>0</v>
      </c>
      <c r="H27" s="145">
        <f t="shared" si="1"/>
        <v>2966985.7734400001</v>
      </c>
      <c r="J27" s="2"/>
      <c r="K27" s="146"/>
      <c r="L27" s="21"/>
      <c r="M27" s="146"/>
      <c r="N27" s="2"/>
      <c r="P27" s="146"/>
    </row>
    <row r="28" spans="2:18">
      <c r="B28" s="46">
        <v>1</v>
      </c>
      <c r="C28" s="147">
        <v>12</v>
      </c>
      <c r="D28" s="157">
        <f t="shared" si="4"/>
        <v>2966985.7734400001</v>
      </c>
      <c r="E28" s="157">
        <f t="shared" si="3"/>
        <v>15453.050903333333</v>
      </c>
      <c r="F28" s="157">
        <f t="shared" si="2"/>
        <v>15453.050903333333</v>
      </c>
      <c r="G28" s="157">
        <f t="shared" si="0"/>
        <v>0</v>
      </c>
      <c r="H28" s="158">
        <f t="shared" si="1"/>
        <v>2966985.7734400001</v>
      </c>
      <c r="I28" s="148">
        <f>+SUM(G17:G28)+SUM(F17:F28)</f>
        <v>185436.61083999998</v>
      </c>
      <c r="J28" s="2"/>
      <c r="K28" s="146"/>
      <c r="L28" s="21"/>
      <c r="M28" s="146"/>
      <c r="N28" s="2"/>
      <c r="P28" s="146"/>
    </row>
    <row r="29" spans="2:18">
      <c r="B29" s="40"/>
      <c r="C29" s="58">
        <v>13</v>
      </c>
      <c r="D29" s="144">
        <f t="shared" si="4"/>
        <v>2966985.7734400001</v>
      </c>
      <c r="E29" s="144">
        <f t="shared" si="3"/>
        <v>19572.296606347427</v>
      </c>
      <c r="F29" s="144">
        <f t="shared" si="2"/>
        <v>15453.050903333333</v>
      </c>
      <c r="G29" s="144">
        <f t="shared" si="0"/>
        <v>4119.245703014094</v>
      </c>
      <c r="H29" s="145">
        <f t="shared" si="1"/>
        <v>2962866.5277369861</v>
      </c>
      <c r="J29" s="2"/>
      <c r="K29" s="146"/>
      <c r="L29" s="21"/>
      <c r="M29" s="146"/>
      <c r="N29" s="2"/>
      <c r="P29" s="146"/>
    </row>
    <row r="30" spans="2:18">
      <c r="B30" s="40"/>
      <c r="C30" s="58">
        <v>14</v>
      </c>
      <c r="D30" s="144">
        <f t="shared" si="4"/>
        <v>2962866.5277369861</v>
      </c>
      <c r="E30" s="144">
        <f t="shared" si="3"/>
        <v>19572.296606347427</v>
      </c>
      <c r="F30" s="144">
        <f t="shared" si="2"/>
        <v>15431.596498630135</v>
      </c>
      <c r="G30" s="144">
        <f t="shared" si="0"/>
        <v>4140.7001077172918</v>
      </c>
      <c r="H30" s="145">
        <f t="shared" si="1"/>
        <v>2958725.8276292686</v>
      </c>
      <c r="J30" s="2"/>
      <c r="K30" s="146"/>
      <c r="L30" s="21"/>
      <c r="M30" s="146"/>
      <c r="N30" s="2"/>
      <c r="P30" s="146"/>
    </row>
    <row r="31" spans="2:18">
      <c r="B31" s="40"/>
      <c r="C31" s="58">
        <v>15</v>
      </c>
      <c r="D31" s="144">
        <f t="shared" si="4"/>
        <v>2958725.8276292686</v>
      </c>
      <c r="E31" s="144">
        <f t="shared" si="3"/>
        <v>19572.296606347427</v>
      </c>
      <c r="F31" s="144">
        <f t="shared" si="2"/>
        <v>15410.030352235774</v>
      </c>
      <c r="G31" s="144">
        <f t="shared" si="0"/>
        <v>4162.2662541116533</v>
      </c>
      <c r="H31" s="145">
        <f t="shared" si="1"/>
        <v>2954563.561375157</v>
      </c>
      <c r="J31" s="2"/>
      <c r="K31" s="146"/>
      <c r="L31" s="21"/>
      <c r="M31" s="146"/>
      <c r="N31" s="2"/>
      <c r="P31" s="146"/>
    </row>
    <row r="32" spans="2:18">
      <c r="B32" s="40"/>
      <c r="C32" s="58">
        <v>16</v>
      </c>
      <c r="D32" s="144">
        <f t="shared" si="4"/>
        <v>2954563.561375157</v>
      </c>
      <c r="E32" s="144">
        <f t="shared" si="3"/>
        <v>19572.296606347427</v>
      </c>
      <c r="F32" s="144">
        <f t="shared" si="2"/>
        <v>15388.351882162275</v>
      </c>
      <c r="G32" s="144">
        <f t="shared" si="0"/>
        <v>4183.9447241851522</v>
      </c>
      <c r="H32" s="145">
        <f t="shared" si="1"/>
        <v>2950379.616650972</v>
      </c>
      <c r="J32" s="2"/>
      <c r="K32" s="146"/>
      <c r="L32" s="21"/>
      <c r="M32" s="146"/>
      <c r="N32" s="2"/>
      <c r="P32" s="146"/>
    </row>
    <row r="33" spans="2:16">
      <c r="B33" s="40"/>
      <c r="C33" s="58">
        <v>17</v>
      </c>
      <c r="D33" s="144">
        <f t="shared" si="4"/>
        <v>2950379.616650972</v>
      </c>
      <c r="E33" s="144">
        <f t="shared" si="3"/>
        <v>19572.296606347427</v>
      </c>
      <c r="F33" s="144">
        <f t="shared" si="2"/>
        <v>15366.560503390479</v>
      </c>
      <c r="G33" s="144">
        <f t="shared" si="0"/>
        <v>4205.7361029569474</v>
      </c>
      <c r="H33" s="145">
        <f t="shared" si="1"/>
        <v>2946173.8805480152</v>
      </c>
      <c r="J33" s="2"/>
      <c r="K33" s="146"/>
      <c r="L33" s="21"/>
      <c r="M33" s="146"/>
      <c r="N33" s="2"/>
      <c r="P33" s="146"/>
    </row>
    <row r="34" spans="2:16">
      <c r="B34" s="40"/>
      <c r="C34" s="58">
        <v>18</v>
      </c>
      <c r="D34" s="144">
        <f t="shared" si="4"/>
        <v>2946173.8805480152</v>
      </c>
      <c r="E34" s="144">
        <f t="shared" si="3"/>
        <v>19572.296606347427</v>
      </c>
      <c r="F34" s="144">
        <f t="shared" si="2"/>
        <v>15344.655627854245</v>
      </c>
      <c r="G34" s="144">
        <f t="shared" si="0"/>
        <v>4227.640978493182</v>
      </c>
      <c r="H34" s="145">
        <f t="shared" si="1"/>
        <v>2941946.239569522</v>
      </c>
      <c r="J34" s="2"/>
      <c r="K34" s="146"/>
      <c r="L34" s="21"/>
      <c r="M34" s="146"/>
      <c r="N34" s="2"/>
      <c r="P34" s="146"/>
    </row>
    <row r="35" spans="2:16">
      <c r="B35" s="40"/>
      <c r="C35" s="58">
        <v>19</v>
      </c>
      <c r="D35" s="144">
        <f t="shared" si="4"/>
        <v>2941946.239569522</v>
      </c>
      <c r="E35" s="144">
        <f t="shared" si="3"/>
        <v>19572.296606347427</v>
      </c>
      <c r="F35" s="144">
        <f t="shared" si="2"/>
        <v>15322.636664424594</v>
      </c>
      <c r="G35" s="144">
        <f t="shared" si="0"/>
        <v>4249.6599419228332</v>
      </c>
      <c r="H35" s="145">
        <f t="shared" si="1"/>
        <v>2937696.5796275991</v>
      </c>
      <c r="J35" s="2"/>
      <c r="K35" s="146"/>
      <c r="L35" s="21"/>
      <c r="M35" s="146"/>
      <c r="N35" s="2"/>
      <c r="P35" s="146"/>
    </row>
    <row r="36" spans="2:16">
      <c r="B36" s="40"/>
      <c r="C36" s="58">
        <v>20</v>
      </c>
      <c r="D36" s="144">
        <f t="shared" si="4"/>
        <v>2937696.5796275991</v>
      </c>
      <c r="E36" s="144">
        <f t="shared" si="3"/>
        <v>19572.296606347427</v>
      </c>
      <c r="F36" s="144">
        <f t="shared" si="2"/>
        <v>15300.503018893745</v>
      </c>
      <c r="G36" s="144">
        <f t="shared" si="0"/>
        <v>4271.7935874536815</v>
      </c>
      <c r="H36" s="145">
        <f t="shared" si="1"/>
        <v>2933424.7860401454</v>
      </c>
      <c r="J36" s="2"/>
      <c r="K36" s="146"/>
      <c r="L36" s="21"/>
      <c r="M36" s="146"/>
      <c r="N36" s="2"/>
      <c r="P36" s="146"/>
    </row>
    <row r="37" spans="2:16">
      <c r="B37" s="40"/>
      <c r="C37" s="58">
        <v>21</v>
      </c>
      <c r="D37" s="144">
        <f t="shared" si="4"/>
        <v>2933424.7860401454</v>
      </c>
      <c r="E37" s="144">
        <f t="shared" si="3"/>
        <v>19572.296606347427</v>
      </c>
      <c r="F37" s="144">
        <f t="shared" si="2"/>
        <v>15278.254093959091</v>
      </c>
      <c r="G37" s="144">
        <f t="shared" si="0"/>
        <v>4294.042512388336</v>
      </c>
      <c r="H37" s="145">
        <f t="shared" si="1"/>
        <v>2929130.743527757</v>
      </c>
      <c r="J37" s="2"/>
      <c r="K37" s="146"/>
      <c r="L37" s="21"/>
      <c r="M37" s="146"/>
      <c r="N37" s="2"/>
      <c r="P37" s="146"/>
    </row>
    <row r="38" spans="2:16">
      <c r="B38" s="40"/>
      <c r="C38" s="58">
        <v>22</v>
      </c>
      <c r="D38" s="144">
        <f t="shared" si="4"/>
        <v>2929130.743527757</v>
      </c>
      <c r="E38" s="144">
        <f t="shared" si="3"/>
        <v>19572.296606347427</v>
      </c>
      <c r="F38" s="144">
        <f t="shared" si="2"/>
        <v>15255.889289207067</v>
      </c>
      <c r="G38" s="144">
        <f t="shared" si="0"/>
        <v>4316.4073171403597</v>
      </c>
      <c r="H38" s="145">
        <f t="shared" si="1"/>
        <v>2924814.3362106169</v>
      </c>
      <c r="J38" s="2"/>
      <c r="K38" s="146"/>
      <c r="L38" s="21"/>
      <c r="M38" s="146"/>
      <c r="N38" s="2"/>
      <c r="P38" s="146"/>
    </row>
    <row r="39" spans="2:16">
      <c r="B39" s="40"/>
      <c r="C39" s="58">
        <v>23</v>
      </c>
      <c r="D39" s="144">
        <f t="shared" si="4"/>
        <v>2924814.3362106169</v>
      </c>
      <c r="E39" s="144">
        <f t="shared" si="3"/>
        <v>19572.296606347427</v>
      </c>
      <c r="F39" s="144">
        <f t="shared" si="2"/>
        <v>15233.408001096963</v>
      </c>
      <c r="G39" s="144">
        <f t="shared" si="0"/>
        <v>4338.888605250464</v>
      </c>
      <c r="H39" s="145">
        <f t="shared" si="1"/>
        <v>2920475.4476053664</v>
      </c>
      <c r="J39" s="2"/>
      <c r="K39" s="146"/>
      <c r="L39" s="21"/>
      <c r="M39" s="146"/>
      <c r="N39" s="2"/>
      <c r="P39" s="146"/>
    </row>
    <row r="40" spans="2:16">
      <c r="B40" s="46">
        <v>2</v>
      </c>
      <c r="C40" s="147">
        <v>24</v>
      </c>
      <c r="D40" s="157">
        <f t="shared" si="4"/>
        <v>2920475.4476053664</v>
      </c>
      <c r="E40" s="157">
        <f t="shared" si="3"/>
        <v>19572.296606347427</v>
      </c>
      <c r="F40" s="157">
        <f t="shared" si="2"/>
        <v>15210.809622944616</v>
      </c>
      <c r="G40" s="157">
        <f t="shared" si="0"/>
        <v>4361.4869834028104</v>
      </c>
      <c r="H40" s="158">
        <f t="shared" si="1"/>
        <v>2916113.9606219637</v>
      </c>
      <c r="I40" s="148">
        <f>+SUM(G29:G40)+SUM(F29:F40)</f>
        <v>234867.55927616911</v>
      </c>
      <c r="J40" s="2"/>
      <c r="K40" s="146"/>
      <c r="L40" s="21"/>
      <c r="M40" s="146"/>
      <c r="N40" s="2"/>
      <c r="P40" s="146"/>
    </row>
    <row r="41" spans="2:16">
      <c r="B41" s="40"/>
      <c r="C41" s="58">
        <v>25</v>
      </c>
      <c r="D41" s="144">
        <f t="shared" si="4"/>
        <v>2916113.9606219637</v>
      </c>
      <c r="E41" s="144">
        <f t="shared" si="3"/>
        <v>19572.296606347427</v>
      </c>
      <c r="F41" s="144">
        <f t="shared" si="2"/>
        <v>15188.09354490606</v>
      </c>
      <c r="G41" s="144">
        <f t="shared" si="0"/>
        <v>4384.203061441367</v>
      </c>
      <c r="H41" s="145">
        <f t="shared" si="1"/>
        <v>2911729.7575605223</v>
      </c>
      <c r="J41" s="2"/>
      <c r="K41" s="146"/>
      <c r="L41" s="21"/>
      <c r="M41" s="146"/>
      <c r="N41" s="2"/>
      <c r="P41" s="146"/>
    </row>
    <row r="42" spans="2:16">
      <c r="B42" s="40"/>
      <c r="C42" s="58">
        <v>26</v>
      </c>
      <c r="D42" s="144">
        <f t="shared" si="4"/>
        <v>2911729.7575605223</v>
      </c>
      <c r="E42" s="144">
        <f t="shared" si="3"/>
        <v>19572.296606347427</v>
      </c>
      <c r="F42" s="144">
        <f t="shared" si="2"/>
        <v>15165.259153961053</v>
      </c>
      <c r="G42" s="144">
        <f t="shared" si="0"/>
        <v>4407.0374523863738</v>
      </c>
      <c r="H42" s="145">
        <f t="shared" si="1"/>
        <v>2907322.7201081361</v>
      </c>
      <c r="J42" s="2"/>
      <c r="K42" s="146"/>
    </row>
    <row r="43" spans="2:16">
      <c r="B43" s="40"/>
      <c r="C43" s="58">
        <v>27</v>
      </c>
      <c r="D43" s="144">
        <f t="shared" si="4"/>
        <v>2907322.7201081361</v>
      </c>
      <c r="E43" s="144">
        <f t="shared" si="3"/>
        <v>19572.296606347427</v>
      </c>
      <c r="F43" s="144">
        <f t="shared" si="2"/>
        <v>15142.305833896542</v>
      </c>
      <c r="G43" s="144">
        <f t="shared" si="0"/>
        <v>4429.9907724508848</v>
      </c>
      <c r="H43" s="145">
        <f t="shared" si="1"/>
        <v>2902892.7293356853</v>
      </c>
      <c r="J43" s="2"/>
      <c r="K43" s="146"/>
    </row>
    <row r="44" spans="2:16">
      <c r="B44" s="40"/>
      <c r="C44" s="58">
        <v>28</v>
      </c>
      <c r="D44" s="144">
        <f t="shared" si="4"/>
        <v>2902892.7293356853</v>
      </c>
      <c r="E44" s="144">
        <f t="shared" si="3"/>
        <v>19572.296606347427</v>
      </c>
      <c r="F44" s="144">
        <f t="shared" si="2"/>
        <v>15119.232965290026</v>
      </c>
      <c r="G44" s="144">
        <f t="shared" si="0"/>
        <v>4453.0636410574007</v>
      </c>
      <c r="H44" s="145">
        <f t="shared" si="1"/>
        <v>2898439.6656946279</v>
      </c>
    </row>
    <row r="45" spans="2:16">
      <c r="B45" s="40"/>
      <c r="C45" s="58">
        <v>29</v>
      </c>
      <c r="D45" s="144">
        <f t="shared" si="4"/>
        <v>2898439.6656946279</v>
      </c>
      <c r="E45" s="144">
        <f t="shared" si="3"/>
        <v>19572.296606347427</v>
      </c>
      <c r="F45" s="144">
        <f t="shared" si="2"/>
        <v>15096.039925492852</v>
      </c>
      <c r="G45" s="144">
        <f t="shared" si="0"/>
        <v>4476.2566808545744</v>
      </c>
      <c r="H45" s="145">
        <f t="shared" si="1"/>
        <v>2893963.4090137733</v>
      </c>
    </row>
    <row r="46" spans="2:16">
      <c r="B46" s="40"/>
      <c r="C46" s="58">
        <v>30</v>
      </c>
      <c r="D46" s="144">
        <f t="shared" si="4"/>
        <v>2893963.4090137733</v>
      </c>
      <c r="E46" s="144">
        <f t="shared" si="3"/>
        <v>19572.296606347427</v>
      </c>
      <c r="F46" s="144">
        <f t="shared" si="2"/>
        <v>15072.726088613403</v>
      </c>
      <c r="G46" s="144">
        <f t="shared" si="0"/>
        <v>4499.5705177340242</v>
      </c>
      <c r="H46" s="145">
        <f t="shared" si="1"/>
        <v>2889463.8384960392</v>
      </c>
    </row>
    <row r="47" spans="2:16">
      <c r="B47" s="40"/>
      <c r="C47" s="58">
        <v>31</v>
      </c>
      <c r="D47" s="144">
        <f t="shared" si="4"/>
        <v>2889463.8384960392</v>
      </c>
      <c r="E47" s="144">
        <f t="shared" si="3"/>
        <v>19572.296606347427</v>
      </c>
      <c r="F47" s="144">
        <f t="shared" si="2"/>
        <v>15049.290825500204</v>
      </c>
      <c r="G47" s="144">
        <f t="shared" si="0"/>
        <v>4523.0057808472229</v>
      </c>
      <c r="H47" s="145">
        <f t="shared" si="1"/>
        <v>2884940.8327151919</v>
      </c>
    </row>
    <row r="48" spans="2:16">
      <c r="B48" s="40"/>
      <c r="C48" s="58">
        <v>32</v>
      </c>
      <c r="D48" s="144">
        <f t="shared" si="4"/>
        <v>2884940.8327151919</v>
      </c>
      <c r="E48" s="144">
        <f t="shared" si="3"/>
        <v>19572.296606347427</v>
      </c>
      <c r="F48" s="144">
        <f t="shared" si="2"/>
        <v>15025.733503724958</v>
      </c>
      <c r="G48" s="144">
        <f t="shared" si="0"/>
        <v>4546.5631026224692</v>
      </c>
      <c r="H48" s="145">
        <f t="shared" si="1"/>
        <v>2880394.2696125694</v>
      </c>
    </row>
    <row r="49" spans="2:9">
      <c r="B49" s="40"/>
      <c r="C49" s="58">
        <v>33</v>
      </c>
      <c r="D49" s="144">
        <f t="shared" si="4"/>
        <v>2880394.2696125694</v>
      </c>
      <c r="E49" s="144">
        <f t="shared" si="3"/>
        <v>19572.296606347427</v>
      </c>
      <c r="F49" s="144">
        <f t="shared" si="2"/>
        <v>15002.053487565465</v>
      </c>
      <c r="G49" s="144">
        <f t="shared" si="0"/>
        <v>4570.243118781962</v>
      </c>
      <c r="H49" s="145">
        <f t="shared" si="1"/>
        <v>2875824.0264937873</v>
      </c>
    </row>
    <row r="50" spans="2:9">
      <c r="B50" s="40"/>
      <c r="C50" s="58">
        <v>34</v>
      </c>
      <c r="D50" s="144">
        <f t="shared" si="4"/>
        <v>2875824.0264937873</v>
      </c>
      <c r="E50" s="144">
        <f t="shared" si="3"/>
        <v>19572.296606347427</v>
      </c>
      <c r="F50" s="144">
        <f t="shared" si="2"/>
        <v>14978.250137988474</v>
      </c>
      <c r="G50" s="144">
        <f t="shared" si="0"/>
        <v>4594.0464683589526</v>
      </c>
      <c r="H50" s="145">
        <f t="shared" si="1"/>
        <v>2871229.9800254283</v>
      </c>
    </row>
    <row r="51" spans="2:9">
      <c r="B51" s="40"/>
      <c r="C51" s="58">
        <v>35</v>
      </c>
      <c r="D51" s="144">
        <f t="shared" si="4"/>
        <v>2871229.9800254283</v>
      </c>
      <c r="E51" s="144">
        <f t="shared" si="3"/>
        <v>19572.296606347427</v>
      </c>
      <c r="F51" s="144">
        <f t="shared" si="2"/>
        <v>14954.322812632439</v>
      </c>
      <c r="G51" s="144">
        <f t="shared" si="0"/>
        <v>4617.9737937149876</v>
      </c>
      <c r="H51" s="145">
        <f t="shared" si="1"/>
        <v>2866612.0062317136</v>
      </c>
    </row>
    <row r="52" spans="2:9">
      <c r="B52" s="46">
        <v>3</v>
      </c>
      <c r="C52" s="147">
        <v>36</v>
      </c>
      <c r="D52" s="157">
        <f t="shared" si="4"/>
        <v>2866612.0062317136</v>
      </c>
      <c r="E52" s="157">
        <f t="shared" si="3"/>
        <v>19572.296606347427</v>
      </c>
      <c r="F52" s="157">
        <f t="shared" si="2"/>
        <v>14930.270865790175</v>
      </c>
      <c r="G52" s="157">
        <f t="shared" si="0"/>
        <v>4642.025740557252</v>
      </c>
      <c r="H52" s="158">
        <f t="shared" si="1"/>
        <v>2861969.9804911562</v>
      </c>
      <c r="I52" s="148">
        <f>+SUM(G41:G52)+SUM(F41:F52)</f>
        <v>234867.55927616911</v>
      </c>
    </row>
    <row r="53" spans="2:9">
      <c r="B53" s="40"/>
      <c r="C53" s="58">
        <v>37</v>
      </c>
      <c r="D53" s="144">
        <f t="shared" si="4"/>
        <v>2861969.9804911562</v>
      </c>
      <c r="E53" s="144">
        <f t="shared" si="3"/>
        <v>19572.296606347427</v>
      </c>
      <c r="F53" s="144">
        <f t="shared" si="2"/>
        <v>14906.093648391437</v>
      </c>
      <c r="G53" s="144">
        <f t="shared" si="0"/>
        <v>4666.2029579559894</v>
      </c>
      <c r="H53" s="145">
        <f t="shared" si="1"/>
        <v>2857303.7775332001</v>
      </c>
    </row>
    <row r="54" spans="2:9">
      <c r="B54" s="40"/>
      <c r="C54" s="58">
        <v>38</v>
      </c>
      <c r="D54" s="144">
        <f t="shared" si="4"/>
        <v>2857303.7775332001</v>
      </c>
      <c r="E54" s="144">
        <f t="shared" si="3"/>
        <v>19572.296606347427</v>
      </c>
      <c r="F54" s="144">
        <f t="shared" si="2"/>
        <v>14881.790507985417</v>
      </c>
      <c r="G54" s="144">
        <f t="shared" si="0"/>
        <v>4690.5060983620097</v>
      </c>
      <c r="H54" s="145">
        <f t="shared" si="1"/>
        <v>2852613.271434838</v>
      </c>
    </row>
    <row r="55" spans="2:9">
      <c r="B55" s="40"/>
      <c r="C55" s="58">
        <v>39</v>
      </c>
      <c r="D55" s="144">
        <f t="shared" si="4"/>
        <v>2852613.271434838</v>
      </c>
      <c r="E55" s="144">
        <f t="shared" si="3"/>
        <v>19572.296606347427</v>
      </c>
      <c r="F55" s="144">
        <f t="shared" si="2"/>
        <v>14857.360788723114</v>
      </c>
      <c r="G55" s="144">
        <f t="shared" si="0"/>
        <v>4714.9358176243131</v>
      </c>
      <c r="H55" s="145">
        <f t="shared" si="1"/>
        <v>2847898.3356172135</v>
      </c>
    </row>
    <row r="56" spans="2:9">
      <c r="B56" s="40"/>
      <c r="C56" s="58">
        <v>40</v>
      </c>
      <c r="D56" s="144">
        <f t="shared" si="4"/>
        <v>2847898.3356172135</v>
      </c>
      <c r="E56" s="144">
        <f t="shared" si="3"/>
        <v>19572.296606347427</v>
      </c>
      <c r="F56" s="144">
        <f t="shared" si="2"/>
        <v>14832.803831339654</v>
      </c>
      <c r="G56" s="144">
        <f t="shared" si="0"/>
        <v>4739.4927750077732</v>
      </c>
      <c r="H56" s="145">
        <f t="shared" si="1"/>
        <v>2843158.8428422059</v>
      </c>
    </row>
    <row r="57" spans="2:9">
      <c r="B57" s="40"/>
      <c r="C57" s="58">
        <v>41</v>
      </c>
      <c r="D57" s="144">
        <f t="shared" si="4"/>
        <v>2843158.8428422059</v>
      </c>
      <c r="E57" s="144">
        <f t="shared" si="3"/>
        <v>19572.296606347427</v>
      </c>
      <c r="F57" s="144">
        <f t="shared" si="2"/>
        <v>14808.118973136488</v>
      </c>
      <c r="G57" s="144">
        <f t="shared" si="0"/>
        <v>4764.1776332109384</v>
      </c>
      <c r="H57" s="145">
        <f t="shared" si="1"/>
        <v>2838394.6652089949</v>
      </c>
    </row>
    <row r="58" spans="2:9">
      <c r="B58" s="40"/>
      <c r="C58" s="58">
        <v>42</v>
      </c>
      <c r="D58" s="144">
        <f t="shared" si="4"/>
        <v>2838394.6652089949</v>
      </c>
      <c r="E58" s="144">
        <f t="shared" si="3"/>
        <v>19572.296606347427</v>
      </c>
      <c r="F58" s="144">
        <f t="shared" si="2"/>
        <v>14783.305547963515</v>
      </c>
      <c r="G58" s="144">
        <f t="shared" si="0"/>
        <v>4788.9910583839119</v>
      </c>
      <c r="H58" s="145">
        <f t="shared" si="1"/>
        <v>2833605.6741506108</v>
      </c>
    </row>
    <row r="59" spans="2:9">
      <c r="B59" s="40"/>
      <c r="C59" s="58">
        <v>43</v>
      </c>
      <c r="D59" s="144">
        <f t="shared" si="4"/>
        <v>2833605.6741506108</v>
      </c>
      <c r="E59" s="144">
        <f t="shared" si="3"/>
        <v>19572.296606347427</v>
      </c>
      <c r="F59" s="144">
        <f t="shared" si="2"/>
        <v>14758.362886201097</v>
      </c>
      <c r="G59" s="144">
        <f t="shared" si="0"/>
        <v>4813.9337201463295</v>
      </c>
      <c r="H59" s="145">
        <f t="shared" si="1"/>
        <v>2828791.7404304645</v>
      </c>
      <c r="I59" s="148"/>
    </row>
    <row r="60" spans="2:9">
      <c r="B60" s="40"/>
      <c r="C60" s="58">
        <v>44</v>
      </c>
      <c r="D60" s="144">
        <f t="shared" si="4"/>
        <v>2828791.7404304645</v>
      </c>
      <c r="E60" s="144">
        <f t="shared" si="3"/>
        <v>19572.296606347427</v>
      </c>
      <c r="F60" s="144">
        <f t="shared" si="2"/>
        <v>14733.290314742002</v>
      </c>
      <c r="G60" s="144">
        <f t="shared" si="0"/>
        <v>4839.0062916054248</v>
      </c>
      <c r="H60" s="145">
        <f t="shared" si="1"/>
        <v>2823952.734138859</v>
      </c>
    </row>
    <row r="61" spans="2:9">
      <c r="B61" s="40"/>
      <c r="C61" s="58">
        <v>45</v>
      </c>
      <c r="D61" s="144">
        <f t="shared" si="4"/>
        <v>2823952.734138859</v>
      </c>
      <c r="E61" s="144">
        <f t="shared" si="3"/>
        <v>19572.296606347427</v>
      </c>
      <c r="F61" s="144">
        <f t="shared" si="2"/>
        <v>14708.087156973223</v>
      </c>
      <c r="G61" s="144">
        <f t="shared" si="0"/>
        <v>4864.2094493742043</v>
      </c>
      <c r="H61" s="145">
        <f t="shared" si="1"/>
        <v>2819088.5246894849</v>
      </c>
    </row>
    <row r="62" spans="2:9">
      <c r="B62" s="40"/>
      <c r="C62" s="58">
        <v>46</v>
      </c>
      <c r="D62" s="144">
        <f t="shared" si="4"/>
        <v>2819088.5246894849</v>
      </c>
      <c r="E62" s="144">
        <f t="shared" si="3"/>
        <v>19572.296606347427</v>
      </c>
      <c r="F62" s="144">
        <f t="shared" si="2"/>
        <v>14682.752732757734</v>
      </c>
      <c r="G62" s="144">
        <f t="shared" si="0"/>
        <v>4889.5438735896932</v>
      </c>
      <c r="H62" s="145">
        <f t="shared" si="1"/>
        <v>2814198.9808158954</v>
      </c>
    </row>
    <row r="63" spans="2:9">
      <c r="B63" s="40"/>
      <c r="C63" s="58">
        <v>47</v>
      </c>
      <c r="D63" s="144">
        <f t="shared" si="4"/>
        <v>2814198.9808158954</v>
      </c>
      <c r="E63" s="144">
        <f t="shared" si="3"/>
        <v>19572.296606347427</v>
      </c>
      <c r="F63" s="144">
        <f t="shared" si="2"/>
        <v>14657.28635841612</v>
      </c>
      <c r="G63" s="144">
        <f t="shared" si="0"/>
        <v>4915.0102479313064</v>
      </c>
      <c r="H63" s="145">
        <f t="shared" si="1"/>
        <v>2809283.970567964</v>
      </c>
    </row>
    <row r="64" spans="2:9">
      <c r="B64" s="46">
        <v>4</v>
      </c>
      <c r="C64" s="147">
        <v>48</v>
      </c>
      <c r="D64" s="157">
        <f t="shared" si="4"/>
        <v>2809283.970567964</v>
      </c>
      <c r="E64" s="157">
        <f t="shared" si="3"/>
        <v>19572.296606347427</v>
      </c>
      <c r="F64" s="157">
        <f t="shared" si="2"/>
        <v>14631.687346708146</v>
      </c>
      <c r="G64" s="157">
        <f t="shared" si="0"/>
        <v>4940.6092596392809</v>
      </c>
      <c r="H64" s="158">
        <f t="shared" si="1"/>
        <v>2804343.3613083246</v>
      </c>
      <c r="I64" s="148">
        <f>+SUM(G53:G64)+SUM(F53:F64)</f>
        <v>234867.55927616911</v>
      </c>
    </row>
    <row r="65" spans="2:16">
      <c r="B65" s="40"/>
      <c r="C65" s="58">
        <v>49</v>
      </c>
      <c r="D65" s="144">
        <f t="shared" si="4"/>
        <v>2804343.3613083246</v>
      </c>
      <c r="E65" s="144">
        <f t="shared" si="3"/>
        <v>19572.296606347427</v>
      </c>
      <c r="F65" s="144">
        <f t="shared" si="2"/>
        <v>14605.955006814191</v>
      </c>
      <c r="G65" s="144">
        <f t="shared" si="0"/>
        <v>4966.3415995332361</v>
      </c>
      <c r="H65" s="145">
        <f t="shared" si="1"/>
        <v>2799377.0197087913</v>
      </c>
      <c r="I65" s="21"/>
      <c r="L65" s="21"/>
      <c r="M65" s="146"/>
      <c r="N65" s="2"/>
      <c r="P65" s="146"/>
    </row>
    <row r="66" spans="2:16">
      <c r="B66" s="40"/>
      <c r="C66" s="58">
        <v>50</v>
      </c>
      <c r="D66" s="144">
        <f t="shared" si="4"/>
        <v>2799377.0197087913</v>
      </c>
      <c r="E66" s="144">
        <f t="shared" si="3"/>
        <v>19572.296606347427</v>
      </c>
      <c r="F66" s="144">
        <f t="shared" si="2"/>
        <v>14580.08864431662</v>
      </c>
      <c r="G66" s="144">
        <f t="shared" si="0"/>
        <v>4992.2079620308068</v>
      </c>
      <c r="H66" s="145">
        <f t="shared" si="1"/>
        <v>2794384.8117467603</v>
      </c>
    </row>
    <row r="67" spans="2:16">
      <c r="B67" s="40"/>
      <c r="C67" s="58">
        <v>51</v>
      </c>
      <c r="D67" s="144">
        <f t="shared" si="4"/>
        <v>2794384.8117467603</v>
      </c>
      <c r="E67" s="144">
        <f t="shared" si="3"/>
        <v>19572.296606347427</v>
      </c>
      <c r="F67" s="144">
        <f t="shared" si="2"/>
        <v>14554.087561181042</v>
      </c>
      <c r="G67" s="144">
        <f t="shared" si="0"/>
        <v>5018.2090451663844</v>
      </c>
      <c r="H67" s="145">
        <f t="shared" si="1"/>
        <v>2789366.6027015937</v>
      </c>
      <c r="J67" s="2"/>
      <c r="K67" s="146"/>
    </row>
    <row r="68" spans="2:16">
      <c r="B68" s="40"/>
      <c r="C68" s="58">
        <v>52</v>
      </c>
      <c r="D68" s="144">
        <f t="shared" si="4"/>
        <v>2789366.6027015937</v>
      </c>
      <c r="E68" s="144">
        <f t="shared" si="3"/>
        <v>19572.296606347427</v>
      </c>
      <c r="F68" s="144">
        <f t="shared" si="2"/>
        <v>14527.951055737467</v>
      </c>
      <c r="G68" s="144">
        <f t="shared" si="0"/>
        <v>5044.3455506099599</v>
      </c>
      <c r="H68" s="145">
        <f t="shared" si="1"/>
        <v>2784322.2571509839</v>
      </c>
    </row>
    <row r="69" spans="2:16">
      <c r="B69" s="40"/>
      <c r="C69" s="58">
        <v>53</v>
      </c>
      <c r="D69" s="144">
        <f t="shared" si="4"/>
        <v>2784322.2571509839</v>
      </c>
      <c r="E69" s="144">
        <f t="shared" si="3"/>
        <v>19572.296606347427</v>
      </c>
      <c r="F69" s="144">
        <f t="shared" si="2"/>
        <v>14501.678422661374</v>
      </c>
      <c r="G69" s="144">
        <f t="shared" si="0"/>
        <v>5070.6181836860524</v>
      </c>
      <c r="H69" s="145">
        <f t="shared" si="1"/>
        <v>2779251.638967298</v>
      </c>
    </row>
    <row r="70" spans="2:16">
      <c r="B70" s="40"/>
      <c r="C70" s="58">
        <v>54</v>
      </c>
      <c r="D70" s="144">
        <f t="shared" si="4"/>
        <v>2779251.638967298</v>
      </c>
      <c r="E70" s="144">
        <f t="shared" si="3"/>
        <v>19572.296606347427</v>
      </c>
      <c r="F70" s="144">
        <f t="shared" si="2"/>
        <v>14475.268952954677</v>
      </c>
      <c r="G70" s="144">
        <f t="shared" si="0"/>
        <v>5097.0276533927499</v>
      </c>
      <c r="H70" s="145">
        <f t="shared" si="1"/>
        <v>2774154.6113139051</v>
      </c>
      <c r="I70" s="148"/>
    </row>
    <row r="71" spans="2:16">
      <c r="B71" s="40"/>
      <c r="C71" s="58">
        <v>55</v>
      </c>
      <c r="D71" s="144">
        <f t="shared" si="4"/>
        <v>2774154.6113139051</v>
      </c>
      <c r="E71" s="144">
        <f t="shared" si="3"/>
        <v>19572.296606347427</v>
      </c>
      <c r="F71" s="144">
        <f t="shared" si="2"/>
        <v>14448.721933926588</v>
      </c>
      <c r="G71" s="144">
        <f t="shared" si="0"/>
        <v>5123.5746724208384</v>
      </c>
      <c r="H71" s="145">
        <f t="shared" si="1"/>
        <v>2769031.0366414841</v>
      </c>
      <c r="I71" s="148"/>
    </row>
    <row r="72" spans="2:16">
      <c r="B72" s="40"/>
      <c r="C72" s="58">
        <v>56</v>
      </c>
      <c r="D72" s="144">
        <f t="shared" si="4"/>
        <v>2769031.0366414841</v>
      </c>
      <c r="E72" s="144">
        <f t="shared" si="3"/>
        <v>19572.296606347427</v>
      </c>
      <c r="F72" s="144">
        <f t="shared" si="2"/>
        <v>14422.036649174395</v>
      </c>
      <c r="G72" s="144">
        <f t="shared" si="0"/>
        <v>5150.2599571730316</v>
      </c>
      <c r="H72" s="145">
        <f t="shared" si="1"/>
        <v>2763880.7766843112</v>
      </c>
    </row>
    <row r="73" spans="2:16">
      <c r="B73" s="40"/>
      <c r="C73" s="58">
        <v>57</v>
      </c>
      <c r="D73" s="144">
        <f t="shared" si="4"/>
        <v>2763880.7766843112</v>
      </c>
      <c r="E73" s="144">
        <f t="shared" si="3"/>
        <v>19572.296606347427</v>
      </c>
      <c r="F73" s="144">
        <f t="shared" si="2"/>
        <v>14395.21237856412</v>
      </c>
      <c r="G73" s="144">
        <f t="shared" si="0"/>
        <v>5177.0842277833071</v>
      </c>
      <c r="H73" s="145">
        <f t="shared" si="1"/>
        <v>2758703.6924565281</v>
      </c>
    </row>
    <row r="74" spans="2:16">
      <c r="B74" s="40"/>
      <c r="C74" s="58">
        <v>58</v>
      </c>
      <c r="D74" s="144">
        <f t="shared" si="4"/>
        <v>2758703.6924565281</v>
      </c>
      <c r="E74" s="144">
        <f t="shared" si="3"/>
        <v>19572.296606347427</v>
      </c>
      <c r="F74" s="144">
        <f t="shared" si="2"/>
        <v>14368.248398211083</v>
      </c>
      <c r="G74" s="144">
        <f t="shared" si="0"/>
        <v>5204.0482081363443</v>
      </c>
      <c r="H74" s="145">
        <f t="shared" si="1"/>
        <v>2753499.6442483915</v>
      </c>
    </row>
    <row r="75" spans="2:16">
      <c r="B75" s="40"/>
      <c r="C75" s="58">
        <v>59</v>
      </c>
      <c r="D75" s="144">
        <f t="shared" si="4"/>
        <v>2753499.6442483915</v>
      </c>
      <c r="E75" s="144">
        <f t="shared" si="3"/>
        <v>19572.296606347427</v>
      </c>
      <c r="F75" s="144">
        <f t="shared" si="2"/>
        <v>14341.143980460372</v>
      </c>
      <c r="G75" s="144">
        <f t="shared" si="0"/>
        <v>5231.1526258870545</v>
      </c>
      <c r="H75" s="145">
        <f t="shared" si="1"/>
        <v>2748268.4916225043</v>
      </c>
    </row>
    <row r="76" spans="2:16">
      <c r="B76" s="46">
        <v>5</v>
      </c>
      <c r="C76" s="147">
        <v>60</v>
      </c>
      <c r="D76" s="157">
        <f t="shared" si="4"/>
        <v>2748268.4916225043</v>
      </c>
      <c r="E76" s="157">
        <f t="shared" si="3"/>
        <v>19572.296606347427</v>
      </c>
      <c r="F76" s="157">
        <f t="shared" si="2"/>
        <v>14313.89839386721</v>
      </c>
      <c r="G76" s="157">
        <f t="shared" si="0"/>
        <v>5258.3982124802169</v>
      </c>
      <c r="H76" s="158">
        <f t="shared" si="1"/>
        <v>2743010.093410024</v>
      </c>
      <c r="I76" s="148">
        <f>+SUM(G65:G76)+SUM(F65:F76)</f>
        <v>234867.55927616911</v>
      </c>
    </row>
    <row r="77" spans="2:16">
      <c r="B77" s="40"/>
      <c r="C77" s="58">
        <v>61</v>
      </c>
      <c r="D77" s="144">
        <f t="shared" si="4"/>
        <v>2743010.093410024</v>
      </c>
      <c r="E77" s="144">
        <f t="shared" si="3"/>
        <v>19572.296606347427</v>
      </c>
      <c r="F77" s="144">
        <f t="shared" si="2"/>
        <v>14286.510903177208</v>
      </c>
      <c r="G77" s="144">
        <f t="shared" si="0"/>
        <v>5285.7857031702188</v>
      </c>
      <c r="H77" s="145">
        <f t="shared" si="1"/>
        <v>2737724.3077068538</v>
      </c>
    </row>
    <row r="78" spans="2:16">
      <c r="B78" s="40"/>
      <c r="C78" s="58">
        <v>62</v>
      </c>
      <c r="D78" s="144">
        <f t="shared" si="4"/>
        <v>2737724.3077068538</v>
      </c>
      <c r="E78" s="144">
        <f t="shared" si="3"/>
        <v>19572.296606347427</v>
      </c>
      <c r="F78" s="144">
        <f t="shared" si="2"/>
        <v>14258.98076930653</v>
      </c>
      <c r="G78" s="144">
        <f t="shared" si="0"/>
        <v>5313.3158370408964</v>
      </c>
      <c r="H78" s="145">
        <f t="shared" si="1"/>
        <v>2732410.9918698128</v>
      </c>
    </row>
    <row r="79" spans="2:16">
      <c r="B79" s="40"/>
      <c r="C79" s="58">
        <v>63</v>
      </c>
      <c r="D79" s="144">
        <f t="shared" si="4"/>
        <v>2732410.9918698128</v>
      </c>
      <c r="E79" s="144">
        <f t="shared" si="3"/>
        <v>19572.296606347427</v>
      </c>
      <c r="F79" s="144">
        <f t="shared" si="2"/>
        <v>14231.307249321941</v>
      </c>
      <c r="G79" s="144">
        <f t="shared" si="0"/>
        <v>5340.9893570254862</v>
      </c>
      <c r="H79" s="145">
        <f t="shared" si="1"/>
        <v>2727070.0025127875</v>
      </c>
    </row>
    <row r="80" spans="2:16">
      <c r="B80" s="40"/>
      <c r="C80" s="58">
        <v>64</v>
      </c>
      <c r="D80" s="144">
        <f t="shared" si="4"/>
        <v>2727070.0025127875</v>
      </c>
      <c r="E80" s="144">
        <f t="shared" si="3"/>
        <v>19572.296606347427</v>
      </c>
      <c r="F80" s="144">
        <f t="shared" si="2"/>
        <v>14203.489596420768</v>
      </c>
      <c r="G80" s="144">
        <f t="shared" si="0"/>
        <v>5368.8070099266588</v>
      </c>
      <c r="H80" s="145">
        <f t="shared" si="1"/>
        <v>2721701.1955028609</v>
      </c>
    </row>
    <row r="81" spans="2:9">
      <c r="B81" s="40"/>
      <c r="C81" s="58">
        <v>65</v>
      </c>
      <c r="D81" s="144">
        <f t="shared" si="4"/>
        <v>2721701.1955028609</v>
      </c>
      <c r="E81" s="144">
        <f t="shared" si="3"/>
        <v>19572.296606347427</v>
      </c>
      <c r="F81" s="144">
        <f t="shared" si="2"/>
        <v>14175.527059910733</v>
      </c>
      <c r="G81" s="144">
        <f t="shared" ref="G81:G144" si="5">E81-F81</f>
        <v>5396.7695464366934</v>
      </c>
      <c r="H81" s="145">
        <f t="shared" ref="H81:H144" si="6">D81-G81</f>
        <v>2716304.4259564243</v>
      </c>
    </row>
    <row r="82" spans="2:9">
      <c r="B82" s="40"/>
      <c r="C82" s="58">
        <v>66</v>
      </c>
      <c r="D82" s="144">
        <f t="shared" si="4"/>
        <v>2716304.4259564243</v>
      </c>
      <c r="E82" s="144">
        <f t="shared" si="3"/>
        <v>19572.296606347427</v>
      </c>
      <c r="F82" s="144">
        <f t="shared" ref="F82:F145" si="7">IF(C82&gt;$C$10,0,($C$6/12)*H81)</f>
        <v>14147.418885189709</v>
      </c>
      <c r="G82" s="144">
        <f t="shared" si="5"/>
        <v>5424.877721157718</v>
      </c>
      <c r="H82" s="145">
        <f t="shared" si="6"/>
        <v>2710879.5482352665</v>
      </c>
    </row>
    <row r="83" spans="2:9">
      <c r="B83" s="40"/>
      <c r="C83" s="58">
        <v>67</v>
      </c>
      <c r="D83" s="144">
        <f t="shared" si="4"/>
        <v>2710879.5482352665</v>
      </c>
      <c r="E83" s="144">
        <f t="shared" si="3"/>
        <v>19572.296606347427</v>
      </c>
      <c r="F83" s="144">
        <f t="shared" si="7"/>
        <v>14119.164313725345</v>
      </c>
      <c r="G83" s="144">
        <f t="shared" si="5"/>
        <v>5453.1322926220819</v>
      </c>
      <c r="H83" s="145">
        <f t="shared" si="6"/>
        <v>2705426.4159426442</v>
      </c>
      <c r="I83" s="148"/>
    </row>
    <row r="84" spans="2:9">
      <c r="B84" s="40"/>
      <c r="C84" s="58">
        <v>68</v>
      </c>
      <c r="D84" s="144">
        <f t="shared" si="4"/>
        <v>2705426.4159426442</v>
      </c>
      <c r="E84" s="144">
        <f t="shared" si="3"/>
        <v>19572.296606347427</v>
      </c>
      <c r="F84" s="144">
        <f t="shared" si="7"/>
        <v>14090.762583034604</v>
      </c>
      <c r="G84" s="144">
        <f t="shared" si="5"/>
        <v>5481.5340233128227</v>
      </c>
      <c r="H84" s="145">
        <f t="shared" si="6"/>
        <v>2699944.8819193314</v>
      </c>
    </row>
    <row r="85" spans="2:9">
      <c r="B85" s="40"/>
      <c r="C85" s="58">
        <v>69</v>
      </c>
      <c r="D85" s="144">
        <f t="shared" si="4"/>
        <v>2699944.8819193314</v>
      </c>
      <c r="E85" s="144">
        <f t="shared" ref="E85:E148" si="8">IF(C85&gt;$C$10,0,IF(C85&lt;=$C$8,F85,-PMT($C$6/12,$C$9,$C$5,0,0)))</f>
        <v>19572.296606347427</v>
      </c>
      <c r="F85" s="144">
        <f t="shared" si="7"/>
        <v>14062.212926663184</v>
      </c>
      <c r="G85" s="144">
        <f t="shared" si="5"/>
        <v>5510.0836796842432</v>
      </c>
      <c r="H85" s="145">
        <f t="shared" si="6"/>
        <v>2694434.7982396469</v>
      </c>
    </row>
    <row r="86" spans="2:9">
      <c r="B86" s="40"/>
      <c r="C86" s="58">
        <v>70</v>
      </c>
      <c r="D86" s="144">
        <f t="shared" ref="D86:D149" si="9">IF(C86&gt;$C$10,0,H85)</f>
        <v>2694434.7982396469</v>
      </c>
      <c r="E86" s="144">
        <f t="shared" si="8"/>
        <v>19572.296606347427</v>
      </c>
      <c r="F86" s="144">
        <f t="shared" si="7"/>
        <v>14033.514574164827</v>
      </c>
      <c r="G86" s="144">
        <f t="shared" si="5"/>
        <v>5538.7820321826002</v>
      </c>
      <c r="H86" s="145">
        <f t="shared" si="6"/>
        <v>2688896.0162074645</v>
      </c>
    </row>
    <row r="87" spans="2:9">
      <c r="B87" s="40"/>
      <c r="C87" s="58">
        <v>71</v>
      </c>
      <c r="D87" s="144">
        <f t="shared" si="9"/>
        <v>2688896.0162074645</v>
      </c>
      <c r="E87" s="144">
        <f t="shared" si="8"/>
        <v>19572.296606347427</v>
      </c>
      <c r="F87" s="144">
        <f t="shared" si="7"/>
        <v>14004.666751080544</v>
      </c>
      <c r="G87" s="144">
        <f t="shared" si="5"/>
        <v>5567.6298552668832</v>
      </c>
      <c r="H87" s="145">
        <f t="shared" si="6"/>
        <v>2683328.3863521977</v>
      </c>
    </row>
    <row r="88" spans="2:9">
      <c r="B88" s="46">
        <v>6</v>
      </c>
      <c r="C88" s="147">
        <v>72</v>
      </c>
      <c r="D88" s="157">
        <f t="shared" si="9"/>
        <v>2683328.3863521977</v>
      </c>
      <c r="E88" s="157">
        <f t="shared" si="8"/>
        <v>19572.296606347427</v>
      </c>
      <c r="F88" s="157">
        <f t="shared" si="7"/>
        <v>13975.668678917697</v>
      </c>
      <c r="G88" s="157">
        <f t="shared" si="5"/>
        <v>5596.6279274297303</v>
      </c>
      <c r="H88" s="158">
        <f t="shared" si="6"/>
        <v>2677731.7584247682</v>
      </c>
      <c r="I88" s="148">
        <f>+SUM(G77:G88)+SUM(F77:F88)</f>
        <v>234867.55927616911</v>
      </c>
    </row>
    <row r="89" spans="2:9">
      <c r="B89" s="40"/>
      <c r="C89" s="58">
        <v>73</v>
      </c>
      <c r="D89" s="144">
        <f t="shared" si="9"/>
        <v>2677731.7584247682</v>
      </c>
      <c r="E89" s="144">
        <f t="shared" si="8"/>
        <v>19572.296606347427</v>
      </c>
      <c r="F89" s="144">
        <f t="shared" si="7"/>
        <v>13946.519575129001</v>
      </c>
      <c r="G89" s="144">
        <f t="shared" si="5"/>
        <v>5625.7770312184257</v>
      </c>
      <c r="H89" s="145">
        <f t="shared" si="6"/>
        <v>2672105.9813935496</v>
      </c>
    </row>
    <row r="90" spans="2:9">
      <c r="B90" s="40"/>
      <c r="C90" s="58">
        <v>74</v>
      </c>
      <c r="D90" s="144">
        <f t="shared" si="9"/>
        <v>2672105.9813935496</v>
      </c>
      <c r="E90" s="144">
        <f t="shared" si="8"/>
        <v>19572.296606347427</v>
      </c>
      <c r="F90" s="144">
        <f t="shared" si="7"/>
        <v>13917.218653091404</v>
      </c>
      <c r="G90" s="144">
        <f t="shared" si="5"/>
        <v>5655.0779532560227</v>
      </c>
      <c r="H90" s="145">
        <f t="shared" si="6"/>
        <v>2666450.9034402934</v>
      </c>
    </row>
    <row r="91" spans="2:9">
      <c r="B91" s="40"/>
      <c r="C91" s="58">
        <v>75</v>
      </c>
      <c r="D91" s="144">
        <f t="shared" si="9"/>
        <v>2666450.9034402934</v>
      </c>
      <c r="E91" s="144">
        <f t="shared" si="8"/>
        <v>19572.296606347427</v>
      </c>
      <c r="F91" s="144">
        <f t="shared" si="7"/>
        <v>13887.76512208486</v>
      </c>
      <c r="G91" s="144">
        <f t="shared" si="5"/>
        <v>5684.5314842625667</v>
      </c>
      <c r="H91" s="145">
        <f t="shared" si="6"/>
        <v>2660766.3719560308</v>
      </c>
    </row>
    <row r="92" spans="2:9">
      <c r="B92" s="40"/>
      <c r="C92" s="58">
        <v>76</v>
      </c>
      <c r="D92" s="144">
        <f t="shared" si="9"/>
        <v>2660766.3719560308</v>
      </c>
      <c r="E92" s="144">
        <f t="shared" si="8"/>
        <v>19572.296606347427</v>
      </c>
      <c r="F92" s="144">
        <f t="shared" si="7"/>
        <v>13858.158187270994</v>
      </c>
      <c r="G92" s="144">
        <f t="shared" si="5"/>
        <v>5714.1384190764329</v>
      </c>
      <c r="H92" s="145">
        <f t="shared" si="6"/>
        <v>2655052.2335369545</v>
      </c>
    </row>
    <row r="93" spans="2:9">
      <c r="B93" s="40"/>
      <c r="C93" s="58">
        <v>77</v>
      </c>
      <c r="D93" s="144">
        <f t="shared" si="9"/>
        <v>2655052.2335369545</v>
      </c>
      <c r="E93" s="144">
        <f t="shared" si="8"/>
        <v>19572.296606347427</v>
      </c>
      <c r="F93" s="144">
        <f t="shared" si="7"/>
        <v>13828.397049671637</v>
      </c>
      <c r="G93" s="144">
        <f t="shared" si="5"/>
        <v>5743.8995566757894</v>
      </c>
      <c r="H93" s="145">
        <f t="shared" si="6"/>
        <v>2649308.3339802786</v>
      </c>
    </row>
    <row r="94" spans="2:9">
      <c r="B94" s="40"/>
      <c r="C94" s="58">
        <v>78</v>
      </c>
      <c r="D94" s="144">
        <f t="shared" si="9"/>
        <v>2649308.3339802786</v>
      </c>
      <c r="E94" s="144">
        <f t="shared" si="8"/>
        <v>19572.296606347427</v>
      </c>
      <c r="F94" s="144">
        <f t="shared" si="7"/>
        <v>13798.480906147284</v>
      </c>
      <c r="G94" s="144">
        <f t="shared" si="5"/>
        <v>5773.8157002001426</v>
      </c>
      <c r="H94" s="145">
        <f t="shared" si="6"/>
        <v>2643534.5182800787</v>
      </c>
    </row>
    <row r="95" spans="2:9">
      <c r="B95" s="40"/>
      <c r="C95" s="58">
        <v>79</v>
      </c>
      <c r="D95" s="144">
        <f t="shared" si="9"/>
        <v>2643534.5182800787</v>
      </c>
      <c r="E95" s="144">
        <f t="shared" si="8"/>
        <v>19572.296606347427</v>
      </c>
      <c r="F95" s="144">
        <f t="shared" si="7"/>
        <v>13768.408949375409</v>
      </c>
      <c r="G95" s="144">
        <f t="shared" si="5"/>
        <v>5803.8876569720178</v>
      </c>
      <c r="H95" s="145">
        <f t="shared" si="6"/>
        <v>2637730.6306231068</v>
      </c>
      <c r="I95" s="148"/>
    </row>
    <row r="96" spans="2:9">
      <c r="B96" s="40"/>
      <c r="C96" s="58">
        <v>80</v>
      </c>
      <c r="D96" s="144">
        <f t="shared" si="9"/>
        <v>2637730.6306231068</v>
      </c>
      <c r="E96" s="144">
        <f t="shared" si="8"/>
        <v>19572.296606347427</v>
      </c>
      <c r="F96" s="144">
        <f t="shared" si="7"/>
        <v>13738.180367828681</v>
      </c>
      <c r="G96" s="144">
        <f t="shared" si="5"/>
        <v>5834.1162385187454</v>
      </c>
      <c r="H96" s="145">
        <f t="shared" si="6"/>
        <v>2631896.5143845882</v>
      </c>
    </row>
    <row r="97" spans="2:9">
      <c r="B97" s="40"/>
      <c r="C97" s="58">
        <v>81</v>
      </c>
      <c r="D97" s="144">
        <f t="shared" si="9"/>
        <v>2631896.5143845882</v>
      </c>
      <c r="E97" s="144">
        <f t="shared" si="8"/>
        <v>19572.296606347427</v>
      </c>
      <c r="F97" s="144">
        <f t="shared" si="7"/>
        <v>13707.794345753064</v>
      </c>
      <c r="G97" s="144">
        <f t="shared" si="5"/>
        <v>5864.5022605943632</v>
      </c>
      <c r="H97" s="145">
        <f t="shared" si="6"/>
        <v>2626032.0121239941</v>
      </c>
    </row>
    <row r="98" spans="2:9">
      <c r="B98" s="40"/>
      <c r="C98" s="58">
        <v>82</v>
      </c>
      <c r="D98" s="144">
        <f t="shared" si="9"/>
        <v>2626032.0121239941</v>
      </c>
      <c r="E98" s="144">
        <f t="shared" si="8"/>
        <v>19572.296606347427</v>
      </c>
      <c r="F98" s="144">
        <f t="shared" si="7"/>
        <v>13677.250063145802</v>
      </c>
      <c r="G98" s="144">
        <f t="shared" si="5"/>
        <v>5895.0465432016244</v>
      </c>
      <c r="H98" s="145">
        <f t="shared" si="6"/>
        <v>2620136.9655807926</v>
      </c>
    </row>
    <row r="99" spans="2:9">
      <c r="B99" s="40"/>
      <c r="C99" s="58">
        <v>83</v>
      </c>
      <c r="D99" s="144">
        <f t="shared" si="9"/>
        <v>2620136.9655807926</v>
      </c>
      <c r="E99" s="144">
        <f t="shared" si="8"/>
        <v>19572.296606347427</v>
      </c>
      <c r="F99" s="144">
        <f t="shared" si="7"/>
        <v>13646.546695733294</v>
      </c>
      <c r="G99" s="144">
        <f t="shared" si="5"/>
        <v>5925.7499106141331</v>
      </c>
      <c r="H99" s="145">
        <f t="shared" si="6"/>
        <v>2614211.2156701786</v>
      </c>
    </row>
    <row r="100" spans="2:9">
      <c r="B100" s="46">
        <v>7</v>
      </c>
      <c r="C100" s="147">
        <v>84</v>
      </c>
      <c r="D100" s="157">
        <f t="shared" si="9"/>
        <v>2614211.2156701786</v>
      </c>
      <c r="E100" s="157">
        <f t="shared" si="8"/>
        <v>19572.296606347427</v>
      </c>
      <c r="F100" s="157">
        <f t="shared" si="7"/>
        <v>13615.683414948846</v>
      </c>
      <c r="G100" s="157">
        <f t="shared" si="5"/>
        <v>5956.613191398581</v>
      </c>
      <c r="H100" s="158">
        <f t="shared" si="6"/>
        <v>2608254.6024787799</v>
      </c>
      <c r="I100" s="148">
        <f>+SUM(G89:G100)+SUM(F89:F100)</f>
        <v>234867.55927616914</v>
      </c>
    </row>
    <row r="101" spans="2:9">
      <c r="B101" s="40"/>
      <c r="C101" s="58">
        <v>85</v>
      </c>
      <c r="D101" s="144">
        <f t="shared" si="9"/>
        <v>2608254.6024787799</v>
      </c>
      <c r="E101" s="144">
        <f t="shared" si="8"/>
        <v>19572.296606347427</v>
      </c>
      <c r="F101" s="144">
        <f t="shared" si="7"/>
        <v>13584.659387910311</v>
      </c>
      <c r="G101" s="144">
        <f t="shared" si="5"/>
        <v>5987.6372184371157</v>
      </c>
      <c r="H101" s="145">
        <f t="shared" si="6"/>
        <v>2602266.9652603427</v>
      </c>
    </row>
    <row r="102" spans="2:9">
      <c r="B102" s="40"/>
      <c r="C102" s="58">
        <v>86</v>
      </c>
      <c r="D102" s="144">
        <f t="shared" si="9"/>
        <v>2602266.9652603427</v>
      </c>
      <c r="E102" s="144">
        <f t="shared" si="8"/>
        <v>19572.296606347427</v>
      </c>
      <c r="F102" s="144">
        <f t="shared" si="7"/>
        <v>13553.473777397618</v>
      </c>
      <c r="G102" s="144">
        <f t="shared" si="5"/>
        <v>6018.8228289498093</v>
      </c>
      <c r="H102" s="145">
        <f t="shared" si="6"/>
        <v>2596248.1424313928</v>
      </c>
    </row>
    <row r="103" spans="2:9">
      <c r="B103" s="40"/>
      <c r="C103" s="58">
        <v>87</v>
      </c>
      <c r="D103" s="144">
        <f t="shared" si="9"/>
        <v>2596248.1424313928</v>
      </c>
      <c r="E103" s="144">
        <f t="shared" si="8"/>
        <v>19572.296606347427</v>
      </c>
      <c r="F103" s="144">
        <f t="shared" si="7"/>
        <v>13522.12574183017</v>
      </c>
      <c r="G103" s="144">
        <f t="shared" si="5"/>
        <v>6050.1708645172566</v>
      </c>
      <c r="H103" s="145">
        <f t="shared" si="6"/>
        <v>2590197.9715668755</v>
      </c>
    </row>
    <row r="104" spans="2:9">
      <c r="B104" s="40"/>
      <c r="C104" s="58">
        <v>88</v>
      </c>
      <c r="D104" s="144">
        <f t="shared" si="9"/>
        <v>2590197.9715668755</v>
      </c>
      <c r="E104" s="144">
        <f t="shared" si="8"/>
        <v>19572.296606347427</v>
      </c>
      <c r="F104" s="144">
        <f t="shared" si="7"/>
        <v>13490.614435244142</v>
      </c>
      <c r="G104" s="144">
        <f t="shared" si="5"/>
        <v>6081.6821711032844</v>
      </c>
      <c r="H104" s="145">
        <f t="shared" si="6"/>
        <v>2584116.2893957724</v>
      </c>
    </row>
    <row r="105" spans="2:9">
      <c r="B105" s="40"/>
      <c r="C105" s="58">
        <v>89</v>
      </c>
      <c r="D105" s="144">
        <f t="shared" si="9"/>
        <v>2584116.2893957724</v>
      </c>
      <c r="E105" s="144">
        <f t="shared" si="8"/>
        <v>19572.296606347427</v>
      </c>
      <c r="F105" s="144">
        <f t="shared" si="7"/>
        <v>13458.939007269648</v>
      </c>
      <c r="G105" s="144">
        <f t="shared" si="5"/>
        <v>6113.357599077779</v>
      </c>
      <c r="H105" s="145">
        <f t="shared" si="6"/>
        <v>2578002.9317966946</v>
      </c>
    </row>
    <row r="106" spans="2:9">
      <c r="B106" s="40"/>
      <c r="C106" s="58">
        <v>90</v>
      </c>
      <c r="D106" s="144">
        <f t="shared" si="9"/>
        <v>2578002.9317966946</v>
      </c>
      <c r="E106" s="144">
        <f t="shared" si="8"/>
        <v>19572.296606347427</v>
      </c>
      <c r="F106" s="144">
        <f t="shared" si="7"/>
        <v>13427.098603107785</v>
      </c>
      <c r="G106" s="144">
        <f t="shared" si="5"/>
        <v>6145.1980032396423</v>
      </c>
      <c r="H106" s="145">
        <f t="shared" si="6"/>
        <v>2571857.7337934552</v>
      </c>
    </row>
    <row r="107" spans="2:9">
      <c r="B107" s="40"/>
      <c r="C107" s="58">
        <v>91</v>
      </c>
      <c r="D107" s="144">
        <f t="shared" si="9"/>
        <v>2571857.7337934552</v>
      </c>
      <c r="E107" s="144">
        <f t="shared" si="8"/>
        <v>19572.296606347427</v>
      </c>
      <c r="F107" s="144">
        <f t="shared" si="7"/>
        <v>13395.092363507578</v>
      </c>
      <c r="G107" s="144">
        <f t="shared" si="5"/>
        <v>6177.204242839849</v>
      </c>
      <c r="H107" s="145">
        <f t="shared" si="6"/>
        <v>2565680.5295506152</v>
      </c>
    </row>
    <row r="108" spans="2:9">
      <c r="B108" s="40"/>
      <c r="C108" s="58">
        <v>92</v>
      </c>
      <c r="D108" s="144">
        <f t="shared" si="9"/>
        <v>2565680.5295506152</v>
      </c>
      <c r="E108" s="144">
        <f t="shared" si="8"/>
        <v>19572.296606347427</v>
      </c>
      <c r="F108" s="144">
        <f t="shared" si="7"/>
        <v>13362.919424742788</v>
      </c>
      <c r="G108" s="144">
        <f t="shared" si="5"/>
        <v>6209.3771816046392</v>
      </c>
      <c r="H108" s="145">
        <f t="shared" si="6"/>
        <v>2559471.1523690107</v>
      </c>
    </row>
    <row r="109" spans="2:9">
      <c r="B109" s="40"/>
      <c r="C109" s="58">
        <v>93</v>
      </c>
      <c r="D109" s="144">
        <f t="shared" si="9"/>
        <v>2559471.1523690107</v>
      </c>
      <c r="E109" s="144">
        <f t="shared" si="8"/>
        <v>19572.296606347427</v>
      </c>
      <c r="F109" s="144">
        <f t="shared" si="7"/>
        <v>13330.578918588597</v>
      </c>
      <c r="G109" s="144">
        <f t="shared" si="5"/>
        <v>6241.7176877588299</v>
      </c>
      <c r="H109" s="145">
        <f t="shared" si="6"/>
        <v>2553229.4346812521</v>
      </c>
    </row>
    <row r="110" spans="2:9">
      <c r="B110" s="40"/>
      <c r="C110" s="58">
        <v>94</v>
      </c>
      <c r="D110" s="144">
        <f t="shared" si="9"/>
        <v>2553229.4346812521</v>
      </c>
      <c r="E110" s="144">
        <f t="shared" si="8"/>
        <v>19572.296606347427</v>
      </c>
      <c r="F110" s="144">
        <f t="shared" si="7"/>
        <v>13298.069972298188</v>
      </c>
      <c r="G110" s="144">
        <f t="shared" si="5"/>
        <v>6274.2266340492388</v>
      </c>
      <c r="H110" s="145">
        <f t="shared" si="6"/>
        <v>2546955.2080472028</v>
      </c>
    </row>
    <row r="111" spans="2:9">
      <c r="B111" s="40"/>
      <c r="C111" s="58">
        <v>95</v>
      </c>
      <c r="D111" s="144">
        <f t="shared" si="9"/>
        <v>2546955.2080472028</v>
      </c>
      <c r="E111" s="144">
        <f t="shared" si="8"/>
        <v>19572.296606347427</v>
      </c>
      <c r="F111" s="144">
        <f t="shared" si="7"/>
        <v>13265.39170857918</v>
      </c>
      <c r="G111" s="144">
        <f t="shared" si="5"/>
        <v>6306.9048977682469</v>
      </c>
      <c r="H111" s="145">
        <f t="shared" si="6"/>
        <v>2540648.3031494347</v>
      </c>
    </row>
    <row r="112" spans="2:9">
      <c r="B112" s="46">
        <v>8</v>
      </c>
      <c r="C112" s="147">
        <v>96</v>
      </c>
      <c r="D112" s="157">
        <f t="shared" si="9"/>
        <v>2540648.3031494347</v>
      </c>
      <c r="E112" s="157">
        <f t="shared" si="8"/>
        <v>19572.296606347427</v>
      </c>
      <c r="F112" s="157">
        <f t="shared" si="7"/>
        <v>13232.543245569972</v>
      </c>
      <c r="G112" s="157">
        <f t="shared" si="5"/>
        <v>6339.7533607774549</v>
      </c>
      <c r="H112" s="158">
        <f t="shared" si="6"/>
        <v>2534308.5497886571</v>
      </c>
      <c r="I112" s="148">
        <f>+SUM(G101:G112)+SUM(F101:F112)</f>
        <v>234867.55927616911</v>
      </c>
    </row>
    <row r="113" spans="2:9">
      <c r="B113" s="187"/>
      <c r="C113" s="188">
        <v>97</v>
      </c>
      <c r="D113" s="189">
        <f t="shared" si="9"/>
        <v>2534308.5497886571</v>
      </c>
      <c r="E113" s="189">
        <f t="shared" si="8"/>
        <v>19572.296606347427</v>
      </c>
      <c r="F113" s="189">
        <f t="shared" si="7"/>
        <v>13199.523696815922</v>
      </c>
      <c r="G113" s="189">
        <f t="shared" si="5"/>
        <v>6372.7729095315044</v>
      </c>
      <c r="H113" s="190">
        <f t="shared" si="6"/>
        <v>2527935.7768791257</v>
      </c>
    </row>
    <row r="114" spans="2:9">
      <c r="B114" s="40"/>
      <c r="C114" s="58">
        <v>98</v>
      </c>
      <c r="D114" s="144">
        <f t="shared" si="9"/>
        <v>2527935.7768791257</v>
      </c>
      <c r="E114" s="144">
        <f t="shared" si="8"/>
        <v>19572.296606347427</v>
      </c>
      <c r="F114" s="144">
        <f t="shared" si="7"/>
        <v>13166.332171245445</v>
      </c>
      <c r="G114" s="144">
        <f t="shared" si="5"/>
        <v>6405.9644351019815</v>
      </c>
      <c r="H114" s="145">
        <f t="shared" si="6"/>
        <v>2521529.8124440238</v>
      </c>
    </row>
    <row r="115" spans="2:9">
      <c r="B115" s="40"/>
      <c r="C115" s="58">
        <v>99</v>
      </c>
      <c r="D115" s="144">
        <f t="shared" si="9"/>
        <v>2521529.8124440238</v>
      </c>
      <c r="E115" s="144">
        <f t="shared" si="8"/>
        <v>19572.296606347427</v>
      </c>
      <c r="F115" s="144">
        <f t="shared" si="7"/>
        <v>13132.967773145956</v>
      </c>
      <c r="G115" s="144">
        <f t="shared" si="5"/>
        <v>6439.3288332014708</v>
      </c>
      <c r="H115" s="145">
        <f t="shared" si="6"/>
        <v>2515090.4836108224</v>
      </c>
    </row>
    <row r="116" spans="2:9">
      <c r="B116" s="40"/>
      <c r="C116" s="58">
        <v>100</v>
      </c>
      <c r="D116" s="144">
        <f t="shared" si="9"/>
        <v>2515090.4836108224</v>
      </c>
      <c r="E116" s="144">
        <f t="shared" si="8"/>
        <v>19572.296606347427</v>
      </c>
      <c r="F116" s="144">
        <f t="shared" si="7"/>
        <v>13099.429602139699</v>
      </c>
      <c r="G116" s="144">
        <f t="shared" si="5"/>
        <v>6472.8670042077283</v>
      </c>
      <c r="H116" s="145">
        <f t="shared" si="6"/>
        <v>2508617.6166066146</v>
      </c>
    </row>
    <row r="117" spans="2:9">
      <c r="B117" s="40"/>
      <c r="C117" s="58">
        <v>101</v>
      </c>
      <c r="D117" s="144">
        <f t="shared" si="9"/>
        <v>2508617.6166066146</v>
      </c>
      <c r="E117" s="144">
        <f t="shared" si="8"/>
        <v>19572.296606347427</v>
      </c>
      <c r="F117" s="144">
        <f t="shared" si="7"/>
        <v>13065.71675315945</v>
      </c>
      <c r="G117" s="144">
        <f t="shared" si="5"/>
        <v>6506.5798531879773</v>
      </c>
      <c r="H117" s="145">
        <f t="shared" si="6"/>
        <v>2502111.0367534268</v>
      </c>
    </row>
    <row r="118" spans="2:9">
      <c r="B118" s="40"/>
      <c r="C118" s="58">
        <v>102</v>
      </c>
      <c r="D118" s="144">
        <f t="shared" si="9"/>
        <v>2502111.0367534268</v>
      </c>
      <c r="E118" s="144">
        <f t="shared" si="8"/>
        <v>19572.296606347427</v>
      </c>
      <c r="F118" s="144">
        <f t="shared" si="7"/>
        <v>13031.828316424097</v>
      </c>
      <c r="G118" s="144">
        <f t="shared" si="5"/>
        <v>6540.4682899233303</v>
      </c>
      <c r="H118" s="145">
        <f t="shared" si="6"/>
        <v>2495570.5684635034</v>
      </c>
    </row>
    <row r="119" spans="2:9">
      <c r="B119" s="40"/>
      <c r="C119" s="58">
        <v>103</v>
      </c>
      <c r="D119" s="144">
        <f t="shared" si="9"/>
        <v>2495570.5684635034</v>
      </c>
      <c r="E119" s="144">
        <f t="shared" si="8"/>
        <v>19572.296606347427</v>
      </c>
      <c r="F119" s="144">
        <f t="shared" si="7"/>
        <v>12997.76337741408</v>
      </c>
      <c r="G119" s="144">
        <f t="shared" si="5"/>
        <v>6574.5332289333473</v>
      </c>
      <c r="H119" s="145">
        <f t="shared" si="6"/>
        <v>2488996.03523457</v>
      </c>
    </row>
    <row r="120" spans="2:9">
      <c r="B120" s="40"/>
      <c r="C120" s="58">
        <v>104</v>
      </c>
      <c r="D120" s="144">
        <f t="shared" si="9"/>
        <v>2488996.03523457</v>
      </c>
      <c r="E120" s="144">
        <f t="shared" si="8"/>
        <v>19572.296606347427</v>
      </c>
      <c r="F120" s="144">
        <f t="shared" si="7"/>
        <v>12963.521016846718</v>
      </c>
      <c r="G120" s="144">
        <f t="shared" si="5"/>
        <v>6608.7755895007085</v>
      </c>
      <c r="H120" s="145">
        <f t="shared" si="6"/>
        <v>2482387.2596450695</v>
      </c>
    </row>
    <row r="121" spans="2:9">
      <c r="B121" s="40"/>
      <c r="C121" s="58">
        <v>105</v>
      </c>
      <c r="D121" s="144">
        <f t="shared" si="9"/>
        <v>2482387.2596450695</v>
      </c>
      <c r="E121" s="144">
        <f t="shared" si="8"/>
        <v>19572.296606347427</v>
      </c>
      <c r="F121" s="144">
        <f t="shared" si="7"/>
        <v>12929.100310651404</v>
      </c>
      <c r="G121" s="144">
        <f t="shared" si="5"/>
        <v>6643.1962956960233</v>
      </c>
      <c r="H121" s="145">
        <f t="shared" si="6"/>
        <v>2475744.0633493736</v>
      </c>
    </row>
    <row r="122" spans="2:9">
      <c r="B122" s="40"/>
      <c r="C122" s="58">
        <v>106</v>
      </c>
      <c r="D122" s="144">
        <f t="shared" si="9"/>
        <v>2475744.0633493736</v>
      </c>
      <c r="E122" s="144">
        <f t="shared" si="8"/>
        <v>19572.296606347427</v>
      </c>
      <c r="F122" s="144">
        <f t="shared" si="7"/>
        <v>12894.500329944654</v>
      </c>
      <c r="G122" s="144">
        <f t="shared" si="5"/>
        <v>6677.7962764027725</v>
      </c>
      <c r="H122" s="145">
        <f t="shared" si="6"/>
        <v>2469066.267072971</v>
      </c>
    </row>
    <row r="123" spans="2:9">
      <c r="B123" s="40"/>
      <c r="C123" s="58">
        <v>107</v>
      </c>
      <c r="D123" s="144">
        <f t="shared" si="9"/>
        <v>2469066.267072971</v>
      </c>
      <c r="E123" s="144">
        <f t="shared" si="8"/>
        <v>19572.296606347427</v>
      </c>
      <c r="F123" s="144">
        <f t="shared" si="7"/>
        <v>12859.720141005057</v>
      </c>
      <c r="G123" s="144">
        <f t="shared" si="5"/>
        <v>6712.5764653423703</v>
      </c>
      <c r="H123" s="145">
        <f t="shared" si="6"/>
        <v>2462353.6906076288</v>
      </c>
    </row>
    <row r="124" spans="2:9">
      <c r="B124" s="46">
        <v>9</v>
      </c>
      <c r="C124" s="147">
        <v>108</v>
      </c>
      <c r="D124" s="157">
        <f t="shared" si="9"/>
        <v>2462353.6906076288</v>
      </c>
      <c r="E124" s="157">
        <f t="shared" si="8"/>
        <v>19572.296606347427</v>
      </c>
      <c r="F124" s="157">
        <f t="shared" si="7"/>
        <v>12824.758805248066</v>
      </c>
      <c r="G124" s="157">
        <f t="shared" si="5"/>
        <v>6747.5378010993609</v>
      </c>
      <c r="H124" s="158">
        <f t="shared" si="6"/>
        <v>2455606.1528065293</v>
      </c>
      <c r="I124" s="148">
        <f>+SUM(G113:G124)+SUM(F113:F124)</f>
        <v>234867.55927616911</v>
      </c>
    </row>
    <row r="125" spans="2:9">
      <c r="B125" s="187"/>
      <c r="C125" s="188">
        <v>109</v>
      </c>
      <c r="D125" s="189">
        <f t="shared" si="9"/>
        <v>2455606.1528065293</v>
      </c>
      <c r="E125" s="189">
        <f t="shared" si="8"/>
        <v>19572.296606347427</v>
      </c>
      <c r="F125" s="189">
        <f t="shared" si="7"/>
        <v>12789.615379200673</v>
      </c>
      <c r="G125" s="189">
        <f t="shared" si="5"/>
        <v>6782.6812271467534</v>
      </c>
      <c r="H125" s="190">
        <f t="shared" si="6"/>
        <v>2448823.4715793827</v>
      </c>
    </row>
    <row r="126" spans="2:9">
      <c r="B126" s="40"/>
      <c r="C126" s="58">
        <v>110</v>
      </c>
      <c r="D126" s="144">
        <f t="shared" si="9"/>
        <v>2448823.4715793827</v>
      </c>
      <c r="E126" s="144">
        <f t="shared" si="8"/>
        <v>19572.296606347427</v>
      </c>
      <c r="F126" s="144">
        <f t="shared" si="7"/>
        <v>12754.28891447595</v>
      </c>
      <c r="G126" s="144">
        <f t="shared" si="5"/>
        <v>6818.0076918714767</v>
      </c>
      <c r="H126" s="145">
        <f t="shared" si="6"/>
        <v>2442005.4638875113</v>
      </c>
    </row>
    <row r="127" spans="2:9">
      <c r="B127" s="40"/>
      <c r="C127" s="58">
        <v>111</v>
      </c>
      <c r="D127" s="144">
        <f t="shared" si="9"/>
        <v>2442005.4638875113</v>
      </c>
      <c r="E127" s="144">
        <f t="shared" si="8"/>
        <v>19572.296606347427</v>
      </c>
      <c r="F127" s="144">
        <f t="shared" si="7"/>
        <v>12718.778457747454</v>
      </c>
      <c r="G127" s="144">
        <f t="shared" si="5"/>
        <v>6853.5181485999728</v>
      </c>
      <c r="H127" s="145">
        <f t="shared" si="6"/>
        <v>2435151.9457389112</v>
      </c>
    </row>
    <row r="128" spans="2:9">
      <c r="B128" s="40"/>
      <c r="C128" s="58">
        <v>112</v>
      </c>
      <c r="D128" s="144">
        <f t="shared" si="9"/>
        <v>2435151.9457389112</v>
      </c>
      <c r="E128" s="144">
        <f t="shared" si="8"/>
        <v>19572.296606347427</v>
      </c>
      <c r="F128" s="144">
        <f t="shared" si="7"/>
        <v>12683.083050723495</v>
      </c>
      <c r="G128" s="144">
        <f t="shared" si="5"/>
        <v>6889.2135556239318</v>
      </c>
      <c r="H128" s="145">
        <f t="shared" si="6"/>
        <v>2428262.7321832874</v>
      </c>
    </row>
    <row r="129" spans="2:9">
      <c r="B129" s="40"/>
      <c r="C129" s="58">
        <v>113</v>
      </c>
      <c r="D129" s="144">
        <f t="shared" si="9"/>
        <v>2428262.7321832874</v>
      </c>
      <c r="E129" s="144">
        <f t="shared" si="8"/>
        <v>19572.296606347427</v>
      </c>
      <c r="F129" s="144">
        <f t="shared" si="7"/>
        <v>12647.201730121287</v>
      </c>
      <c r="G129" s="144">
        <f t="shared" si="5"/>
        <v>6925.0948762261396</v>
      </c>
      <c r="H129" s="145">
        <f t="shared" si="6"/>
        <v>2421337.6373070613</v>
      </c>
    </row>
    <row r="130" spans="2:9">
      <c r="B130" s="40"/>
      <c r="C130" s="58">
        <v>114</v>
      </c>
      <c r="D130" s="144">
        <f t="shared" si="9"/>
        <v>2421337.6373070613</v>
      </c>
      <c r="E130" s="144">
        <f t="shared" si="8"/>
        <v>19572.296606347427</v>
      </c>
      <c r="F130" s="144">
        <f t="shared" si="7"/>
        <v>12611.133527640945</v>
      </c>
      <c r="G130" s="144">
        <f t="shared" si="5"/>
        <v>6961.1630787064823</v>
      </c>
      <c r="H130" s="145">
        <f t="shared" si="6"/>
        <v>2414376.4742283546</v>
      </c>
    </row>
    <row r="131" spans="2:9">
      <c r="B131" s="40"/>
      <c r="C131" s="58">
        <v>115</v>
      </c>
      <c r="D131" s="144">
        <f t="shared" si="9"/>
        <v>2414376.4742283546</v>
      </c>
      <c r="E131" s="144">
        <f t="shared" si="8"/>
        <v>19572.296606347427</v>
      </c>
      <c r="F131" s="144">
        <f t="shared" si="7"/>
        <v>12574.877469939347</v>
      </c>
      <c r="G131" s="144">
        <f t="shared" si="5"/>
        <v>6997.4191364080798</v>
      </c>
      <c r="H131" s="145">
        <f t="shared" si="6"/>
        <v>2407379.0550919464</v>
      </c>
    </row>
    <row r="132" spans="2:9">
      <c r="B132" s="40"/>
      <c r="C132" s="58">
        <v>116</v>
      </c>
      <c r="D132" s="144">
        <f t="shared" si="9"/>
        <v>2407379.0550919464</v>
      </c>
      <c r="E132" s="144">
        <f t="shared" si="8"/>
        <v>19572.296606347427</v>
      </c>
      <c r="F132" s="144">
        <f t="shared" si="7"/>
        <v>12538.432578603886</v>
      </c>
      <c r="G132" s="144">
        <f t="shared" si="5"/>
        <v>7033.8640277435406</v>
      </c>
      <c r="H132" s="145">
        <f t="shared" si="6"/>
        <v>2400345.1910642027</v>
      </c>
    </row>
    <row r="133" spans="2:9">
      <c r="B133" s="40"/>
      <c r="C133" s="58">
        <v>117</v>
      </c>
      <c r="D133" s="144">
        <f t="shared" si="9"/>
        <v>2400345.1910642027</v>
      </c>
      <c r="E133" s="144">
        <f t="shared" si="8"/>
        <v>19572.296606347427</v>
      </c>
      <c r="F133" s="144">
        <f t="shared" si="7"/>
        <v>12501.797870126054</v>
      </c>
      <c r="G133" s="144">
        <f t="shared" si="5"/>
        <v>7070.4987362213724</v>
      </c>
      <c r="H133" s="145">
        <f t="shared" si="6"/>
        <v>2393274.6923279813</v>
      </c>
    </row>
    <row r="134" spans="2:9">
      <c r="B134" s="40"/>
      <c r="C134" s="58">
        <v>118</v>
      </c>
      <c r="D134" s="144">
        <f t="shared" si="9"/>
        <v>2393274.6923279813</v>
      </c>
      <c r="E134" s="144">
        <f t="shared" si="8"/>
        <v>19572.296606347427</v>
      </c>
      <c r="F134" s="144">
        <f t="shared" si="7"/>
        <v>12464.972355874903</v>
      </c>
      <c r="G134" s="144">
        <f t="shared" si="5"/>
        <v>7107.324250472524</v>
      </c>
      <c r="H134" s="145">
        <f t="shared" si="6"/>
        <v>2386167.3680775086</v>
      </c>
    </row>
    <row r="135" spans="2:9">
      <c r="B135" s="40"/>
      <c r="C135" s="58">
        <v>119</v>
      </c>
      <c r="D135" s="144">
        <f t="shared" si="9"/>
        <v>2386167.3680775086</v>
      </c>
      <c r="E135" s="144">
        <f t="shared" si="8"/>
        <v>19572.296606347427</v>
      </c>
      <c r="F135" s="144">
        <f t="shared" si="7"/>
        <v>12427.955042070356</v>
      </c>
      <c r="G135" s="144">
        <f t="shared" si="5"/>
        <v>7144.3415642770706</v>
      </c>
      <c r="H135" s="145">
        <f t="shared" si="6"/>
        <v>2379023.0265132315</v>
      </c>
    </row>
    <row r="136" spans="2:9">
      <c r="B136" s="46">
        <v>10</v>
      </c>
      <c r="C136" s="147">
        <v>120</v>
      </c>
      <c r="D136" s="157">
        <f t="shared" si="9"/>
        <v>2379023.0265132315</v>
      </c>
      <c r="E136" s="157">
        <f t="shared" si="8"/>
        <v>19572.296606347427</v>
      </c>
      <c r="F136" s="157">
        <f t="shared" si="7"/>
        <v>12390.744929756413</v>
      </c>
      <c r="G136" s="157">
        <f t="shared" si="5"/>
        <v>7181.5516765910143</v>
      </c>
      <c r="H136" s="158">
        <f t="shared" si="6"/>
        <v>2371841.4748366405</v>
      </c>
      <c r="I136" s="148">
        <f>+SUM(G125:G136)+SUM(F125:F136)</f>
        <v>234867.55927616911</v>
      </c>
    </row>
    <row r="137" spans="2:9">
      <c r="B137" s="187"/>
      <c r="C137" s="188">
        <v>121</v>
      </c>
      <c r="D137" s="189">
        <f t="shared" si="9"/>
        <v>2371841.4748366405</v>
      </c>
      <c r="E137" s="189">
        <f t="shared" si="8"/>
        <v>19572.296606347427</v>
      </c>
      <c r="F137" s="189">
        <f t="shared" si="7"/>
        <v>12353.341014774169</v>
      </c>
      <c r="G137" s="189">
        <f t="shared" si="5"/>
        <v>7218.9555915732581</v>
      </c>
      <c r="H137" s="190">
        <f t="shared" si="6"/>
        <v>2364622.5192450671</v>
      </c>
    </row>
    <row r="138" spans="2:9">
      <c r="B138" s="40"/>
      <c r="C138" s="58">
        <v>122</v>
      </c>
      <c r="D138" s="144">
        <f t="shared" si="9"/>
        <v>2364622.5192450671</v>
      </c>
      <c r="E138" s="144">
        <f t="shared" si="8"/>
        <v>19572.296606347427</v>
      </c>
      <c r="F138" s="144">
        <f t="shared" si="7"/>
        <v>12315.742287734724</v>
      </c>
      <c r="G138" s="144">
        <f t="shared" si="5"/>
        <v>7256.5543186127034</v>
      </c>
      <c r="H138" s="145">
        <f t="shared" si="6"/>
        <v>2357365.9649264542</v>
      </c>
    </row>
    <row r="139" spans="2:9">
      <c r="B139" s="40"/>
      <c r="C139" s="58">
        <v>123</v>
      </c>
      <c r="D139" s="144">
        <f t="shared" si="9"/>
        <v>2357365.9649264542</v>
      </c>
      <c r="E139" s="144">
        <f t="shared" si="8"/>
        <v>19572.296606347427</v>
      </c>
      <c r="F139" s="144">
        <f t="shared" si="7"/>
        <v>12277.947733991949</v>
      </c>
      <c r="G139" s="144">
        <f t="shared" si="5"/>
        <v>7294.3488723554783</v>
      </c>
      <c r="H139" s="145">
        <f t="shared" si="6"/>
        <v>2350071.6160540986</v>
      </c>
    </row>
    <row r="140" spans="2:9">
      <c r="B140" s="40"/>
      <c r="C140" s="58">
        <v>124</v>
      </c>
      <c r="D140" s="144">
        <f t="shared" si="9"/>
        <v>2350071.6160540986</v>
      </c>
      <c r="E140" s="144">
        <f t="shared" si="8"/>
        <v>19572.296606347427</v>
      </c>
      <c r="F140" s="144">
        <f t="shared" si="7"/>
        <v>12239.956333615097</v>
      </c>
      <c r="G140" s="144">
        <f t="shared" si="5"/>
        <v>7332.34027273233</v>
      </c>
      <c r="H140" s="145">
        <f t="shared" si="6"/>
        <v>2342739.275781366</v>
      </c>
    </row>
    <row r="141" spans="2:9">
      <c r="B141" s="40"/>
      <c r="C141" s="58">
        <v>125</v>
      </c>
      <c r="D141" s="144">
        <f t="shared" si="9"/>
        <v>2342739.275781366</v>
      </c>
      <c r="E141" s="144">
        <f t="shared" si="8"/>
        <v>19572.296606347427</v>
      </c>
      <c r="F141" s="144">
        <f t="shared" si="7"/>
        <v>12201.767061361281</v>
      </c>
      <c r="G141" s="144">
        <f t="shared" si="5"/>
        <v>7370.529544986146</v>
      </c>
      <c r="H141" s="145">
        <f t="shared" si="6"/>
        <v>2335368.7462363797</v>
      </c>
    </row>
    <row r="142" spans="2:9">
      <c r="B142" s="40"/>
      <c r="C142" s="58">
        <v>126</v>
      </c>
      <c r="D142" s="144">
        <f t="shared" si="9"/>
        <v>2335368.7462363797</v>
      </c>
      <c r="E142" s="144">
        <f t="shared" si="8"/>
        <v>19572.296606347427</v>
      </c>
      <c r="F142" s="144">
        <f t="shared" si="7"/>
        <v>12163.37888664781</v>
      </c>
      <c r="G142" s="144">
        <f t="shared" si="5"/>
        <v>7408.917719699617</v>
      </c>
      <c r="H142" s="145">
        <f t="shared" si="6"/>
        <v>2327959.8285166803</v>
      </c>
    </row>
    <row r="143" spans="2:9">
      <c r="B143" s="40"/>
      <c r="C143" s="58">
        <v>127</v>
      </c>
      <c r="D143" s="144">
        <f t="shared" si="9"/>
        <v>2327959.8285166803</v>
      </c>
      <c r="E143" s="144">
        <f t="shared" si="8"/>
        <v>19572.296606347427</v>
      </c>
      <c r="F143" s="144">
        <f t="shared" si="7"/>
        <v>12124.790773524375</v>
      </c>
      <c r="G143" s="144">
        <f t="shared" si="5"/>
        <v>7447.5058328230516</v>
      </c>
      <c r="H143" s="145">
        <f t="shared" si="6"/>
        <v>2320512.3226838573</v>
      </c>
    </row>
    <row r="144" spans="2:9">
      <c r="B144" s="40"/>
      <c r="C144" s="58">
        <v>128</v>
      </c>
      <c r="D144" s="144">
        <f t="shared" si="9"/>
        <v>2320512.3226838573</v>
      </c>
      <c r="E144" s="144">
        <f t="shared" si="8"/>
        <v>19572.296606347427</v>
      </c>
      <c r="F144" s="144">
        <f t="shared" si="7"/>
        <v>12086.001680645089</v>
      </c>
      <c r="G144" s="144">
        <f t="shared" si="5"/>
        <v>7486.2949257023374</v>
      </c>
      <c r="H144" s="145">
        <f t="shared" si="6"/>
        <v>2313026.027758155</v>
      </c>
    </row>
    <row r="145" spans="2:9">
      <c r="B145" s="40"/>
      <c r="C145" s="58">
        <v>129</v>
      </c>
      <c r="D145" s="144">
        <f t="shared" si="9"/>
        <v>2313026.027758155</v>
      </c>
      <c r="E145" s="144">
        <f t="shared" si="8"/>
        <v>19572.296606347427</v>
      </c>
      <c r="F145" s="144">
        <f t="shared" si="7"/>
        <v>12047.01056124039</v>
      </c>
      <c r="G145" s="144">
        <f t="shared" ref="G145:G208" si="10">E145-F145</f>
        <v>7525.2860451070374</v>
      </c>
      <c r="H145" s="145">
        <f t="shared" ref="H145:H208" si="11">D145-G145</f>
        <v>2305500.741713048</v>
      </c>
    </row>
    <row r="146" spans="2:9">
      <c r="B146" s="40"/>
      <c r="C146" s="58">
        <v>130</v>
      </c>
      <c r="D146" s="144">
        <f t="shared" si="9"/>
        <v>2305500.741713048</v>
      </c>
      <c r="E146" s="144">
        <f t="shared" si="8"/>
        <v>19572.296606347427</v>
      </c>
      <c r="F146" s="144">
        <f t="shared" ref="F146:F209" si="12">IF(C146&gt;$C$10,0,($C$6/12)*H145)</f>
        <v>12007.81636308879</v>
      </c>
      <c r="G146" s="144">
        <f t="shared" si="10"/>
        <v>7564.4802432586366</v>
      </c>
      <c r="H146" s="145">
        <f t="shared" si="11"/>
        <v>2297936.2614697893</v>
      </c>
    </row>
    <row r="147" spans="2:9">
      <c r="B147" s="40"/>
      <c r="C147" s="58">
        <v>131</v>
      </c>
      <c r="D147" s="144">
        <f t="shared" si="9"/>
        <v>2297936.2614697893</v>
      </c>
      <c r="E147" s="144">
        <f t="shared" si="8"/>
        <v>19572.296606347427</v>
      </c>
      <c r="F147" s="144">
        <f t="shared" si="12"/>
        <v>11968.418028488486</v>
      </c>
      <c r="G147" s="144">
        <f t="shared" si="10"/>
        <v>7603.8785778589408</v>
      </c>
      <c r="H147" s="145">
        <f t="shared" si="11"/>
        <v>2290332.3828919302</v>
      </c>
    </row>
    <row r="148" spans="2:9">
      <c r="B148" s="46">
        <v>11</v>
      </c>
      <c r="C148" s="147">
        <v>132</v>
      </c>
      <c r="D148" s="157">
        <f t="shared" si="9"/>
        <v>2290332.3828919302</v>
      </c>
      <c r="E148" s="157">
        <f t="shared" si="8"/>
        <v>19572.296606347427</v>
      </c>
      <c r="F148" s="157">
        <f t="shared" si="12"/>
        <v>11928.814494228802</v>
      </c>
      <c r="G148" s="157">
        <f t="shared" si="10"/>
        <v>7643.4821121186251</v>
      </c>
      <c r="H148" s="158">
        <f t="shared" si="11"/>
        <v>2282688.9007798117</v>
      </c>
      <c r="I148" s="148">
        <f>+SUM(G137:G148)+SUM(F137:F148)</f>
        <v>234867.55927616911</v>
      </c>
    </row>
    <row r="149" spans="2:9">
      <c r="B149" s="187"/>
      <c r="C149" s="188">
        <v>133</v>
      </c>
      <c r="D149" s="189">
        <f t="shared" si="9"/>
        <v>2282688.9007798117</v>
      </c>
      <c r="E149" s="189">
        <f t="shared" ref="E149:E212" si="13">IF(C149&gt;$C$10,0,IF(C149&lt;=$C$8,F149,-PMT($C$6/12,$C$9,$C$5,0,0)))</f>
        <v>19572.296606347427</v>
      </c>
      <c r="F149" s="189">
        <f t="shared" si="12"/>
        <v>11889.004691561518</v>
      </c>
      <c r="G149" s="189">
        <f t="shared" si="10"/>
        <v>7683.2919147859084</v>
      </c>
      <c r="H149" s="190">
        <f t="shared" si="11"/>
        <v>2275005.6088650259</v>
      </c>
    </row>
    <row r="150" spans="2:9">
      <c r="B150" s="40"/>
      <c r="C150" s="58">
        <v>134</v>
      </c>
      <c r="D150" s="144">
        <f t="shared" ref="D150:D213" si="14">IF(C150&gt;$C$10,0,H149)</f>
        <v>2275005.6088650259</v>
      </c>
      <c r="E150" s="144">
        <f t="shared" si="13"/>
        <v>19572.296606347427</v>
      </c>
      <c r="F150" s="144">
        <f t="shared" si="12"/>
        <v>11848.987546172009</v>
      </c>
      <c r="G150" s="144">
        <f t="shared" si="10"/>
        <v>7723.3090601754175</v>
      </c>
      <c r="H150" s="145">
        <f t="shared" si="11"/>
        <v>2267282.2998048505</v>
      </c>
    </row>
    <row r="151" spans="2:9">
      <c r="B151" s="40"/>
      <c r="C151" s="58">
        <v>135</v>
      </c>
      <c r="D151" s="144">
        <f t="shared" si="14"/>
        <v>2267282.2998048505</v>
      </c>
      <c r="E151" s="144">
        <f t="shared" si="13"/>
        <v>19572.296606347427</v>
      </c>
      <c r="F151" s="144">
        <f t="shared" si="12"/>
        <v>11808.761978150262</v>
      </c>
      <c r="G151" s="144">
        <f t="shared" si="10"/>
        <v>7763.5346281971651</v>
      </c>
      <c r="H151" s="145">
        <f t="shared" si="11"/>
        <v>2259518.7651766534</v>
      </c>
    </row>
    <row r="152" spans="2:9">
      <c r="B152" s="40"/>
      <c r="C152" s="58">
        <v>136</v>
      </c>
      <c r="D152" s="144">
        <f t="shared" si="14"/>
        <v>2259518.7651766534</v>
      </c>
      <c r="E152" s="144">
        <f t="shared" si="13"/>
        <v>19572.296606347427</v>
      </c>
      <c r="F152" s="144">
        <f t="shared" si="12"/>
        <v>11768.326901961736</v>
      </c>
      <c r="G152" s="144">
        <f t="shared" si="10"/>
        <v>7803.9697043856904</v>
      </c>
      <c r="H152" s="145">
        <f t="shared" si="11"/>
        <v>2251714.7954722675</v>
      </c>
    </row>
    <row r="153" spans="2:9">
      <c r="B153" s="40"/>
      <c r="C153" s="58">
        <v>137</v>
      </c>
      <c r="D153" s="144">
        <f t="shared" si="14"/>
        <v>2251714.7954722675</v>
      </c>
      <c r="E153" s="144">
        <f t="shared" si="13"/>
        <v>19572.296606347427</v>
      </c>
      <c r="F153" s="144">
        <f t="shared" si="12"/>
        <v>11727.681226418059</v>
      </c>
      <c r="G153" s="144">
        <f t="shared" si="10"/>
        <v>7844.6153799293679</v>
      </c>
      <c r="H153" s="145">
        <f t="shared" si="11"/>
        <v>2243870.180092338</v>
      </c>
    </row>
    <row r="154" spans="2:9">
      <c r="B154" s="40"/>
      <c r="C154" s="58">
        <v>138</v>
      </c>
      <c r="D154" s="144">
        <f t="shared" si="14"/>
        <v>2243870.180092338</v>
      </c>
      <c r="E154" s="144">
        <f t="shared" si="13"/>
        <v>19572.296606347427</v>
      </c>
      <c r="F154" s="144">
        <f t="shared" si="12"/>
        <v>11686.823854647593</v>
      </c>
      <c r="G154" s="144">
        <f t="shared" si="10"/>
        <v>7885.4727516998337</v>
      </c>
      <c r="H154" s="145">
        <f t="shared" si="11"/>
        <v>2235984.7073406382</v>
      </c>
    </row>
    <row r="155" spans="2:9">
      <c r="B155" s="40"/>
      <c r="C155" s="58">
        <v>139</v>
      </c>
      <c r="D155" s="144">
        <f t="shared" si="14"/>
        <v>2235984.7073406382</v>
      </c>
      <c r="E155" s="144">
        <f t="shared" si="13"/>
        <v>19572.296606347427</v>
      </c>
      <c r="F155" s="144">
        <f t="shared" si="12"/>
        <v>11645.753684065823</v>
      </c>
      <c r="G155" s="144">
        <f t="shared" si="10"/>
        <v>7926.5429222816038</v>
      </c>
      <c r="H155" s="145">
        <f t="shared" si="11"/>
        <v>2228058.1644183565</v>
      </c>
    </row>
    <row r="156" spans="2:9">
      <c r="B156" s="40"/>
      <c r="C156" s="58">
        <v>140</v>
      </c>
      <c r="D156" s="144">
        <f t="shared" si="14"/>
        <v>2228058.1644183565</v>
      </c>
      <c r="E156" s="144">
        <f t="shared" si="13"/>
        <v>19572.296606347427</v>
      </c>
      <c r="F156" s="144">
        <f t="shared" si="12"/>
        <v>11604.469606345607</v>
      </c>
      <c r="G156" s="144">
        <f t="shared" si="10"/>
        <v>7967.8270000018201</v>
      </c>
      <c r="H156" s="145">
        <f t="shared" si="11"/>
        <v>2220090.3374183546</v>
      </c>
    </row>
    <row r="157" spans="2:9">
      <c r="B157" s="40"/>
      <c r="C157" s="58">
        <v>141</v>
      </c>
      <c r="D157" s="144">
        <f t="shared" si="14"/>
        <v>2220090.3374183546</v>
      </c>
      <c r="E157" s="144">
        <f t="shared" si="13"/>
        <v>19572.296606347427</v>
      </c>
      <c r="F157" s="144">
        <f t="shared" si="12"/>
        <v>11562.970507387263</v>
      </c>
      <c r="G157" s="144">
        <f t="shared" si="10"/>
        <v>8009.326098960164</v>
      </c>
      <c r="H157" s="145">
        <f t="shared" si="11"/>
        <v>2212081.0113193942</v>
      </c>
    </row>
    <row r="158" spans="2:9">
      <c r="B158" s="40"/>
      <c r="C158" s="58">
        <v>142</v>
      </c>
      <c r="D158" s="144">
        <f t="shared" si="14"/>
        <v>2212081.0113193942</v>
      </c>
      <c r="E158" s="144">
        <f t="shared" si="13"/>
        <v>19572.296606347427</v>
      </c>
      <c r="F158" s="144">
        <f t="shared" si="12"/>
        <v>11521.25526728851</v>
      </c>
      <c r="G158" s="144">
        <f t="shared" si="10"/>
        <v>8051.0413390589165</v>
      </c>
      <c r="H158" s="145">
        <f t="shared" si="11"/>
        <v>2204029.9699803353</v>
      </c>
    </row>
    <row r="159" spans="2:9">
      <c r="B159" s="40"/>
      <c r="C159" s="58">
        <v>143</v>
      </c>
      <c r="D159" s="144">
        <f t="shared" si="14"/>
        <v>2204029.9699803353</v>
      </c>
      <c r="E159" s="144">
        <f t="shared" si="13"/>
        <v>19572.296606347427</v>
      </c>
      <c r="F159" s="144">
        <f t="shared" si="12"/>
        <v>11479.322760314246</v>
      </c>
      <c r="G159" s="144">
        <f t="shared" si="10"/>
        <v>8092.973846033181</v>
      </c>
      <c r="H159" s="145">
        <f t="shared" si="11"/>
        <v>2195936.9961343021</v>
      </c>
    </row>
    <row r="160" spans="2:9">
      <c r="B160" s="46">
        <v>12</v>
      </c>
      <c r="C160" s="147">
        <v>144</v>
      </c>
      <c r="D160" s="157">
        <f t="shared" si="14"/>
        <v>2195936.9961343021</v>
      </c>
      <c r="E160" s="157">
        <f t="shared" si="13"/>
        <v>19572.296606347427</v>
      </c>
      <c r="F160" s="157">
        <f t="shared" si="12"/>
        <v>11437.171854866156</v>
      </c>
      <c r="G160" s="157">
        <f t="shared" si="10"/>
        <v>8135.1247514812712</v>
      </c>
      <c r="H160" s="158">
        <f t="shared" si="11"/>
        <v>2187801.8713828209</v>
      </c>
      <c r="I160" s="148">
        <f>+SUM(G149:G160)+SUM(F149:F160)</f>
        <v>234867.55927616911</v>
      </c>
    </row>
    <row r="161" spans="2:9">
      <c r="B161" s="187"/>
      <c r="C161" s="188">
        <v>145</v>
      </c>
      <c r="D161" s="189">
        <f t="shared" si="14"/>
        <v>2187801.8713828209</v>
      </c>
      <c r="E161" s="189">
        <f t="shared" si="13"/>
        <v>19572.296606347427</v>
      </c>
      <c r="F161" s="189">
        <f t="shared" si="12"/>
        <v>11394.801413452191</v>
      </c>
      <c r="G161" s="189">
        <f t="shared" si="10"/>
        <v>8177.495192895236</v>
      </c>
      <c r="H161" s="190">
        <f t="shared" si="11"/>
        <v>2179624.3761899257</v>
      </c>
    </row>
    <row r="162" spans="2:9">
      <c r="B162" s="40"/>
      <c r="C162" s="58">
        <v>146</v>
      </c>
      <c r="D162" s="144">
        <f t="shared" si="14"/>
        <v>2179624.3761899257</v>
      </c>
      <c r="E162" s="144">
        <f t="shared" si="13"/>
        <v>19572.296606347427</v>
      </c>
      <c r="F162" s="144">
        <f t="shared" si="12"/>
        <v>11352.210292655862</v>
      </c>
      <c r="G162" s="144">
        <f t="shared" si="10"/>
        <v>8220.086313691565</v>
      </c>
      <c r="H162" s="145">
        <f t="shared" si="11"/>
        <v>2171404.2898762343</v>
      </c>
    </row>
    <row r="163" spans="2:9">
      <c r="B163" s="40"/>
      <c r="C163" s="58">
        <v>147</v>
      </c>
      <c r="D163" s="144">
        <f t="shared" si="14"/>
        <v>2171404.2898762343</v>
      </c>
      <c r="E163" s="144">
        <f t="shared" si="13"/>
        <v>19572.296606347427</v>
      </c>
      <c r="F163" s="144">
        <f t="shared" si="12"/>
        <v>11309.397343105386</v>
      </c>
      <c r="G163" s="144">
        <f t="shared" si="10"/>
        <v>8262.8992632420413</v>
      </c>
      <c r="H163" s="145">
        <f t="shared" si="11"/>
        <v>2163141.390612992</v>
      </c>
    </row>
    <row r="164" spans="2:9">
      <c r="B164" s="40"/>
      <c r="C164" s="58">
        <v>148</v>
      </c>
      <c r="D164" s="144">
        <f t="shared" si="14"/>
        <v>2163141.390612992</v>
      </c>
      <c r="E164" s="144">
        <f t="shared" si="13"/>
        <v>19572.296606347427</v>
      </c>
      <c r="F164" s="144">
        <f t="shared" si="12"/>
        <v>11266.361409442667</v>
      </c>
      <c r="G164" s="144">
        <f t="shared" si="10"/>
        <v>8305.9351969047602</v>
      </c>
      <c r="H164" s="145">
        <f t="shared" si="11"/>
        <v>2154835.4554160871</v>
      </c>
    </row>
    <row r="165" spans="2:9">
      <c r="B165" s="40"/>
      <c r="C165" s="58">
        <v>149</v>
      </c>
      <c r="D165" s="144">
        <f t="shared" si="14"/>
        <v>2154835.4554160871</v>
      </c>
      <c r="E165" s="144">
        <f t="shared" si="13"/>
        <v>19572.296606347427</v>
      </c>
      <c r="F165" s="144">
        <f t="shared" si="12"/>
        <v>11223.10133029212</v>
      </c>
      <c r="G165" s="144">
        <f t="shared" si="10"/>
        <v>8349.1952760553067</v>
      </c>
      <c r="H165" s="145">
        <f t="shared" si="11"/>
        <v>2146486.2601400316</v>
      </c>
    </row>
    <row r="166" spans="2:9">
      <c r="B166" s="40"/>
      <c r="C166" s="58">
        <v>150</v>
      </c>
      <c r="D166" s="144">
        <f t="shared" si="14"/>
        <v>2146486.2601400316</v>
      </c>
      <c r="E166" s="144">
        <f t="shared" si="13"/>
        <v>19572.296606347427</v>
      </c>
      <c r="F166" s="144">
        <f t="shared" si="12"/>
        <v>11179.61593822933</v>
      </c>
      <c r="G166" s="144">
        <f t="shared" si="10"/>
        <v>8392.6806681180969</v>
      </c>
      <c r="H166" s="145">
        <f t="shared" si="11"/>
        <v>2138093.5794719136</v>
      </c>
    </row>
    <row r="167" spans="2:9">
      <c r="B167" s="40"/>
      <c r="C167" s="58">
        <v>151</v>
      </c>
      <c r="D167" s="144">
        <f t="shared" si="14"/>
        <v>2138093.5794719136</v>
      </c>
      <c r="E167" s="144">
        <f t="shared" si="13"/>
        <v>19572.296606347427</v>
      </c>
      <c r="F167" s="144">
        <f t="shared" si="12"/>
        <v>11135.90405974955</v>
      </c>
      <c r="G167" s="144">
        <f t="shared" si="10"/>
        <v>8436.3925465978773</v>
      </c>
      <c r="H167" s="145">
        <f t="shared" si="11"/>
        <v>2129657.1869253158</v>
      </c>
    </row>
    <row r="168" spans="2:9">
      <c r="B168" s="40"/>
      <c r="C168" s="58">
        <v>152</v>
      </c>
      <c r="D168" s="144">
        <f t="shared" si="14"/>
        <v>2129657.1869253158</v>
      </c>
      <c r="E168" s="144">
        <f t="shared" si="13"/>
        <v>19572.296606347427</v>
      </c>
      <c r="F168" s="144">
        <f t="shared" si="12"/>
        <v>11091.964515236019</v>
      </c>
      <c r="G168" s="144">
        <f t="shared" si="10"/>
        <v>8480.3320911114079</v>
      </c>
      <c r="H168" s="145">
        <f t="shared" si="11"/>
        <v>2121176.8548342045</v>
      </c>
    </row>
    <row r="169" spans="2:9">
      <c r="B169" s="40"/>
      <c r="C169" s="58">
        <v>153</v>
      </c>
      <c r="D169" s="144">
        <f t="shared" si="14"/>
        <v>2121176.8548342045</v>
      </c>
      <c r="E169" s="144">
        <f t="shared" si="13"/>
        <v>19572.296606347427</v>
      </c>
      <c r="F169" s="144">
        <f t="shared" si="12"/>
        <v>11047.796118928149</v>
      </c>
      <c r="G169" s="144">
        <f t="shared" si="10"/>
        <v>8524.5004874192782</v>
      </c>
      <c r="H169" s="145">
        <f t="shared" si="11"/>
        <v>2112652.3543467852</v>
      </c>
    </row>
    <row r="170" spans="2:9">
      <c r="B170" s="40"/>
      <c r="C170" s="58">
        <v>154</v>
      </c>
      <c r="D170" s="144">
        <f t="shared" si="14"/>
        <v>2112652.3543467852</v>
      </c>
      <c r="E170" s="144">
        <f t="shared" si="13"/>
        <v>19572.296606347427</v>
      </c>
      <c r="F170" s="144">
        <f t="shared" si="12"/>
        <v>11003.397678889505</v>
      </c>
      <c r="G170" s="144">
        <f t="shared" si="10"/>
        <v>8568.8989274579217</v>
      </c>
      <c r="H170" s="145">
        <f t="shared" si="11"/>
        <v>2104083.4554193271</v>
      </c>
    </row>
    <row r="171" spans="2:9">
      <c r="B171" s="40"/>
      <c r="C171" s="58">
        <v>155</v>
      </c>
      <c r="D171" s="144">
        <f t="shared" si="14"/>
        <v>2104083.4554193271</v>
      </c>
      <c r="E171" s="144">
        <f t="shared" si="13"/>
        <v>19572.296606347427</v>
      </c>
      <c r="F171" s="144">
        <f t="shared" si="12"/>
        <v>10958.767996975661</v>
      </c>
      <c r="G171" s="144">
        <f t="shared" si="10"/>
        <v>8613.5286093717659</v>
      </c>
      <c r="H171" s="145">
        <f t="shared" si="11"/>
        <v>2095469.9268099554</v>
      </c>
    </row>
    <row r="172" spans="2:9">
      <c r="B172" s="46">
        <v>13</v>
      </c>
      <c r="C172" s="147">
        <v>156</v>
      </c>
      <c r="D172" s="157">
        <f t="shared" si="14"/>
        <v>2095469.9268099554</v>
      </c>
      <c r="E172" s="157">
        <f t="shared" si="13"/>
        <v>19572.296606347427</v>
      </c>
      <c r="F172" s="157">
        <f t="shared" si="12"/>
        <v>10913.90586880185</v>
      </c>
      <c r="G172" s="157">
        <f t="shared" si="10"/>
        <v>8658.3907375455765</v>
      </c>
      <c r="H172" s="158">
        <f t="shared" si="11"/>
        <v>2086811.5360724097</v>
      </c>
      <c r="I172" s="148">
        <f>+SUM(G161:G172)+SUM(F161:F172)</f>
        <v>234867.55927616911</v>
      </c>
    </row>
    <row r="173" spans="2:9">
      <c r="B173" s="187"/>
      <c r="C173" s="188">
        <v>157</v>
      </c>
      <c r="D173" s="189">
        <f t="shared" si="14"/>
        <v>2086811.5360724097</v>
      </c>
      <c r="E173" s="189">
        <f t="shared" si="13"/>
        <v>19572.296606347427</v>
      </c>
      <c r="F173" s="189">
        <f t="shared" si="12"/>
        <v>10868.810083710467</v>
      </c>
      <c r="G173" s="189">
        <f t="shared" si="10"/>
        <v>8703.4865226369602</v>
      </c>
      <c r="H173" s="190">
        <f t="shared" si="11"/>
        <v>2078108.0495497726</v>
      </c>
    </row>
    <row r="174" spans="2:9">
      <c r="B174" s="40"/>
      <c r="C174" s="58">
        <v>158</v>
      </c>
      <c r="D174" s="144">
        <f t="shared" si="14"/>
        <v>2078108.0495497726</v>
      </c>
      <c r="E174" s="144">
        <f t="shared" si="13"/>
        <v>19572.296606347427</v>
      </c>
      <c r="F174" s="144">
        <f t="shared" si="12"/>
        <v>10823.479424738398</v>
      </c>
      <c r="G174" s="144">
        <f t="shared" si="10"/>
        <v>8748.8171816090289</v>
      </c>
      <c r="H174" s="145">
        <f t="shared" si="11"/>
        <v>2069359.2323681635</v>
      </c>
    </row>
    <row r="175" spans="2:9">
      <c r="B175" s="40"/>
      <c r="C175" s="58">
        <v>159</v>
      </c>
      <c r="D175" s="144">
        <f t="shared" si="14"/>
        <v>2069359.2323681635</v>
      </c>
      <c r="E175" s="144">
        <f t="shared" si="13"/>
        <v>19572.296606347427</v>
      </c>
      <c r="F175" s="144">
        <f t="shared" si="12"/>
        <v>10777.912668584184</v>
      </c>
      <c r="G175" s="144">
        <f t="shared" si="10"/>
        <v>8794.383937763243</v>
      </c>
      <c r="H175" s="145">
        <f t="shared" si="11"/>
        <v>2060564.8484304002</v>
      </c>
    </row>
    <row r="176" spans="2:9">
      <c r="B176" s="40"/>
      <c r="C176" s="58">
        <v>160</v>
      </c>
      <c r="D176" s="144">
        <f t="shared" si="14"/>
        <v>2060564.8484304002</v>
      </c>
      <c r="E176" s="144">
        <f t="shared" si="13"/>
        <v>19572.296606347427</v>
      </c>
      <c r="F176" s="144">
        <f t="shared" si="12"/>
        <v>10732.108585575001</v>
      </c>
      <c r="G176" s="144">
        <f t="shared" si="10"/>
        <v>8840.1880207724262</v>
      </c>
      <c r="H176" s="145">
        <f t="shared" si="11"/>
        <v>2051724.6604096277</v>
      </c>
    </row>
    <row r="177" spans="2:9">
      <c r="B177" s="40"/>
      <c r="C177" s="58">
        <v>161</v>
      </c>
      <c r="D177" s="144">
        <f t="shared" si="14"/>
        <v>2051724.6604096277</v>
      </c>
      <c r="E177" s="144">
        <f t="shared" si="13"/>
        <v>19572.296606347427</v>
      </c>
      <c r="F177" s="144">
        <f t="shared" si="12"/>
        <v>10686.065939633478</v>
      </c>
      <c r="G177" s="144">
        <f t="shared" si="10"/>
        <v>8886.2306667139492</v>
      </c>
      <c r="H177" s="145">
        <f t="shared" si="11"/>
        <v>2042838.4297429137</v>
      </c>
    </row>
    <row r="178" spans="2:9">
      <c r="B178" s="40"/>
      <c r="C178" s="58">
        <v>162</v>
      </c>
      <c r="D178" s="144">
        <f t="shared" si="14"/>
        <v>2042838.4297429137</v>
      </c>
      <c r="E178" s="144">
        <f t="shared" si="13"/>
        <v>19572.296606347427</v>
      </c>
      <c r="F178" s="144">
        <f t="shared" si="12"/>
        <v>10639.783488244342</v>
      </c>
      <c r="G178" s="144">
        <f t="shared" si="10"/>
        <v>8932.5131181030847</v>
      </c>
      <c r="H178" s="145">
        <f t="shared" si="11"/>
        <v>2033905.9166248105</v>
      </c>
    </row>
    <row r="179" spans="2:9">
      <c r="B179" s="40"/>
      <c r="C179" s="58">
        <v>163</v>
      </c>
      <c r="D179" s="144">
        <f t="shared" si="14"/>
        <v>2033905.9166248105</v>
      </c>
      <c r="E179" s="144">
        <f t="shared" si="13"/>
        <v>19572.296606347427</v>
      </c>
      <c r="F179" s="144">
        <f t="shared" si="12"/>
        <v>10593.259982420888</v>
      </c>
      <c r="G179" s="144">
        <f t="shared" si="10"/>
        <v>8979.0366239265386</v>
      </c>
      <c r="H179" s="145">
        <f t="shared" si="11"/>
        <v>2024926.8800008839</v>
      </c>
    </row>
    <row r="180" spans="2:9">
      <c r="B180" s="40"/>
      <c r="C180" s="58">
        <v>164</v>
      </c>
      <c r="D180" s="144">
        <f t="shared" si="14"/>
        <v>2024926.8800008839</v>
      </c>
      <c r="E180" s="144">
        <f t="shared" si="13"/>
        <v>19572.296606347427</v>
      </c>
      <c r="F180" s="144">
        <f t="shared" si="12"/>
        <v>10546.494166671269</v>
      </c>
      <c r="G180" s="144">
        <f t="shared" si="10"/>
        <v>9025.8024396761575</v>
      </c>
      <c r="H180" s="145">
        <f t="shared" si="11"/>
        <v>2015901.0775612078</v>
      </c>
    </row>
    <row r="181" spans="2:9">
      <c r="B181" s="40"/>
      <c r="C181" s="58">
        <v>165</v>
      </c>
      <c r="D181" s="144">
        <f t="shared" si="14"/>
        <v>2015901.0775612078</v>
      </c>
      <c r="E181" s="144">
        <f t="shared" si="13"/>
        <v>19572.296606347427</v>
      </c>
      <c r="F181" s="144">
        <f t="shared" si="12"/>
        <v>10499.484778964623</v>
      </c>
      <c r="G181" s="144">
        <f t="shared" si="10"/>
        <v>9072.811827382804</v>
      </c>
      <c r="H181" s="145">
        <f t="shared" si="11"/>
        <v>2006828.265733825</v>
      </c>
    </row>
    <row r="182" spans="2:9">
      <c r="B182" s="40"/>
      <c r="C182" s="58">
        <v>166</v>
      </c>
      <c r="D182" s="144">
        <f t="shared" si="14"/>
        <v>2006828.265733825</v>
      </c>
      <c r="E182" s="144">
        <f t="shared" si="13"/>
        <v>19572.296606347427</v>
      </c>
      <c r="F182" s="144">
        <f t="shared" si="12"/>
        <v>10452.230550697004</v>
      </c>
      <c r="G182" s="144">
        <f t="shared" si="10"/>
        <v>9120.0660556504226</v>
      </c>
      <c r="H182" s="145">
        <f t="shared" si="11"/>
        <v>1997708.1996781747</v>
      </c>
    </row>
    <row r="183" spans="2:9">
      <c r="B183" s="40"/>
      <c r="C183" s="58">
        <v>167</v>
      </c>
      <c r="D183" s="144">
        <f t="shared" si="14"/>
        <v>1997708.1996781747</v>
      </c>
      <c r="E183" s="144">
        <f t="shared" si="13"/>
        <v>19572.296606347427</v>
      </c>
      <c r="F183" s="144">
        <f t="shared" si="12"/>
        <v>10404.730206657159</v>
      </c>
      <c r="G183" s="144">
        <f t="shared" si="10"/>
        <v>9167.5663996902676</v>
      </c>
      <c r="H183" s="145">
        <f t="shared" si="11"/>
        <v>1988540.6332784845</v>
      </c>
    </row>
    <row r="184" spans="2:9">
      <c r="B184" s="46">
        <v>14</v>
      </c>
      <c r="C184" s="147">
        <v>168</v>
      </c>
      <c r="D184" s="157">
        <f t="shared" si="14"/>
        <v>1988540.6332784845</v>
      </c>
      <c r="E184" s="157">
        <f t="shared" si="13"/>
        <v>19572.296606347427</v>
      </c>
      <c r="F184" s="157">
        <f t="shared" si="12"/>
        <v>10356.982464992107</v>
      </c>
      <c r="G184" s="157">
        <f t="shared" si="10"/>
        <v>9215.3141413553203</v>
      </c>
      <c r="H184" s="158">
        <f t="shared" si="11"/>
        <v>1979325.3191371292</v>
      </c>
      <c r="I184" s="148">
        <f>+SUM(G173:G184)+SUM(F173:F184)</f>
        <v>234867.55927616911</v>
      </c>
    </row>
    <row r="185" spans="2:9">
      <c r="B185" s="187"/>
      <c r="C185" s="188">
        <v>169</v>
      </c>
      <c r="D185" s="189">
        <f t="shared" si="14"/>
        <v>1979325.3191371292</v>
      </c>
      <c r="E185" s="189">
        <f t="shared" si="13"/>
        <v>19572.296606347427</v>
      </c>
      <c r="F185" s="189">
        <f t="shared" si="12"/>
        <v>10308.986037172548</v>
      </c>
      <c r="G185" s="189">
        <f t="shared" si="10"/>
        <v>9263.3105691748788</v>
      </c>
      <c r="H185" s="190">
        <f t="shared" si="11"/>
        <v>1970062.0085679544</v>
      </c>
    </row>
    <row r="186" spans="2:9">
      <c r="B186" s="40"/>
      <c r="C186" s="58">
        <v>170</v>
      </c>
      <c r="D186" s="144">
        <f t="shared" si="14"/>
        <v>1970062.0085679544</v>
      </c>
      <c r="E186" s="144">
        <f t="shared" si="13"/>
        <v>19572.296606347427</v>
      </c>
      <c r="F186" s="144">
        <f t="shared" si="12"/>
        <v>10260.739627958095</v>
      </c>
      <c r="G186" s="144">
        <f t="shared" si="10"/>
        <v>9311.5569783893316</v>
      </c>
      <c r="H186" s="145">
        <f t="shared" si="11"/>
        <v>1960750.451589565</v>
      </c>
    </row>
    <row r="187" spans="2:9">
      <c r="B187" s="40"/>
      <c r="C187" s="58">
        <v>171</v>
      </c>
      <c r="D187" s="144">
        <f t="shared" si="14"/>
        <v>1960750.451589565</v>
      </c>
      <c r="E187" s="144">
        <f t="shared" si="13"/>
        <v>19572.296606347427</v>
      </c>
      <c r="F187" s="144">
        <f t="shared" si="12"/>
        <v>10212.241935362317</v>
      </c>
      <c r="G187" s="144">
        <f t="shared" si="10"/>
        <v>9360.0546709851096</v>
      </c>
      <c r="H187" s="145">
        <f t="shared" si="11"/>
        <v>1951390.3969185799</v>
      </c>
    </row>
    <row r="188" spans="2:9">
      <c r="B188" s="40"/>
      <c r="C188" s="58">
        <v>172</v>
      </c>
      <c r="D188" s="144">
        <f t="shared" si="14"/>
        <v>1951390.3969185799</v>
      </c>
      <c r="E188" s="144">
        <f t="shared" si="13"/>
        <v>19572.296606347427</v>
      </c>
      <c r="F188" s="144">
        <f t="shared" si="12"/>
        <v>10163.491650617603</v>
      </c>
      <c r="G188" s="144">
        <f t="shared" si="10"/>
        <v>9408.8049557298236</v>
      </c>
      <c r="H188" s="145">
        <f t="shared" si="11"/>
        <v>1941981.5919628502</v>
      </c>
    </row>
    <row r="189" spans="2:9">
      <c r="B189" s="40"/>
      <c r="C189" s="58">
        <v>173</v>
      </c>
      <c r="D189" s="144">
        <f t="shared" si="14"/>
        <v>1941981.5919628502</v>
      </c>
      <c r="E189" s="144">
        <f t="shared" si="13"/>
        <v>19572.296606347427</v>
      </c>
      <c r="F189" s="144">
        <f t="shared" si="12"/>
        <v>10114.487458139844</v>
      </c>
      <c r="G189" s="144">
        <f t="shared" si="10"/>
        <v>9457.8091482075833</v>
      </c>
      <c r="H189" s="145">
        <f t="shared" si="11"/>
        <v>1932523.7828146426</v>
      </c>
    </row>
    <row r="190" spans="2:9">
      <c r="B190" s="40"/>
      <c r="C190" s="58">
        <v>174</v>
      </c>
      <c r="D190" s="144">
        <f t="shared" si="14"/>
        <v>1932523.7828146426</v>
      </c>
      <c r="E190" s="144">
        <f t="shared" si="13"/>
        <v>19572.296606347427</v>
      </c>
      <c r="F190" s="144">
        <f t="shared" si="12"/>
        <v>10065.22803549293</v>
      </c>
      <c r="G190" s="144">
        <f t="shared" si="10"/>
        <v>9507.068570854497</v>
      </c>
      <c r="H190" s="145">
        <f t="shared" si="11"/>
        <v>1923016.714243788</v>
      </c>
    </row>
    <row r="191" spans="2:9">
      <c r="B191" s="40"/>
      <c r="C191" s="58">
        <v>175</v>
      </c>
      <c r="D191" s="144">
        <f t="shared" si="14"/>
        <v>1923016.714243788</v>
      </c>
      <c r="E191" s="144">
        <f t="shared" si="13"/>
        <v>19572.296606347427</v>
      </c>
      <c r="F191" s="144">
        <f t="shared" si="12"/>
        <v>10015.712053353061</v>
      </c>
      <c r="G191" s="144">
        <f t="shared" si="10"/>
        <v>9556.5845529943654</v>
      </c>
      <c r="H191" s="145">
        <f t="shared" si="11"/>
        <v>1913460.1296907936</v>
      </c>
    </row>
    <row r="192" spans="2:9">
      <c r="B192" s="40"/>
      <c r="C192" s="58">
        <v>176</v>
      </c>
      <c r="D192" s="144">
        <f t="shared" si="14"/>
        <v>1913460.1296907936</v>
      </c>
      <c r="E192" s="144">
        <f t="shared" si="13"/>
        <v>19572.296606347427</v>
      </c>
      <c r="F192" s="144">
        <f t="shared" si="12"/>
        <v>9965.938175472882</v>
      </c>
      <c r="G192" s="144">
        <f t="shared" si="10"/>
        <v>9606.3584308745449</v>
      </c>
      <c r="H192" s="145">
        <f t="shared" si="11"/>
        <v>1903853.771259919</v>
      </c>
    </row>
    <row r="193" spans="2:9">
      <c r="B193" s="40"/>
      <c r="C193" s="58">
        <v>177</v>
      </c>
      <c r="D193" s="144">
        <f t="shared" si="14"/>
        <v>1903853.771259919</v>
      </c>
      <c r="E193" s="144">
        <f t="shared" si="13"/>
        <v>19572.296606347427</v>
      </c>
      <c r="F193" s="144">
        <f t="shared" si="12"/>
        <v>9915.9050586454105</v>
      </c>
      <c r="G193" s="144">
        <f t="shared" si="10"/>
        <v>9656.3915477020164</v>
      </c>
      <c r="H193" s="145">
        <f t="shared" si="11"/>
        <v>1894197.379712217</v>
      </c>
    </row>
    <row r="194" spans="2:9">
      <c r="B194" s="40"/>
      <c r="C194" s="58">
        <v>178</v>
      </c>
      <c r="D194" s="144">
        <f t="shared" si="14"/>
        <v>1894197.379712217</v>
      </c>
      <c r="E194" s="144">
        <f t="shared" si="13"/>
        <v>19572.296606347427</v>
      </c>
      <c r="F194" s="144">
        <f t="shared" si="12"/>
        <v>9865.6113526677964</v>
      </c>
      <c r="G194" s="144">
        <f t="shared" si="10"/>
        <v>9706.6852536796305</v>
      </c>
      <c r="H194" s="145">
        <f t="shared" si="11"/>
        <v>1884490.6944585375</v>
      </c>
    </row>
    <row r="195" spans="2:9">
      <c r="B195" s="40"/>
      <c r="C195" s="58">
        <v>179</v>
      </c>
      <c r="D195" s="144">
        <f t="shared" si="14"/>
        <v>1884490.6944585375</v>
      </c>
      <c r="E195" s="144">
        <f t="shared" si="13"/>
        <v>19572.296606347427</v>
      </c>
      <c r="F195" s="144">
        <f t="shared" si="12"/>
        <v>9815.0557003048816</v>
      </c>
      <c r="G195" s="144">
        <f t="shared" si="10"/>
        <v>9757.2409060425452</v>
      </c>
      <c r="H195" s="145">
        <f t="shared" si="11"/>
        <v>1874733.453552495</v>
      </c>
    </row>
    <row r="196" spans="2:9">
      <c r="B196" s="46">
        <v>15</v>
      </c>
      <c r="C196" s="147">
        <v>180</v>
      </c>
      <c r="D196" s="157">
        <f t="shared" si="14"/>
        <v>1874733.453552495</v>
      </c>
      <c r="E196" s="157">
        <f t="shared" si="13"/>
        <v>19572.296606347427</v>
      </c>
      <c r="F196" s="157">
        <f t="shared" si="12"/>
        <v>9764.2367372525769</v>
      </c>
      <c r="G196" s="157">
        <f t="shared" si="10"/>
        <v>9808.05986909485</v>
      </c>
      <c r="H196" s="158">
        <f t="shared" si="11"/>
        <v>1864925.3936834002</v>
      </c>
      <c r="I196" s="148">
        <f>+SUM(G185:G196)+SUM(F185:F196)</f>
        <v>234867.55927616914</v>
      </c>
    </row>
    <row r="197" spans="2:9">
      <c r="B197" s="187"/>
      <c r="C197" s="188">
        <v>181</v>
      </c>
      <c r="D197" s="189">
        <f t="shared" si="14"/>
        <v>1864925.3936834002</v>
      </c>
      <c r="E197" s="189">
        <f t="shared" si="13"/>
        <v>19572.296606347427</v>
      </c>
      <c r="F197" s="189">
        <f t="shared" si="12"/>
        <v>9713.1530921010417</v>
      </c>
      <c r="G197" s="189">
        <f t="shared" si="10"/>
        <v>9859.1435142463852</v>
      </c>
      <c r="H197" s="190">
        <f t="shared" si="11"/>
        <v>1855066.2501691538</v>
      </c>
    </row>
    <row r="198" spans="2:9">
      <c r="B198" s="40"/>
      <c r="C198" s="58">
        <v>182</v>
      </c>
      <c r="D198" s="144">
        <f t="shared" si="14"/>
        <v>1855066.2501691538</v>
      </c>
      <c r="E198" s="144">
        <f t="shared" si="13"/>
        <v>19572.296606347427</v>
      </c>
      <c r="F198" s="144">
        <f t="shared" si="12"/>
        <v>9661.8033862976754</v>
      </c>
      <c r="G198" s="144">
        <f t="shared" si="10"/>
        <v>9910.4932200497515</v>
      </c>
      <c r="H198" s="145">
        <f t="shared" si="11"/>
        <v>1845155.7569491041</v>
      </c>
    </row>
    <row r="199" spans="2:9">
      <c r="B199" s="40"/>
      <c r="C199" s="58">
        <v>183</v>
      </c>
      <c r="D199" s="144">
        <f t="shared" si="14"/>
        <v>1845155.7569491041</v>
      </c>
      <c r="E199" s="144">
        <f t="shared" si="13"/>
        <v>19572.296606347427</v>
      </c>
      <c r="F199" s="144">
        <f t="shared" si="12"/>
        <v>9610.1862341099168</v>
      </c>
      <c r="G199" s="144">
        <f t="shared" si="10"/>
        <v>9962.1103722375101</v>
      </c>
      <c r="H199" s="145">
        <f t="shared" si="11"/>
        <v>1835193.6465768667</v>
      </c>
    </row>
    <row r="200" spans="2:9">
      <c r="B200" s="40"/>
      <c r="C200" s="58">
        <v>184</v>
      </c>
      <c r="D200" s="144">
        <f t="shared" si="14"/>
        <v>1835193.6465768667</v>
      </c>
      <c r="E200" s="144">
        <f t="shared" si="13"/>
        <v>19572.296606347427</v>
      </c>
      <c r="F200" s="144">
        <f t="shared" si="12"/>
        <v>9558.3002425878476</v>
      </c>
      <c r="G200" s="144">
        <f t="shared" si="10"/>
        <v>10013.996363759579</v>
      </c>
      <c r="H200" s="145">
        <f t="shared" si="11"/>
        <v>1825179.6502131072</v>
      </c>
    </row>
    <row r="201" spans="2:9">
      <c r="B201" s="40"/>
      <c r="C201" s="58">
        <v>185</v>
      </c>
      <c r="D201" s="144">
        <f t="shared" si="14"/>
        <v>1825179.6502131072</v>
      </c>
      <c r="E201" s="144">
        <f t="shared" si="13"/>
        <v>19572.296606347427</v>
      </c>
      <c r="F201" s="144">
        <f t="shared" si="12"/>
        <v>9506.1440115265996</v>
      </c>
      <c r="G201" s="144">
        <f t="shared" si="10"/>
        <v>10066.152594820827</v>
      </c>
      <c r="H201" s="145">
        <f t="shared" si="11"/>
        <v>1815113.4976182864</v>
      </c>
    </row>
    <row r="202" spans="2:9">
      <c r="B202" s="40"/>
      <c r="C202" s="58">
        <v>186</v>
      </c>
      <c r="D202" s="144">
        <f t="shared" si="14"/>
        <v>1815113.4976182864</v>
      </c>
      <c r="E202" s="144">
        <f t="shared" si="13"/>
        <v>19572.296606347427</v>
      </c>
      <c r="F202" s="144">
        <f t="shared" si="12"/>
        <v>9453.7161334285738</v>
      </c>
      <c r="G202" s="144">
        <f t="shared" si="10"/>
        <v>10118.580472918853</v>
      </c>
      <c r="H202" s="145">
        <f t="shared" si="11"/>
        <v>1804994.9171453675</v>
      </c>
    </row>
    <row r="203" spans="2:9">
      <c r="B203" s="40"/>
      <c r="C203" s="58">
        <v>187</v>
      </c>
      <c r="D203" s="144">
        <f t="shared" si="14"/>
        <v>1804994.9171453675</v>
      </c>
      <c r="E203" s="144">
        <f t="shared" si="13"/>
        <v>19572.296606347427</v>
      </c>
      <c r="F203" s="144">
        <f t="shared" si="12"/>
        <v>9401.015193465455</v>
      </c>
      <c r="G203" s="144">
        <f t="shared" si="10"/>
        <v>10171.281412881972</v>
      </c>
      <c r="H203" s="145">
        <f t="shared" si="11"/>
        <v>1794823.6357324854</v>
      </c>
    </row>
    <row r="204" spans="2:9">
      <c r="B204" s="40"/>
      <c r="C204" s="58">
        <v>188</v>
      </c>
      <c r="D204" s="144">
        <f t="shared" si="14"/>
        <v>1794823.6357324854</v>
      </c>
      <c r="E204" s="144">
        <f t="shared" si="13"/>
        <v>19572.296606347427</v>
      </c>
      <c r="F204" s="144">
        <f t="shared" si="12"/>
        <v>9348.0397694400272</v>
      </c>
      <c r="G204" s="144">
        <f t="shared" si="10"/>
        <v>10224.2568369074</v>
      </c>
      <c r="H204" s="145">
        <f t="shared" si="11"/>
        <v>1784599.378895578</v>
      </c>
    </row>
    <row r="205" spans="2:9">
      <c r="B205" s="40"/>
      <c r="C205" s="58">
        <v>189</v>
      </c>
      <c r="D205" s="144">
        <f t="shared" si="14"/>
        <v>1784599.378895578</v>
      </c>
      <c r="E205" s="144">
        <f t="shared" si="13"/>
        <v>19572.296606347427</v>
      </c>
      <c r="F205" s="144">
        <f t="shared" si="12"/>
        <v>9294.788431747802</v>
      </c>
      <c r="G205" s="144">
        <f t="shared" si="10"/>
        <v>10277.508174599625</v>
      </c>
      <c r="H205" s="145">
        <f t="shared" si="11"/>
        <v>1774321.8707209784</v>
      </c>
    </row>
    <row r="206" spans="2:9">
      <c r="B206" s="40"/>
      <c r="C206" s="58">
        <v>190</v>
      </c>
      <c r="D206" s="144">
        <f t="shared" si="14"/>
        <v>1774321.8707209784</v>
      </c>
      <c r="E206" s="144">
        <f t="shared" si="13"/>
        <v>19572.296606347427</v>
      </c>
      <c r="F206" s="144">
        <f t="shared" si="12"/>
        <v>9241.259743338429</v>
      </c>
      <c r="G206" s="144">
        <f t="shared" si="10"/>
        <v>10331.036863008998</v>
      </c>
      <c r="H206" s="145">
        <f t="shared" si="11"/>
        <v>1763990.8338579694</v>
      </c>
    </row>
    <row r="207" spans="2:9">
      <c r="B207" s="40"/>
      <c r="C207" s="58">
        <v>191</v>
      </c>
      <c r="D207" s="144">
        <f t="shared" si="14"/>
        <v>1763990.8338579694</v>
      </c>
      <c r="E207" s="144">
        <f t="shared" si="13"/>
        <v>19572.296606347427</v>
      </c>
      <c r="F207" s="144">
        <f t="shared" si="12"/>
        <v>9187.4522596769239</v>
      </c>
      <c r="G207" s="144">
        <f t="shared" si="10"/>
        <v>10384.844346670503</v>
      </c>
      <c r="H207" s="145">
        <f t="shared" si="11"/>
        <v>1753605.9895112989</v>
      </c>
    </row>
    <row r="208" spans="2:9">
      <c r="B208" s="46">
        <v>16</v>
      </c>
      <c r="C208" s="147">
        <v>192</v>
      </c>
      <c r="D208" s="157">
        <f t="shared" si="14"/>
        <v>1753605.9895112989</v>
      </c>
      <c r="E208" s="157">
        <f t="shared" si="13"/>
        <v>19572.296606347427</v>
      </c>
      <c r="F208" s="157">
        <f t="shared" si="12"/>
        <v>9133.364528704682</v>
      </c>
      <c r="G208" s="157">
        <f t="shared" si="10"/>
        <v>10438.932077642745</v>
      </c>
      <c r="H208" s="158">
        <f t="shared" si="11"/>
        <v>1743167.0574336562</v>
      </c>
      <c r="I208" s="148">
        <f>+SUM(G197:G208)+SUM(F197:F208)</f>
        <v>234867.55927616917</v>
      </c>
    </row>
    <row r="209" spans="2:9">
      <c r="B209" s="187"/>
      <c r="C209" s="188">
        <v>193</v>
      </c>
      <c r="D209" s="189">
        <f t="shared" si="14"/>
        <v>1743167.0574336562</v>
      </c>
      <c r="E209" s="189">
        <f t="shared" si="13"/>
        <v>19572.296606347427</v>
      </c>
      <c r="F209" s="189">
        <f t="shared" si="12"/>
        <v>9078.995090800292</v>
      </c>
      <c r="G209" s="189">
        <f t="shared" ref="G209:G272" si="15">E209-F209</f>
        <v>10493.301515547135</v>
      </c>
      <c r="H209" s="190">
        <f t="shared" ref="H209:H272" si="16">D209-G209</f>
        <v>1732673.7559181091</v>
      </c>
    </row>
    <row r="210" spans="2:9">
      <c r="B210" s="40"/>
      <c r="C210" s="58">
        <v>194</v>
      </c>
      <c r="D210" s="144">
        <f t="shared" si="14"/>
        <v>1732673.7559181091</v>
      </c>
      <c r="E210" s="144">
        <f t="shared" si="13"/>
        <v>19572.296606347427</v>
      </c>
      <c r="F210" s="144">
        <f t="shared" ref="F210:F273" si="17">IF(C210&gt;$C$10,0,($C$6/12)*H209)</f>
        <v>9024.3424787401509</v>
      </c>
      <c r="G210" s="144">
        <f t="shared" si="15"/>
        <v>10547.954127607276</v>
      </c>
      <c r="H210" s="145">
        <f t="shared" si="16"/>
        <v>1722125.8017905019</v>
      </c>
    </row>
    <row r="211" spans="2:9">
      <c r="B211" s="40"/>
      <c r="C211" s="58">
        <v>195</v>
      </c>
      <c r="D211" s="144">
        <f t="shared" si="14"/>
        <v>1722125.8017905019</v>
      </c>
      <c r="E211" s="144">
        <f t="shared" si="13"/>
        <v>19572.296606347427</v>
      </c>
      <c r="F211" s="144">
        <f t="shared" si="17"/>
        <v>8969.405217658863</v>
      </c>
      <c r="G211" s="144">
        <f t="shared" si="15"/>
        <v>10602.891388688564</v>
      </c>
      <c r="H211" s="145">
        <f t="shared" si="16"/>
        <v>1711522.9104018135</v>
      </c>
    </row>
    <row r="212" spans="2:9">
      <c r="B212" s="40"/>
      <c r="C212" s="58">
        <v>196</v>
      </c>
      <c r="D212" s="144">
        <f t="shared" si="14"/>
        <v>1711522.9104018135</v>
      </c>
      <c r="E212" s="144">
        <f t="shared" si="13"/>
        <v>19572.296606347427</v>
      </c>
      <c r="F212" s="144">
        <f t="shared" si="17"/>
        <v>8914.1818250094439</v>
      </c>
      <c r="G212" s="144">
        <f t="shared" si="15"/>
        <v>10658.114781337983</v>
      </c>
      <c r="H212" s="145">
        <f t="shared" si="16"/>
        <v>1700864.7956204754</v>
      </c>
    </row>
    <row r="213" spans="2:9">
      <c r="B213" s="40"/>
      <c r="C213" s="58">
        <v>197</v>
      </c>
      <c r="D213" s="144">
        <f t="shared" si="14"/>
        <v>1700864.7956204754</v>
      </c>
      <c r="E213" s="144">
        <f t="shared" ref="E213:E276" si="18">IF(C213&gt;$C$10,0,IF(C213&lt;=$C$8,F213,-PMT($C$6/12,$C$9,$C$5,0,0)))</f>
        <v>19572.296606347427</v>
      </c>
      <c r="F213" s="144">
        <f t="shared" si="17"/>
        <v>8858.6708105233083</v>
      </c>
      <c r="G213" s="144">
        <f t="shared" si="15"/>
        <v>10713.625795824119</v>
      </c>
      <c r="H213" s="145">
        <f t="shared" si="16"/>
        <v>1690151.1698246512</v>
      </c>
    </row>
    <row r="214" spans="2:9">
      <c r="B214" s="40"/>
      <c r="C214" s="58">
        <v>198</v>
      </c>
      <c r="D214" s="144">
        <f t="shared" ref="D214:D277" si="19">IF(C214&gt;$C$10,0,H213)</f>
        <v>1690151.1698246512</v>
      </c>
      <c r="E214" s="144">
        <f t="shared" si="18"/>
        <v>19572.296606347427</v>
      </c>
      <c r="F214" s="144">
        <f t="shared" si="17"/>
        <v>8802.8706761700578</v>
      </c>
      <c r="G214" s="144">
        <f t="shared" si="15"/>
        <v>10769.425930177369</v>
      </c>
      <c r="H214" s="145">
        <f t="shared" si="16"/>
        <v>1679381.7438944739</v>
      </c>
    </row>
    <row r="215" spans="2:9">
      <c r="B215" s="40"/>
      <c r="C215" s="58">
        <v>199</v>
      </c>
      <c r="D215" s="144">
        <f t="shared" si="19"/>
        <v>1679381.7438944739</v>
      </c>
      <c r="E215" s="144">
        <f t="shared" si="18"/>
        <v>19572.296606347427</v>
      </c>
      <c r="F215" s="144">
        <f t="shared" si="17"/>
        <v>8746.7799161170515</v>
      </c>
      <c r="G215" s="144">
        <f t="shared" si="15"/>
        <v>10825.516690230375</v>
      </c>
      <c r="H215" s="145">
        <f t="shared" si="16"/>
        <v>1668556.2272042434</v>
      </c>
    </row>
    <row r="216" spans="2:9">
      <c r="B216" s="40"/>
      <c r="C216" s="58">
        <v>200</v>
      </c>
      <c r="D216" s="144">
        <f t="shared" si="19"/>
        <v>1668556.2272042434</v>
      </c>
      <c r="E216" s="144">
        <f t="shared" si="18"/>
        <v>19572.296606347427</v>
      </c>
      <c r="F216" s="144">
        <f t="shared" si="17"/>
        <v>8690.3970166887666</v>
      </c>
      <c r="G216" s="144">
        <f t="shared" si="15"/>
        <v>10881.89958965866</v>
      </c>
      <c r="H216" s="145">
        <f t="shared" si="16"/>
        <v>1657674.3276145847</v>
      </c>
    </row>
    <row r="217" spans="2:9">
      <c r="B217" s="40"/>
      <c r="C217" s="58">
        <v>201</v>
      </c>
      <c r="D217" s="144">
        <f t="shared" si="19"/>
        <v>1657674.3276145847</v>
      </c>
      <c r="E217" s="144">
        <f t="shared" si="18"/>
        <v>19572.296606347427</v>
      </c>
      <c r="F217" s="144">
        <f t="shared" si="17"/>
        <v>8633.720456325962</v>
      </c>
      <c r="G217" s="144">
        <f t="shared" si="15"/>
        <v>10938.576150021465</v>
      </c>
      <c r="H217" s="145">
        <f t="shared" si="16"/>
        <v>1646735.7514645632</v>
      </c>
    </row>
    <row r="218" spans="2:9">
      <c r="B218" s="40"/>
      <c r="C218" s="58">
        <v>202</v>
      </c>
      <c r="D218" s="144">
        <f t="shared" si="19"/>
        <v>1646735.7514645632</v>
      </c>
      <c r="E218" s="144">
        <f t="shared" si="18"/>
        <v>19572.296606347427</v>
      </c>
      <c r="F218" s="144">
        <f t="shared" si="17"/>
        <v>8576.7487055445999</v>
      </c>
      <c r="G218" s="144">
        <f t="shared" si="15"/>
        <v>10995.547900802827</v>
      </c>
      <c r="H218" s="145">
        <f t="shared" si="16"/>
        <v>1635740.2035637603</v>
      </c>
    </row>
    <row r="219" spans="2:9">
      <c r="B219" s="40"/>
      <c r="C219" s="58">
        <v>203</v>
      </c>
      <c r="D219" s="144">
        <f t="shared" si="19"/>
        <v>1635740.2035637603</v>
      </c>
      <c r="E219" s="144">
        <f t="shared" si="18"/>
        <v>19572.296606347427</v>
      </c>
      <c r="F219" s="144">
        <f t="shared" si="17"/>
        <v>8519.4802268945841</v>
      </c>
      <c r="G219" s="144">
        <f t="shared" si="15"/>
        <v>11052.816379452843</v>
      </c>
      <c r="H219" s="145">
        <f t="shared" si="16"/>
        <v>1624687.3871843074</v>
      </c>
    </row>
    <row r="220" spans="2:9">
      <c r="B220" s="46">
        <v>17</v>
      </c>
      <c r="C220" s="147">
        <v>204</v>
      </c>
      <c r="D220" s="157">
        <f t="shared" si="19"/>
        <v>1624687.3871843074</v>
      </c>
      <c r="E220" s="157">
        <f t="shared" si="18"/>
        <v>19572.296606347427</v>
      </c>
      <c r="F220" s="157">
        <f t="shared" si="17"/>
        <v>8461.9134749182667</v>
      </c>
      <c r="G220" s="157">
        <f t="shared" si="15"/>
        <v>11110.38313142916</v>
      </c>
      <c r="H220" s="158">
        <f t="shared" si="16"/>
        <v>1613577.0040528784</v>
      </c>
      <c r="I220" s="148">
        <f>+SUM(G209:G220)+SUM(F209:F220)</f>
        <v>234867.55927616911</v>
      </c>
    </row>
    <row r="221" spans="2:9">
      <c r="B221" s="187"/>
      <c r="C221" s="188">
        <v>205</v>
      </c>
      <c r="D221" s="189">
        <f t="shared" si="19"/>
        <v>1613577.0040528784</v>
      </c>
      <c r="E221" s="189">
        <f t="shared" si="18"/>
        <v>19572.296606347427</v>
      </c>
      <c r="F221" s="189">
        <f t="shared" si="17"/>
        <v>8404.0468961087408</v>
      </c>
      <c r="G221" s="189">
        <f t="shared" si="15"/>
        <v>11168.249710238686</v>
      </c>
      <c r="H221" s="190">
        <f t="shared" si="16"/>
        <v>1602408.7543426396</v>
      </c>
    </row>
    <row r="222" spans="2:9">
      <c r="B222" s="40"/>
      <c r="C222" s="58">
        <v>206</v>
      </c>
      <c r="D222" s="144">
        <f t="shared" si="19"/>
        <v>1602408.7543426396</v>
      </c>
      <c r="E222" s="144">
        <f t="shared" si="18"/>
        <v>19572.296606347427</v>
      </c>
      <c r="F222" s="144">
        <f t="shared" si="17"/>
        <v>8345.8789288679145</v>
      </c>
      <c r="G222" s="144">
        <f t="shared" si="15"/>
        <v>11226.417677479512</v>
      </c>
      <c r="H222" s="145">
        <f t="shared" si="16"/>
        <v>1591182.33666516</v>
      </c>
    </row>
    <row r="223" spans="2:9">
      <c r="B223" s="40"/>
      <c r="C223" s="58">
        <v>207</v>
      </c>
      <c r="D223" s="144">
        <f t="shared" si="19"/>
        <v>1591182.33666516</v>
      </c>
      <c r="E223" s="144">
        <f t="shared" si="18"/>
        <v>19572.296606347427</v>
      </c>
      <c r="F223" s="144">
        <f t="shared" si="17"/>
        <v>8287.4080034643739</v>
      </c>
      <c r="G223" s="144">
        <f t="shared" si="15"/>
        <v>11284.888602883053</v>
      </c>
      <c r="H223" s="145">
        <f t="shared" si="16"/>
        <v>1579897.4480622769</v>
      </c>
    </row>
    <row r="224" spans="2:9">
      <c r="B224" s="40"/>
      <c r="C224" s="58">
        <v>208</v>
      </c>
      <c r="D224" s="144">
        <f t="shared" si="19"/>
        <v>1579897.4480622769</v>
      </c>
      <c r="E224" s="144">
        <f t="shared" si="18"/>
        <v>19572.296606347427</v>
      </c>
      <c r="F224" s="144">
        <f t="shared" si="17"/>
        <v>8228.6325419910245</v>
      </c>
      <c r="G224" s="144">
        <f t="shared" si="15"/>
        <v>11343.664064356402</v>
      </c>
      <c r="H224" s="145">
        <f t="shared" si="16"/>
        <v>1568553.7839979206</v>
      </c>
    </row>
    <row r="225" spans="2:9">
      <c r="B225" s="40"/>
      <c r="C225" s="58">
        <v>209</v>
      </c>
      <c r="D225" s="144">
        <f t="shared" si="19"/>
        <v>1568553.7839979206</v>
      </c>
      <c r="E225" s="144">
        <f t="shared" si="18"/>
        <v>19572.296606347427</v>
      </c>
      <c r="F225" s="144">
        <f t="shared" si="17"/>
        <v>8169.550958322503</v>
      </c>
      <c r="G225" s="144">
        <f t="shared" si="15"/>
        <v>11402.745648024924</v>
      </c>
      <c r="H225" s="145">
        <f t="shared" si="16"/>
        <v>1557151.0383498957</v>
      </c>
    </row>
    <row r="226" spans="2:9">
      <c r="B226" s="40"/>
      <c r="C226" s="58">
        <v>210</v>
      </c>
      <c r="D226" s="144">
        <f t="shared" si="19"/>
        <v>1557151.0383498957</v>
      </c>
      <c r="E226" s="144">
        <f t="shared" si="18"/>
        <v>19572.296606347427</v>
      </c>
      <c r="F226" s="144">
        <f t="shared" si="17"/>
        <v>8110.161658072373</v>
      </c>
      <c r="G226" s="144">
        <f t="shared" si="15"/>
        <v>11462.134948275054</v>
      </c>
      <c r="H226" s="145">
        <f t="shared" si="16"/>
        <v>1545688.9034016207</v>
      </c>
    </row>
    <row r="227" spans="2:9">
      <c r="B227" s="40"/>
      <c r="C227" s="58">
        <v>211</v>
      </c>
      <c r="D227" s="144">
        <f t="shared" si="19"/>
        <v>1545688.9034016207</v>
      </c>
      <c r="E227" s="144">
        <f t="shared" si="18"/>
        <v>19572.296606347427</v>
      </c>
      <c r="F227" s="144">
        <f t="shared" si="17"/>
        <v>8050.4630385501077</v>
      </c>
      <c r="G227" s="144">
        <f t="shared" si="15"/>
        <v>11521.833567797319</v>
      </c>
      <c r="H227" s="145">
        <f t="shared" si="16"/>
        <v>1534167.0698338235</v>
      </c>
    </row>
    <row r="228" spans="2:9">
      <c r="B228" s="40"/>
      <c r="C228" s="58">
        <v>212</v>
      </c>
      <c r="D228" s="144">
        <f t="shared" si="19"/>
        <v>1534167.0698338235</v>
      </c>
      <c r="E228" s="144">
        <f t="shared" si="18"/>
        <v>19572.296606347427</v>
      </c>
      <c r="F228" s="144">
        <f t="shared" si="17"/>
        <v>7990.4534887178306</v>
      </c>
      <c r="G228" s="144">
        <f t="shared" si="15"/>
        <v>11581.843117629596</v>
      </c>
      <c r="H228" s="145">
        <f t="shared" si="16"/>
        <v>1522585.2267161938</v>
      </c>
    </row>
    <row r="229" spans="2:9">
      <c r="B229" s="40"/>
      <c r="C229" s="58">
        <v>213</v>
      </c>
      <c r="D229" s="144">
        <f t="shared" si="19"/>
        <v>1522585.2267161938</v>
      </c>
      <c r="E229" s="144">
        <f t="shared" si="18"/>
        <v>19572.296606347427</v>
      </c>
      <c r="F229" s="144">
        <f t="shared" si="17"/>
        <v>7930.1313891468426</v>
      </c>
      <c r="G229" s="144">
        <f t="shared" si="15"/>
        <v>11642.165217200585</v>
      </c>
      <c r="H229" s="145">
        <f t="shared" si="16"/>
        <v>1510943.0614989933</v>
      </c>
    </row>
    <row r="230" spans="2:9">
      <c r="B230" s="40"/>
      <c r="C230" s="58">
        <v>214</v>
      </c>
      <c r="D230" s="144">
        <f t="shared" si="19"/>
        <v>1510943.0614989933</v>
      </c>
      <c r="E230" s="144">
        <f t="shared" si="18"/>
        <v>19572.296606347427</v>
      </c>
      <c r="F230" s="144">
        <f t="shared" si="17"/>
        <v>7869.4951119739235</v>
      </c>
      <c r="G230" s="144">
        <f t="shared" si="15"/>
        <v>11702.801494373503</v>
      </c>
      <c r="H230" s="145">
        <f t="shared" si="16"/>
        <v>1499240.2600046198</v>
      </c>
    </row>
    <row r="231" spans="2:9">
      <c r="B231" s="40"/>
      <c r="C231" s="58">
        <v>215</v>
      </c>
      <c r="D231" s="144">
        <f t="shared" si="19"/>
        <v>1499240.2600046198</v>
      </c>
      <c r="E231" s="144">
        <f t="shared" si="18"/>
        <v>19572.296606347427</v>
      </c>
      <c r="F231" s="144">
        <f t="shared" si="17"/>
        <v>7808.5430208573944</v>
      </c>
      <c r="G231" s="144">
        <f t="shared" si="15"/>
        <v>11763.753585490032</v>
      </c>
      <c r="H231" s="145">
        <f t="shared" si="16"/>
        <v>1487476.5064191299</v>
      </c>
    </row>
    <row r="232" spans="2:9">
      <c r="B232" s="46">
        <v>18</v>
      </c>
      <c r="C232" s="147">
        <v>216</v>
      </c>
      <c r="D232" s="157">
        <f t="shared" si="19"/>
        <v>1487476.5064191299</v>
      </c>
      <c r="E232" s="157">
        <f t="shared" si="18"/>
        <v>19572.296606347427</v>
      </c>
      <c r="F232" s="157">
        <f t="shared" si="17"/>
        <v>7747.2734709329679</v>
      </c>
      <c r="G232" s="157">
        <f t="shared" si="15"/>
        <v>11825.02313541446</v>
      </c>
      <c r="H232" s="158">
        <f t="shared" si="16"/>
        <v>1475651.4832837156</v>
      </c>
      <c r="I232" s="148">
        <f>+SUM(G221:G232)+SUM(F221:F232)</f>
        <v>234867.55927616911</v>
      </c>
    </row>
    <row r="233" spans="2:9">
      <c r="B233" s="187"/>
      <c r="C233" s="188">
        <v>217</v>
      </c>
      <c r="D233" s="189">
        <f t="shared" si="19"/>
        <v>1475651.4832837156</v>
      </c>
      <c r="E233" s="189">
        <f t="shared" si="18"/>
        <v>19572.296606347427</v>
      </c>
      <c r="F233" s="189">
        <f t="shared" si="17"/>
        <v>7685.6848087693515</v>
      </c>
      <c r="G233" s="189">
        <f t="shared" si="15"/>
        <v>11886.611797578076</v>
      </c>
      <c r="H233" s="190">
        <f t="shared" si="16"/>
        <v>1463764.8714861374</v>
      </c>
    </row>
    <row r="234" spans="2:9">
      <c r="B234" s="40"/>
      <c r="C234" s="58">
        <v>218</v>
      </c>
      <c r="D234" s="144">
        <f t="shared" si="19"/>
        <v>1463764.8714861374</v>
      </c>
      <c r="E234" s="144">
        <f t="shared" si="18"/>
        <v>19572.296606347427</v>
      </c>
      <c r="F234" s="144">
        <f t="shared" si="17"/>
        <v>7623.7753723236319</v>
      </c>
      <c r="G234" s="144">
        <f t="shared" si="15"/>
        <v>11948.521234023796</v>
      </c>
      <c r="H234" s="145">
        <f t="shared" si="16"/>
        <v>1451816.3502521135</v>
      </c>
    </row>
    <row r="235" spans="2:9">
      <c r="B235" s="40"/>
      <c r="C235" s="58">
        <v>219</v>
      </c>
      <c r="D235" s="144">
        <f t="shared" si="19"/>
        <v>1451816.3502521135</v>
      </c>
      <c r="E235" s="144">
        <f t="shared" si="18"/>
        <v>19572.296606347427</v>
      </c>
      <c r="F235" s="144">
        <f t="shared" si="17"/>
        <v>7561.5434908964244</v>
      </c>
      <c r="G235" s="144">
        <f t="shared" si="15"/>
        <v>12010.753115451003</v>
      </c>
      <c r="H235" s="145">
        <f t="shared" si="16"/>
        <v>1439805.5971366626</v>
      </c>
    </row>
    <row r="236" spans="2:9">
      <c r="B236" s="40"/>
      <c r="C236" s="58">
        <v>220</v>
      </c>
      <c r="D236" s="144">
        <f t="shared" si="19"/>
        <v>1439805.5971366626</v>
      </c>
      <c r="E236" s="144">
        <f t="shared" si="18"/>
        <v>19572.296606347427</v>
      </c>
      <c r="F236" s="144">
        <f t="shared" si="17"/>
        <v>7498.9874850867836</v>
      </c>
      <c r="G236" s="144">
        <f t="shared" si="15"/>
        <v>12073.309121260643</v>
      </c>
      <c r="H236" s="145">
        <f t="shared" si="16"/>
        <v>1427732.2880154019</v>
      </c>
    </row>
    <row r="237" spans="2:9">
      <c r="B237" s="40"/>
      <c r="C237" s="58">
        <v>221</v>
      </c>
      <c r="D237" s="144">
        <f t="shared" si="19"/>
        <v>1427732.2880154019</v>
      </c>
      <c r="E237" s="144">
        <f t="shared" si="18"/>
        <v>19572.296606347427</v>
      </c>
      <c r="F237" s="144">
        <f t="shared" si="17"/>
        <v>7436.1056667468847</v>
      </c>
      <c r="G237" s="144">
        <f t="shared" si="15"/>
        <v>12136.190939600543</v>
      </c>
      <c r="H237" s="145">
        <f t="shared" si="16"/>
        <v>1415596.0970758013</v>
      </c>
    </row>
    <row r="238" spans="2:9">
      <c r="B238" s="40"/>
      <c r="C238" s="58">
        <v>222</v>
      </c>
      <c r="D238" s="144">
        <f t="shared" si="19"/>
        <v>1415596.0970758013</v>
      </c>
      <c r="E238" s="144">
        <f t="shared" si="18"/>
        <v>19572.296606347427</v>
      </c>
      <c r="F238" s="144">
        <f t="shared" si="17"/>
        <v>7372.8963389364653</v>
      </c>
      <c r="G238" s="144">
        <f t="shared" si="15"/>
        <v>12199.400267410962</v>
      </c>
      <c r="H238" s="145">
        <f t="shared" si="16"/>
        <v>1403396.6968083903</v>
      </c>
    </row>
    <row r="239" spans="2:9">
      <c r="B239" s="40"/>
      <c r="C239" s="58">
        <v>223</v>
      </c>
      <c r="D239" s="144">
        <f t="shared" si="19"/>
        <v>1403396.6968083903</v>
      </c>
      <c r="E239" s="144">
        <f t="shared" si="18"/>
        <v>19572.296606347427</v>
      </c>
      <c r="F239" s="144">
        <f t="shared" si="17"/>
        <v>7309.3577958770329</v>
      </c>
      <c r="G239" s="144">
        <f t="shared" si="15"/>
        <v>12262.938810470394</v>
      </c>
      <c r="H239" s="145">
        <f t="shared" si="16"/>
        <v>1391133.75799792</v>
      </c>
    </row>
    <row r="240" spans="2:9">
      <c r="B240" s="40"/>
      <c r="C240" s="58">
        <v>224</v>
      </c>
      <c r="D240" s="144">
        <f t="shared" si="19"/>
        <v>1391133.75799792</v>
      </c>
      <c r="E240" s="144">
        <f t="shared" si="18"/>
        <v>19572.296606347427</v>
      </c>
      <c r="F240" s="144">
        <f t="shared" si="17"/>
        <v>7245.4883229058332</v>
      </c>
      <c r="G240" s="144">
        <f t="shared" si="15"/>
        <v>12326.808283441595</v>
      </c>
      <c r="H240" s="145">
        <f t="shared" si="16"/>
        <v>1378806.9497144783</v>
      </c>
    </row>
    <row r="241" spans="2:9">
      <c r="B241" s="40"/>
      <c r="C241" s="58">
        <v>225</v>
      </c>
      <c r="D241" s="144">
        <f t="shared" si="19"/>
        <v>1378806.9497144783</v>
      </c>
      <c r="E241" s="144">
        <f t="shared" si="18"/>
        <v>19572.296606347427</v>
      </c>
      <c r="F241" s="144">
        <f t="shared" si="17"/>
        <v>7181.2861964295744</v>
      </c>
      <c r="G241" s="144">
        <f t="shared" si="15"/>
        <v>12391.010409917853</v>
      </c>
      <c r="H241" s="145">
        <f t="shared" si="16"/>
        <v>1366415.9393045604</v>
      </c>
    </row>
    <row r="242" spans="2:9">
      <c r="B242" s="40"/>
      <c r="C242" s="58">
        <v>226</v>
      </c>
      <c r="D242" s="144">
        <f t="shared" si="19"/>
        <v>1366415.9393045604</v>
      </c>
      <c r="E242" s="144">
        <f t="shared" si="18"/>
        <v>19572.296606347427</v>
      </c>
      <c r="F242" s="144">
        <f t="shared" si="17"/>
        <v>7116.7496838779189</v>
      </c>
      <c r="G242" s="144">
        <f t="shared" si="15"/>
        <v>12455.546922469508</v>
      </c>
      <c r="H242" s="145">
        <f t="shared" si="16"/>
        <v>1353960.3923820909</v>
      </c>
    </row>
    <row r="243" spans="2:9">
      <c r="B243" s="40"/>
      <c r="C243" s="58">
        <v>227</v>
      </c>
      <c r="D243" s="144">
        <f t="shared" si="19"/>
        <v>1353960.3923820909</v>
      </c>
      <c r="E243" s="144">
        <f t="shared" si="18"/>
        <v>19572.296606347427</v>
      </c>
      <c r="F243" s="144">
        <f t="shared" si="17"/>
        <v>7051.8770436567229</v>
      </c>
      <c r="G243" s="144">
        <f t="shared" si="15"/>
        <v>12520.419562690704</v>
      </c>
      <c r="H243" s="145">
        <f t="shared" si="16"/>
        <v>1341439.9728194003</v>
      </c>
    </row>
    <row r="244" spans="2:9">
      <c r="B244" s="46">
        <v>19</v>
      </c>
      <c r="C244" s="147">
        <v>228</v>
      </c>
      <c r="D244" s="157">
        <f t="shared" si="19"/>
        <v>1341439.9728194003</v>
      </c>
      <c r="E244" s="157">
        <f t="shared" si="18"/>
        <v>19572.296606347427</v>
      </c>
      <c r="F244" s="157">
        <f t="shared" si="17"/>
        <v>6986.6665251010427</v>
      </c>
      <c r="G244" s="157">
        <f t="shared" si="15"/>
        <v>12585.630081246385</v>
      </c>
      <c r="H244" s="158">
        <f t="shared" si="16"/>
        <v>1328854.3427381539</v>
      </c>
      <c r="I244" s="148">
        <f>+SUM(G233:G244)+SUM(F233:F244)</f>
        <v>234867.55927616917</v>
      </c>
    </row>
    <row r="245" spans="2:9">
      <c r="B245" s="187"/>
      <c r="C245" s="188">
        <v>229</v>
      </c>
      <c r="D245" s="189">
        <f t="shared" si="19"/>
        <v>1328854.3427381539</v>
      </c>
      <c r="E245" s="189">
        <f t="shared" si="18"/>
        <v>19572.296606347427</v>
      </c>
      <c r="F245" s="189">
        <f t="shared" si="17"/>
        <v>6921.1163684278845</v>
      </c>
      <c r="G245" s="189">
        <f t="shared" si="15"/>
        <v>12651.180237919543</v>
      </c>
      <c r="H245" s="190">
        <f t="shared" si="16"/>
        <v>1316203.1625002343</v>
      </c>
    </row>
    <row r="246" spans="2:9">
      <c r="B246" s="40"/>
      <c r="C246" s="58">
        <v>230</v>
      </c>
      <c r="D246" s="144">
        <f t="shared" si="19"/>
        <v>1316203.1625002343</v>
      </c>
      <c r="E246" s="144">
        <f t="shared" si="18"/>
        <v>19572.296606347427</v>
      </c>
      <c r="F246" s="144">
        <f t="shared" si="17"/>
        <v>6855.2248046887198</v>
      </c>
      <c r="G246" s="144">
        <f t="shared" si="15"/>
        <v>12717.071801658707</v>
      </c>
      <c r="H246" s="145">
        <f t="shared" si="16"/>
        <v>1303486.0906985756</v>
      </c>
    </row>
    <row r="247" spans="2:9">
      <c r="B247" s="40"/>
      <c r="C247" s="58">
        <v>231</v>
      </c>
      <c r="D247" s="144">
        <f t="shared" si="19"/>
        <v>1303486.0906985756</v>
      </c>
      <c r="E247" s="144">
        <f t="shared" si="18"/>
        <v>19572.296606347427</v>
      </c>
      <c r="F247" s="144">
        <f t="shared" si="17"/>
        <v>6788.9900557217479</v>
      </c>
      <c r="G247" s="144">
        <f t="shared" si="15"/>
        <v>12783.306550625679</v>
      </c>
      <c r="H247" s="145">
        <f t="shared" si="16"/>
        <v>1290702.7841479499</v>
      </c>
    </row>
    <row r="248" spans="2:9">
      <c r="B248" s="40"/>
      <c r="C248" s="58">
        <v>232</v>
      </c>
      <c r="D248" s="144">
        <f t="shared" si="19"/>
        <v>1290702.7841479499</v>
      </c>
      <c r="E248" s="144">
        <f t="shared" si="18"/>
        <v>19572.296606347427</v>
      </c>
      <c r="F248" s="144">
        <f t="shared" si="17"/>
        <v>6722.4103341039054</v>
      </c>
      <c r="G248" s="144">
        <f t="shared" si="15"/>
        <v>12849.886272243522</v>
      </c>
      <c r="H248" s="145">
        <f t="shared" si="16"/>
        <v>1277852.8978757064</v>
      </c>
    </row>
    <row r="249" spans="2:9">
      <c r="B249" s="40"/>
      <c r="C249" s="58">
        <v>233</v>
      </c>
      <c r="D249" s="144">
        <f t="shared" si="19"/>
        <v>1277852.8978757064</v>
      </c>
      <c r="E249" s="144">
        <f t="shared" si="18"/>
        <v>19572.296606347427</v>
      </c>
      <c r="F249" s="144">
        <f t="shared" si="17"/>
        <v>6655.4838431026374</v>
      </c>
      <c r="G249" s="144">
        <f t="shared" si="15"/>
        <v>12916.81276324479</v>
      </c>
      <c r="H249" s="145">
        <f t="shared" si="16"/>
        <v>1264936.0851124616</v>
      </c>
    </row>
    <row r="250" spans="2:9">
      <c r="B250" s="40"/>
      <c r="C250" s="58">
        <v>234</v>
      </c>
      <c r="D250" s="144">
        <f t="shared" si="19"/>
        <v>1264936.0851124616</v>
      </c>
      <c r="E250" s="144">
        <f t="shared" si="18"/>
        <v>19572.296606347427</v>
      </c>
      <c r="F250" s="144">
        <f t="shared" si="17"/>
        <v>6588.2087766274035</v>
      </c>
      <c r="G250" s="144">
        <f t="shared" si="15"/>
        <v>12984.087829720023</v>
      </c>
      <c r="H250" s="145">
        <f t="shared" si="16"/>
        <v>1251951.9972827416</v>
      </c>
    </row>
    <row r="251" spans="2:9">
      <c r="B251" s="40"/>
      <c r="C251" s="58">
        <v>235</v>
      </c>
      <c r="D251" s="144">
        <f t="shared" si="19"/>
        <v>1251951.9972827416</v>
      </c>
      <c r="E251" s="144">
        <f t="shared" si="18"/>
        <v>19572.296606347427</v>
      </c>
      <c r="F251" s="144">
        <f t="shared" si="17"/>
        <v>6520.5833191809452</v>
      </c>
      <c r="G251" s="144">
        <f t="shared" si="15"/>
        <v>13051.713287166482</v>
      </c>
      <c r="H251" s="145">
        <f t="shared" si="16"/>
        <v>1238900.283995575</v>
      </c>
    </row>
    <row r="252" spans="2:9">
      <c r="B252" s="40"/>
      <c r="C252" s="58">
        <v>236</v>
      </c>
      <c r="D252" s="144">
        <f t="shared" si="19"/>
        <v>1238900.283995575</v>
      </c>
      <c r="E252" s="144">
        <f t="shared" si="18"/>
        <v>19572.296606347427</v>
      </c>
      <c r="F252" s="144">
        <f t="shared" si="17"/>
        <v>6452.6056458102867</v>
      </c>
      <c r="G252" s="144">
        <f t="shared" si="15"/>
        <v>13119.69096053714</v>
      </c>
      <c r="H252" s="145">
        <f t="shared" si="16"/>
        <v>1225780.5930350379</v>
      </c>
    </row>
    <row r="253" spans="2:9">
      <c r="B253" s="40"/>
      <c r="C253" s="58">
        <v>237</v>
      </c>
      <c r="D253" s="144">
        <f t="shared" si="19"/>
        <v>1225780.5930350379</v>
      </c>
      <c r="E253" s="144">
        <f t="shared" si="18"/>
        <v>19572.296606347427</v>
      </c>
      <c r="F253" s="144">
        <f t="shared" si="17"/>
        <v>6384.2739220574886</v>
      </c>
      <c r="G253" s="144">
        <f t="shared" si="15"/>
        <v>13188.022684289939</v>
      </c>
      <c r="H253" s="145">
        <f t="shared" si="16"/>
        <v>1212592.570350748</v>
      </c>
    </row>
    <row r="254" spans="2:9">
      <c r="B254" s="40"/>
      <c r="C254" s="58">
        <v>238</v>
      </c>
      <c r="D254" s="144">
        <f t="shared" si="19"/>
        <v>1212592.570350748</v>
      </c>
      <c r="E254" s="144">
        <f t="shared" si="18"/>
        <v>19572.296606347427</v>
      </c>
      <c r="F254" s="144">
        <f t="shared" si="17"/>
        <v>6315.5863039101459</v>
      </c>
      <c r="G254" s="144">
        <f t="shared" si="15"/>
        <v>13256.710302437281</v>
      </c>
      <c r="H254" s="145">
        <f t="shared" si="16"/>
        <v>1199335.8600483108</v>
      </c>
    </row>
    <row r="255" spans="2:9">
      <c r="B255" s="40"/>
      <c r="C255" s="58">
        <v>239</v>
      </c>
      <c r="D255" s="144">
        <f t="shared" si="19"/>
        <v>1199335.8600483108</v>
      </c>
      <c r="E255" s="144">
        <f t="shared" si="18"/>
        <v>19572.296606347427</v>
      </c>
      <c r="F255" s="144">
        <f t="shared" si="17"/>
        <v>6246.5409377516189</v>
      </c>
      <c r="G255" s="144">
        <f t="shared" si="15"/>
        <v>13325.755668595808</v>
      </c>
      <c r="H255" s="145">
        <f t="shared" si="16"/>
        <v>1186010.1043797149</v>
      </c>
    </row>
    <row r="256" spans="2:9">
      <c r="B256" s="46">
        <v>20</v>
      </c>
      <c r="C256" s="147">
        <v>240</v>
      </c>
      <c r="D256" s="157">
        <f t="shared" si="19"/>
        <v>1186010.1043797149</v>
      </c>
      <c r="E256" s="157">
        <f t="shared" si="18"/>
        <v>19572.296606347427</v>
      </c>
      <c r="F256" s="157">
        <f t="shared" si="17"/>
        <v>6177.135960311015</v>
      </c>
      <c r="G256" s="157">
        <f t="shared" si="15"/>
        <v>13395.160646036413</v>
      </c>
      <c r="H256" s="158">
        <f t="shared" si="16"/>
        <v>1172614.9437336784</v>
      </c>
      <c r="I256" s="148">
        <f>+SUM(G245:G256)+SUM(F245:F256)</f>
        <v>234867.55927616914</v>
      </c>
    </row>
    <row r="257" spans="2:9">
      <c r="B257" s="187"/>
      <c r="C257" s="188">
        <v>241</v>
      </c>
      <c r="D257" s="189">
        <f t="shared" si="19"/>
        <v>1172614.9437336784</v>
      </c>
      <c r="E257" s="189">
        <f t="shared" si="18"/>
        <v>19572.296606347427</v>
      </c>
      <c r="F257" s="189">
        <f t="shared" si="17"/>
        <v>6107.3694986129085</v>
      </c>
      <c r="G257" s="189">
        <f t="shared" si="15"/>
        <v>13464.927107734518</v>
      </c>
      <c r="H257" s="190">
        <f t="shared" si="16"/>
        <v>1159150.0166259438</v>
      </c>
    </row>
    <row r="258" spans="2:9">
      <c r="B258" s="40"/>
      <c r="C258" s="58">
        <v>242</v>
      </c>
      <c r="D258" s="144">
        <f t="shared" si="19"/>
        <v>1159150.0166259438</v>
      </c>
      <c r="E258" s="144">
        <f t="shared" si="18"/>
        <v>19572.296606347427</v>
      </c>
      <c r="F258" s="144">
        <f t="shared" si="17"/>
        <v>6037.2396699267902</v>
      </c>
      <c r="G258" s="144">
        <f t="shared" si="15"/>
        <v>13535.056936420637</v>
      </c>
      <c r="H258" s="145">
        <f t="shared" si="16"/>
        <v>1145614.9596895231</v>
      </c>
    </row>
    <row r="259" spans="2:9">
      <c r="B259" s="40"/>
      <c r="C259" s="58">
        <v>243</v>
      </c>
      <c r="D259" s="144">
        <f t="shared" si="19"/>
        <v>1145614.9596895231</v>
      </c>
      <c r="E259" s="144">
        <f t="shared" si="18"/>
        <v>19572.296606347427</v>
      </c>
      <c r="F259" s="144">
        <f t="shared" si="17"/>
        <v>5966.7445817162661</v>
      </c>
      <c r="G259" s="144">
        <f t="shared" si="15"/>
        <v>13605.552024631161</v>
      </c>
      <c r="H259" s="145">
        <f t="shared" si="16"/>
        <v>1132009.407664892</v>
      </c>
    </row>
    <row r="260" spans="2:9">
      <c r="B260" s="40"/>
      <c r="C260" s="58">
        <v>244</v>
      </c>
      <c r="D260" s="144">
        <f t="shared" si="19"/>
        <v>1132009.407664892</v>
      </c>
      <c r="E260" s="144">
        <f t="shared" si="18"/>
        <v>19572.296606347427</v>
      </c>
      <c r="F260" s="144">
        <f t="shared" si="17"/>
        <v>5895.882331587979</v>
      </c>
      <c r="G260" s="144">
        <f t="shared" si="15"/>
        <v>13676.414274759449</v>
      </c>
      <c r="H260" s="145">
        <f t="shared" si="16"/>
        <v>1118332.9933901327</v>
      </c>
    </row>
    <row r="261" spans="2:9">
      <c r="B261" s="40"/>
      <c r="C261" s="58">
        <v>245</v>
      </c>
      <c r="D261" s="144">
        <f t="shared" si="19"/>
        <v>1118332.9933901327</v>
      </c>
      <c r="E261" s="144">
        <f t="shared" si="18"/>
        <v>19572.296606347427</v>
      </c>
      <c r="F261" s="144">
        <f t="shared" si="17"/>
        <v>5824.6510072402743</v>
      </c>
      <c r="G261" s="144">
        <f t="shared" si="15"/>
        <v>13747.645599107153</v>
      </c>
      <c r="H261" s="145">
        <f t="shared" si="16"/>
        <v>1104585.3477910254</v>
      </c>
    </row>
    <row r="262" spans="2:9">
      <c r="B262" s="40"/>
      <c r="C262" s="58">
        <v>246</v>
      </c>
      <c r="D262" s="144">
        <f t="shared" si="19"/>
        <v>1104585.3477910254</v>
      </c>
      <c r="E262" s="144">
        <f t="shared" si="18"/>
        <v>19572.296606347427</v>
      </c>
      <c r="F262" s="144">
        <f t="shared" si="17"/>
        <v>5753.0486864115901</v>
      </c>
      <c r="G262" s="144">
        <f t="shared" si="15"/>
        <v>13819.247919935837</v>
      </c>
      <c r="H262" s="145">
        <f t="shared" si="16"/>
        <v>1090766.0998710897</v>
      </c>
    </row>
    <row r="263" spans="2:9">
      <c r="B263" s="40"/>
      <c r="C263" s="58">
        <v>247</v>
      </c>
      <c r="D263" s="144">
        <f t="shared" si="19"/>
        <v>1090766.0998710897</v>
      </c>
      <c r="E263" s="144">
        <f t="shared" si="18"/>
        <v>19572.296606347427</v>
      </c>
      <c r="F263" s="144">
        <f t="shared" si="17"/>
        <v>5681.0734368285921</v>
      </c>
      <c r="G263" s="144">
        <f t="shared" si="15"/>
        <v>13891.223169518835</v>
      </c>
      <c r="H263" s="145">
        <f t="shared" si="16"/>
        <v>1076874.8767015708</v>
      </c>
    </row>
    <row r="264" spans="2:9">
      <c r="B264" s="40"/>
      <c r="C264" s="58">
        <v>248</v>
      </c>
      <c r="D264" s="144">
        <f t="shared" si="19"/>
        <v>1076874.8767015708</v>
      </c>
      <c r="E264" s="144">
        <f t="shared" si="18"/>
        <v>19572.296606347427</v>
      </c>
      <c r="F264" s="144">
        <f t="shared" si="17"/>
        <v>5608.7233161540144</v>
      </c>
      <c r="G264" s="144">
        <f t="shared" si="15"/>
        <v>13963.573290193413</v>
      </c>
      <c r="H264" s="145">
        <f t="shared" si="16"/>
        <v>1062911.3034113774</v>
      </c>
    </row>
    <row r="265" spans="2:9">
      <c r="B265" s="40"/>
      <c r="C265" s="58">
        <v>249</v>
      </c>
      <c r="D265" s="144">
        <f t="shared" si="19"/>
        <v>1062911.3034113774</v>
      </c>
      <c r="E265" s="144">
        <f t="shared" si="18"/>
        <v>19572.296606347427</v>
      </c>
      <c r="F265" s="144">
        <f t="shared" si="17"/>
        <v>5535.9963719342568</v>
      </c>
      <c r="G265" s="144">
        <f t="shared" si="15"/>
        <v>14036.300234413171</v>
      </c>
      <c r="H265" s="145">
        <f t="shared" si="16"/>
        <v>1048875.0031769641</v>
      </c>
    </row>
    <row r="266" spans="2:9">
      <c r="B266" s="40"/>
      <c r="C266" s="58">
        <v>250</v>
      </c>
      <c r="D266" s="144">
        <f t="shared" si="19"/>
        <v>1048875.0031769641</v>
      </c>
      <c r="E266" s="144">
        <f t="shared" si="18"/>
        <v>19572.296606347427</v>
      </c>
      <c r="F266" s="144">
        <f t="shared" si="17"/>
        <v>5462.8906415466881</v>
      </c>
      <c r="G266" s="144">
        <f t="shared" si="15"/>
        <v>14109.405964800739</v>
      </c>
      <c r="H266" s="145">
        <f t="shared" si="16"/>
        <v>1034765.5972121634</v>
      </c>
    </row>
    <row r="267" spans="2:9">
      <c r="B267" s="40"/>
      <c r="C267" s="58">
        <v>251</v>
      </c>
      <c r="D267" s="144">
        <f t="shared" si="19"/>
        <v>1034765.5972121634</v>
      </c>
      <c r="E267" s="144">
        <f t="shared" si="18"/>
        <v>19572.296606347427</v>
      </c>
      <c r="F267" s="144">
        <f t="shared" si="17"/>
        <v>5389.4041521466843</v>
      </c>
      <c r="G267" s="144">
        <f t="shared" si="15"/>
        <v>14182.892454200743</v>
      </c>
      <c r="H267" s="145">
        <f t="shared" si="16"/>
        <v>1020582.7047579626</v>
      </c>
    </row>
    <row r="268" spans="2:9">
      <c r="B268" s="46">
        <v>21</v>
      </c>
      <c r="C268" s="147">
        <v>252</v>
      </c>
      <c r="D268" s="157">
        <f t="shared" si="19"/>
        <v>1020582.7047579626</v>
      </c>
      <c r="E268" s="157">
        <f t="shared" si="18"/>
        <v>19572.296606347427</v>
      </c>
      <c r="F268" s="157">
        <f t="shared" si="17"/>
        <v>5315.5349206143883</v>
      </c>
      <c r="G268" s="157">
        <f t="shared" si="15"/>
        <v>14256.761685733039</v>
      </c>
      <c r="H268" s="158">
        <f t="shared" si="16"/>
        <v>1006325.9430722296</v>
      </c>
      <c r="I268" s="148">
        <f>+SUM(G257:G268)+SUM(F257:F268)</f>
        <v>234867.55927616911</v>
      </c>
    </row>
    <row r="269" spans="2:9">
      <c r="B269" s="187"/>
      <c r="C269" s="188">
        <v>253</v>
      </c>
      <c r="D269" s="189">
        <f t="shared" si="19"/>
        <v>1006325.9430722296</v>
      </c>
      <c r="E269" s="189">
        <f t="shared" si="18"/>
        <v>19572.296606347427</v>
      </c>
      <c r="F269" s="189">
        <f t="shared" si="17"/>
        <v>5241.2809535011957</v>
      </c>
      <c r="G269" s="189">
        <f t="shared" si="15"/>
        <v>14331.015652846232</v>
      </c>
      <c r="H269" s="190">
        <f t="shared" si="16"/>
        <v>991994.92741938343</v>
      </c>
    </row>
    <row r="270" spans="2:9">
      <c r="B270" s="40"/>
      <c r="C270" s="58">
        <v>254</v>
      </c>
      <c r="D270" s="144">
        <f t="shared" si="19"/>
        <v>991994.92741938343</v>
      </c>
      <c r="E270" s="144">
        <f t="shared" si="18"/>
        <v>19572.296606347427</v>
      </c>
      <c r="F270" s="144">
        <f t="shared" si="17"/>
        <v>5166.6402469759551</v>
      </c>
      <c r="G270" s="144">
        <f t="shared" si="15"/>
        <v>14405.656359371471</v>
      </c>
      <c r="H270" s="145">
        <f t="shared" si="16"/>
        <v>977589.27106001193</v>
      </c>
    </row>
    <row r="271" spans="2:9">
      <c r="B271" s="40"/>
      <c r="C271" s="58">
        <v>255</v>
      </c>
      <c r="D271" s="144">
        <f t="shared" si="19"/>
        <v>977589.27106001193</v>
      </c>
      <c r="E271" s="144">
        <f t="shared" si="18"/>
        <v>19572.296606347427</v>
      </c>
      <c r="F271" s="144">
        <f t="shared" si="17"/>
        <v>5091.6107867708952</v>
      </c>
      <c r="G271" s="144">
        <f t="shared" si="15"/>
        <v>14480.685819576531</v>
      </c>
      <c r="H271" s="145">
        <f t="shared" si="16"/>
        <v>963108.58524043544</v>
      </c>
    </row>
    <row r="272" spans="2:9">
      <c r="B272" s="40"/>
      <c r="C272" s="58">
        <v>256</v>
      </c>
      <c r="D272" s="144">
        <f t="shared" si="19"/>
        <v>963108.58524043544</v>
      </c>
      <c r="E272" s="144">
        <f t="shared" si="18"/>
        <v>19572.296606347427</v>
      </c>
      <c r="F272" s="144">
        <f t="shared" si="17"/>
        <v>5016.1905481272679</v>
      </c>
      <c r="G272" s="144">
        <f t="shared" si="15"/>
        <v>14556.106058220159</v>
      </c>
      <c r="H272" s="145">
        <f t="shared" si="16"/>
        <v>948552.47918221529</v>
      </c>
    </row>
    <row r="273" spans="2:9">
      <c r="B273" s="40"/>
      <c r="C273" s="58">
        <v>257</v>
      </c>
      <c r="D273" s="144">
        <f t="shared" si="19"/>
        <v>948552.47918221529</v>
      </c>
      <c r="E273" s="144">
        <f t="shared" si="18"/>
        <v>19572.296606347427</v>
      </c>
      <c r="F273" s="144">
        <f t="shared" si="17"/>
        <v>4940.377495740704</v>
      </c>
      <c r="G273" s="144">
        <f t="shared" ref="G273:G336" si="20">E273-F273</f>
        <v>14631.919110606723</v>
      </c>
      <c r="H273" s="145">
        <f t="shared" ref="H273:H336" si="21">D273-G273</f>
        <v>933920.56007160852</v>
      </c>
    </row>
    <row r="274" spans="2:9">
      <c r="B274" s="40"/>
      <c r="C274" s="58">
        <v>258</v>
      </c>
      <c r="D274" s="144">
        <f t="shared" si="19"/>
        <v>933920.56007160852</v>
      </c>
      <c r="E274" s="144">
        <f t="shared" si="18"/>
        <v>19572.296606347427</v>
      </c>
      <c r="F274" s="144">
        <f t="shared" ref="F274:F337" si="22">IF(C274&gt;$C$10,0,($C$6/12)*H273)</f>
        <v>4864.1695837062944</v>
      </c>
      <c r="G274" s="144">
        <f t="shared" si="20"/>
        <v>14708.127022641132</v>
      </c>
      <c r="H274" s="145">
        <f t="shared" si="21"/>
        <v>919212.43304896739</v>
      </c>
    </row>
    <row r="275" spans="2:9">
      <c r="B275" s="40"/>
      <c r="C275" s="58">
        <v>259</v>
      </c>
      <c r="D275" s="144">
        <f t="shared" si="19"/>
        <v>919212.43304896739</v>
      </c>
      <c r="E275" s="144">
        <f t="shared" si="18"/>
        <v>19572.296606347427</v>
      </c>
      <c r="F275" s="144">
        <f t="shared" si="22"/>
        <v>4787.5647554633715</v>
      </c>
      <c r="G275" s="144">
        <f t="shared" si="20"/>
        <v>14784.731850884054</v>
      </c>
      <c r="H275" s="145">
        <f t="shared" si="21"/>
        <v>904427.70119808335</v>
      </c>
    </row>
    <row r="276" spans="2:9">
      <c r="B276" s="40"/>
      <c r="C276" s="58">
        <v>260</v>
      </c>
      <c r="D276" s="144">
        <f t="shared" si="19"/>
        <v>904427.70119808335</v>
      </c>
      <c r="E276" s="144">
        <f t="shared" si="18"/>
        <v>19572.296606347427</v>
      </c>
      <c r="F276" s="144">
        <f t="shared" si="22"/>
        <v>4710.5609437400171</v>
      </c>
      <c r="G276" s="144">
        <f t="shared" si="20"/>
        <v>14861.735662607411</v>
      </c>
      <c r="H276" s="145">
        <f t="shared" si="21"/>
        <v>889565.96553547599</v>
      </c>
    </row>
    <row r="277" spans="2:9">
      <c r="B277" s="40"/>
      <c r="C277" s="58">
        <v>261</v>
      </c>
      <c r="D277" s="144">
        <f t="shared" si="19"/>
        <v>889565.96553547599</v>
      </c>
      <c r="E277" s="144">
        <f t="shared" ref="E277:E340" si="23">IF(C277&gt;$C$10,0,IF(C277&lt;=$C$8,F277,-PMT($C$6/12,$C$9,$C$5,0,0)))</f>
        <v>19572.296606347427</v>
      </c>
      <c r="F277" s="144">
        <f t="shared" si="22"/>
        <v>4633.1560704972708</v>
      </c>
      <c r="G277" s="144">
        <f t="shared" si="20"/>
        <v>14939.140535850156</v>
      </c>
      <c r="H277" s="145">
        <f t="shared" si="21"/>
        <v>874626.82499962579</v>
      </c>
    </row>
    <row r="278" spans="2:9">
      <c r="B278" s="40"/>
      <c r="C278" s="58">
        <v>262</v>
      </c>
      <c r="D278" s="144">
        <f t="shared" ref="D278:D341" si="24">IF(C278&gt;$C$10,0,H277)</f>
        <v>874626.82499962579</v>
      </c>
      <c r="E278" s="144">
        <f t="shared" si="23"/>
        <v>19572.296606347427</v>
      </c>
      <c r="F278" s="144">
        <f t="shared" si="22"/>
        <v>4555.3480468730504</v>
      </c>
      <c r="G278" s="144">
        <f t="shared" si="20"/>
        <v>15016.948559474376</v>
      </c>
      <c r="H278" s="145">
        <f t="shared" si="21"/>
        <v>859609.87644015136</v>
      </c>
    </row>
    <row r="279" spans="2:9">
      <c r="B279" s="40"/>
      <c r="C279" s="58">
        <v>263</v>
      </c>
      <c r="D279" s="144">
        <f t="shared" si="24"/>
        <v>859609.87644015136</v>
      </c>
      <c r="E279" s="144">
        <f t="shared" si="23"/>
        <v>19572.296606347427</v>
      </c>
      <c r="F279" s="144">
        <f t="shared" si="22"/>
        <v>4477.1347731257883</v>
      </c>
      <c r="G279" s="144">
        <f t="shared" si="20"/>
        <v>15095.161833221639</v>
      </c>
      <c r="H279" s="145">
        <f t="shared" si="21"/>
        <v>844514.71460692969</v>
      </c>
    </row>
    <row r="280" spans="2:9">
      <c r="B280" s="46">
        <v>22</v>
      </c>
      <c r="C280" s="147">
        <v>264</v>
      </c>
      <c r="D280" s="157">
        <f t="shared" si="24"/>
        <v>844514.71460692969</v>
      </c>
      <c r="E280" s="157">
        <f t="shared" si="23"/>
        <v>19572.296606347427</v>
      </c>
      <c r="F280" s="157">
        <f t="shared" si="22"/>
        <v>4398.5141385777588</v>
      </c>
      <c r="G280" s="157">
        <f t="shared" si="20"/>
        <v>15173.782467769668</v>
      </c>
      <c r="H280" s="158">
        <f t="shared" si="21"/>
        <v>829340.93213916</v>
      </c>
      <c r="I280" s="148">
        <f>+SUM(G269:G280)+SUM(F269:F280)</f>
        <v>234867.55927616911</v>
      </c>
    </row>
    <row r="281" spans="2:9">
      <c r="B281" s="187"/>
      <c r="C281" s="188">
        <v>265</v>
      </c>
      <c r="D281" s="189">
        <f t="shared" si="24"/>
        <v>829340.93213916</v>
      </c>
      <c r="E281" s="189">
        <f t="shared" si="23"/>
        <v>19572.296606347427</v>
      </c>
      <c r="F281" s="189">
        <f t="shared" si="22"/>
        <v>4319.4840215581244</v>
      </c>
      <c r="G281" s="189">
        <f t="shared" si="20"/>
        <v>15252.812584789302</v>
      </c>
      <c r="H281" s="190">
        <f t="shared" si="21"/>
        <v>814088.11955437064</v>
      </c>
    </row>
    <row r="282" spans="2:9">
      <c r="B282" s="40"/>
      <c r="C282" s="58">
        <v>266</v>
      </c>
      <c r="D282" s="144">
        <f t="shared" si="24"/>
        <v>814088.11955437064</v>
      </c>
      <c r="E282" s="144">
        <f t="shared" si="23"/>
        <v>19572.296606347427</v>
      </c>
      <c r="F282" s="144">
        <f t="shared" si="22"/>
        <v>4240.0422893456798</v>
      </c>
      <c r="G282" s="144">
        <f t="shared" si="20"/>
        <v>15332.254317001747</v>
      </c>
      <c r="H282" s="145">
        <f t="shared" si="21"/>
        <v>798755.86523736885</v>
      </c>
    </row>
    <row r="283" spans="2:9">
      <c r="B283" s="40"/>
      <c r="C283" s="58">
        <v>267</v>
      </c>
      <c r="D283" s="144">
        <f t="shared" si="24"/>
        <v>798755.86523736885</v>
      </c>
      <c r="E283" s="144">
        <f t="shared" si="23"/>
        <v>19572.296606347427</v>
      </c>
      <c r="F283" s="144">
        <f t="shared" si="22"/>
        <v>4160.1867981112955</v>
      </c>
      <c r="G283" s="144">
        <f t="shared" si="20"/>
        <v>15412.109808236131</v>
      </c>
      <c r="H283" s="145">
        <f t="shared" si="21"/>
        <v>783343.75542913273</v>
      </c>
    </row>
    <row r="284" spans="2:9">
      <c r="B284" s="40"/>
      <c r="C284" s="58">
        <v>268</v>
      </c>
      <c r="D284" s="144">
        <f t="shared" si="24"/>
        <v>783343.75542913273</v>
      </c>
      <c r="E284" s="144">
        <f t="shared" si="23"/>
        <v>19572.296606347427</v>
      </c>
      <c r="F284" s="144">
        <f t="shared" si="22"/>
        <v>4079.9153928600663</v>
      </c>
      <c r="G284" s="144">
        <f t="shared" si="20"/>
        <v>15492.381213487361</v>
      </c>
      <c r="H284" s="145">
        <f t="shared" si="21"/>
        <v>767851.37421564537</v>
      </c>
    </row>
    <row r="285" spans="2:9">
      <c r="B285" s="40"/>
      <c r="C285" s="58">
        <v>269</v>
      </c>
      <c r="D285" s="144">
        <f t="shared" si="24"/>
        <v>767851.37421564537</v>
      </c>
      <c r="E285" s="144">
        <f t="shared" si="23"/>
        <v>19572.296606347427</v>
      </c>
      <c r="F285" s="144">
        <f t="shared" si="22"/>
        <v>3999.2259073731529</v>
      </c>
      <c r="G285" s="144">
        <f t="shared" si="20"/>
        <v>15573.070698974274</v>
      </c>
      <c r="H285" s="145">
        <f t="shared" si="21"/>
        <v>752278.30351667106</v>
      </c>
    </row>
    <row r="286" spans="2:9">
      <c r="B286" s="40"/>
      <c r="C286" s="58">
        <v>270</v>
      </c>
      <c r="D286" s="144">
        <f t="shared" si="24"/>
        <v>752278.30351667106</v>
      </c>
      <c r="E286" s="144">
        <f t="shared" si="23"/>
        <v>19572.296606347427</v>
      </c>
      <c r="F286" s="144">
        <f t="shared" si="22"/>
        <v>3918.1161641493281</v>
      </c>
      <c r="G286" s="144">
        <f t="shared" si="20"/>
        <v>15654.1804421981</v>
      </c>
      <c r="H286" s="145">
        <f t="shared" si="21"/>
        <v>736624.123074473</v>
      </c>
    </row>
    <row r="287" spans="2:9">
      <c r="B287" s="40"/>
      <c r="C287" s="58">
        <v>271</v>
      </c>
      <c r="D287" s="144">
        <f t="shared" si="24"/>
        <v>736624.123074473</v>
      </c>
      <c r="E287" s="144">
        <f t="shared" si="23"/>
        <v>19572.296606347427</v>
      </c>
      <c r="F287" s="144">
        <f t="shared" si="22"/>
        <v>3836.5839743462134</v>
      </c>
      <c r="G287" s="144">
        <f t="shared" si="20"/>
        <v>15735.712632001214</v>
      </c>
      <c r="H287" s="145">
        <f t="shared" si="21"/>
        <v>720888.41044247174</v>
      </c>
    </row>
    <row r="288" spans="2:9">
      <c r="B288" s="40"/>
      <c r="C288" s="58">
        <v>272</v>
      </c>
      <c r="D288" s="144">
        <f t="shared" si="24"/>
        <v>720888.41044247174</v>
      </c>
      <c r="E288" s="144">
        <f t="shared" si="23"/>
        <v>19572.296606347427</v>
      </c>
      <c r="F288" s="144">
        <f t="shared" si="22"/>
        <v>3754.627137721207</v>
      </c>
      <c r="G288" s="144">
        <f t="shared" si="20"/>
        <v>15817.66946862622</v>
      </c>
      <c r="H288" s="145">
        <f t="shared" si="21"/>
        <v>705070.74097384547</v>
      </c>
    </row>
    <row r="289" spans="2:9">
      <c r="B289" s="40"/>
      <c r="C289" s="58">
        <v>273</v>
      </c>
      <c r="D289" s="144">
        <f t="shared" si="24"/>
        <v>705070.74097384547</v>
      </c>
      <c r="E289" s="144">
        <f t="shared" si="23"/>
        <v>19572.296606347427</v>
      </c>
      <c r="F289" s="144">
        <f t="shared" si="22"/>
        <v>3672.2434425721117</v>
      </c>
      <c r="G289" s="144">
        <f t="shared" si="20"/>
        <v>15900.053163775316</v>
      </c>
      <c r="H289" s="145">
        <f t="shared" si="21"/>
        <v>689170.68781007011</v>
      </c>
    </row>
    <row r="290" spans="2:9">
      <c r="B290" s="40"/>
      <c r="C290" s="58">
        <v>274</v>
      </c>
      <c r="D290" s="144">
        <f t="shared" si="24"/>
        <v>689170.68781007011</v>
      </c>
      <c r="E290" s="144">
        <f t="shared" si="23"/>
        <v>19572.296606347427</v>
      </c>
      <c r="F290" s="144">
        <f t="shared" si="22"/>
        <v>3589.4306656774484</v>
      </c>
      <c r="G290" s="144">
        <f t="shared" si="20"/>
        <v>15982.865940669979</v>
      </c>
      <c r="H290" s="145">
        <f t="shared" si="21"/>
        <v>673187.8218694001</v>
      </c>
    </row>
    <row r="291" spans="2:9">
      <c r="B291" s="40"/>
      <c r="C291" s="58">
        <v>275</v>
      </c>
      <c r="D291" s="144">
        <f t="shared" si="24"/>
        <v>673187.8218694001</v>
      </c>
      <c r="E291" s="144">
        <f t="shared" si="23"/>
        <v>19572.296606347427</v>
      </c>
      <c r="F291" s="144">
        <f t="shared" si="22"/>
        <v>3506.1865722364587</v>
      </c>
      <c r="G291" s="144">
        <f t="shared" si="20"/>
        <v>16066.110034110969</v>
      </c>
      <c r="H291" s="145">
        <f t="shared" si="21"/>
        <v>657121.71183528914</v>
      </c>
    </row>
    <row r="292" spans="2:9">
      <c r="B292" s="46">
        <v>23</v>
      </c>
      <c r="C292" s="147">
        <v>276</v>
      </c>
      <c r="D292" s="157">
        <f t="shared" si="24"/>
        <v>657121.71183528914</v>
      </c>
      <c r="E292" s="157">
        <f t="shared" si="23"/>
        <v>19572.296606347427</v>
      </c>
      <c r="F292" s="157">
        <f t="shared" si="22"/>
        <v>3422.5089158087976</v>
      </c>
      <c r="G292" s="157">
        <f t="shared" si="20"/>
        <v>16149.787690538629</v>
      </c>
      <c r="H292" s="158">
        <f t="shared" si="21"/>
        <v>640971.92414475046</v>
      </c>
      <c r="I292" s="148">
        <f>+SUM(G281:G292)+SUM(F281:F292)</f>
        <v>234867.55927616911</v>
      </c>
    </row>
    <row r="293" spans="2:9">
      <c r="B293" s="187"/>
      <c r="C293" s="188">
        <v>277</v>
      </c>
      <c r="D293" s="189">
        <f t="shared" si="24"/>
        <v>640971.92414475046</v>
      </c>
      <c r="E293" s="189">
        <f t="shared" si="23"/>
        <v>19572.296606347427</v>
      </c>
      <c r="F293" s="189">
        <f t="shared" si="22"/>
        <v>3338.3954382539087</v>
      </c>
      <c r="G293" s="189">
        <f t="shared" si="20"/>
        <v>16233.901168093518</v>
      </c>
      <c r="H293" s="190">
        <f t="shared" si="21"/>
        <v>624738.02297665691</v>
      </c>
    </row>
    <row r="294" spans="2:9">
      <c r="B294" s="40"/>
      <c r="C294" s="58">
        <v>278</v>
      </c>
      <c r="D294" s="144">
        <f t="shared" si="24"/>
        <v>624738.02297665691</v>
      </c>
      <c r="E294" s="144">
        <f t="shared" si="23"/>
        <v>19572.296606347427</v>
      </c>
      <c r="F294" s="144">
        <f t="shared" si="22"/>
        <v>3253.8438696700878</v>
      </c>
      <c r="G294" s="144">
        <f t="shared" si="20"/>
        <v>16318.45273667734</v>
      </c>
      <c r="H294" s="145">
        <f t="shared" si="21"/>
        <v>608419.57023997954</v>
      </c>
    </row>
    <row r="295" spans="2:9">
      <c r="B295" s="40"/>
      <c r="C295" s="58">
        <v>279</v>
      </c>
      <c r="D295" s="144">
        <f t="shared" si="24"/>
        <v>608419.57023997954</v>
      </c>
      <c r="E295" s="144">
        <f t="shared" si="23"/>
        <v>19572.296606347427</v>
      </c>
      <c r="F295" s="144">
        <f t="shared" si="22"/>
        <v>3168.8519283332266</v>
      </c>
      <c r="G295" s="144">
        <f t="shared" si="20"/>
        <v>16403.444678014199</v>
      </c>
      <c r="H295" s="145">
        <f t="shared" si="21"/>
        <v>592016.1255619654</v>
      </c>
    </row>
    <row r="296" spans="2:9">
      <c r="B296" s="40"/>
      <c r="C296" s="58">
        <v>280</v>
      </c>
      <c r="D296" s="144">
        <f t="shared" si="24"/>
        <v>592016.1255619654</v>
      </c>
      <c r="E296" s="144">
        <f t="shared" si="23"/>
        <v>19572.296606347427</v>
      </c>
      <c r="F296" s="144">
        <f t="shared" si="22"/>
        <v>3083.4173206352361</v>
      </c>
      <c r="G296" s="144">
        <f t="shared" si="20"/>
        <v>16488.879285712192</v>
      </c>
      <c r="H296" s="145">
        <f t="shared" si="21"/>
        <v>575527.24627625325</v>
      </c>
    </row>
    <row r="297" spans="2:9">
      <c r="B297" s="40"/>
      <c r="C297" s="58">
        <v>281</v>
      </c>
      <c r="D297" s="144">
        <f t="shared" si="24"/>
        <v>575527.24627625325</v>
      </c>
      <c r="E297" s="144">
        <f t="shared" si="23"/>
        <v>19572.296606347427</v>
      </c>
      <c r="F297" s="144">
        <f t="shared" si="22"/>
        <v>2997.5377410221522</v>
      </c>
      <c r="G297" s="144">
        <f t="shared" si="20"/>
        <v>16574.758865325275</v>
      </c>
      <c r="H297" s="145">
        <f t="shared" si="21"/>
        <v>558952.48741092801</v>
      </c>
    </row>
    <row r="298" spans="2:9">
      <c r="B298" s="40"/>
      <c r="C298" s="58">
        <v>282</v>
      </c>
      <c r="D298" s="144">
        <f t="shared" si="24"/>
        <v>558952.48741092801</v>
      </c>
      <c r="E298" s="144">
        <f t="shared" si="23"/>
        <v>19572.296606347427</v>
      </c>
      <c r="F298" s="144">
        <f t="shared" si="22"/>
        <v>2911.2108719319167</v>
      </c>
      <c r="G298" s="144">
        <f t="shared" si="20"/>
        <v>16661.085734415508</v>
      </c>
      <c r="H298" s="145">
        <f t="shared" si="21"/>
        <v>542291.40167651256</v>
      </c>
    </row>
    <row r="299" spans="2:9">
      <c r="B299" s="40"/>
      <c r="C299" s="58">
        <v>283</v>
      </c>
      <c r="D299" s="144">
        <f t="shared" si="24"/>
        <v>542291.40167651256</v>
      </c>
      <c r="E299" s="144">
        <f t="shared" si="23"/>
        <v>19572.296606347427</v>
      </c>
      <c r="F299" s="144">
        <f t="shared" si="22"/>
        <v>2824.4343837318361</v>
      </c>
      <c r="G299" s="144">
        <f t="shared" si="20"/>
        <v>16747.862222615589</v>
      </c>
      <c r="H299" s="145">
        <f t="shared" si="21"/>
        <v>525543.53945389693</v>
      </c>
    </row>
    <row r="300" spans="2:9">
      <c r="B300" s="40"/>
      <c r="C300" s="58">
        <v>284</v>
      </c>
      <c r="D300" s="144">
        <f t="shared" si="24"/>
        <v>525543.53945389693</v>
      </c>
      <c r="E300" s="144">
        <f t="shared" si="23"/>
        <v>19572.296606347427</v>
      </c>
      <c r="F300" s="144">
        <f t="shared" si="22"/>
        <v>2737.205934655713</v>
      </c>
      <c r="G300" s="144">
        <f t="shared" si="20"/>
        <v>16835.090671691712</v>
      </c>
      <c r="H300" s="145">
        <f t="shared" si="21"/>
        <v>508708.44878220523</v>
      </c>
    </row>
    <row r="301" spans="2:9">
      <c r="B301" s="40"/>
      <c r="C301" s="58">
        <v>285</v>
      </c>
      <c r="D301" s="144">
        <f t="shared" si="24"/>
        <v>508708.44878220523</v>
      </c>
      <c r="E301" s="144">
        <f t="shared" si="23"/>
        <v>19572.296606347427</v>
      </c>
      <c r="F301" s="144">
        <f t="shared" si="22"/>
        <v>2649.5231707406519</v>
      </c>
      <c r="G301" s="144">
        <f t="shared" si="20"/>
        <v>16922.773435606774</v>
      </c>
      <c r="H301" s="145">
        <f t="shared" si="21"/>
        <v>491785.67534659844</v>
      </c>
    </row>
    <row r="302" spans="2:9">
      <c r="B302" s="40"/>
      <c r="C302" s="58">
        <v>286</v>
      </c>
      <c r="D302" s="144">
        <f t="shared" si="24"/>
        <v>491785.67534659844</v>
      </c>
      <c r="E302" s="144">
        <f t="shared" si="23"/>
        <v>19572.296606347427</v>
      </c>
      <c r="F302" s="144">
        <f t="shared" si="22"/>
        <v>2561.3837257635332</v>
      </c>
      <c r="G302" s="144">
        <f t="shared" si="20"/>
        <v>17010.912880583892</v>
      </c>
      <c r="H302" s="145">
        <f t="shared" si="21"/>
        <v>474774.76246601454</v>
      </c>
    </row>
    <row r="303" spans="2:9">
      <c r="B303" s="40"/>
      <c r="C303" s="58">
        <v>287</v>
      </c>
      <c r="D303" s="144">
        <f t="shared" si="24"/>
        <v>474774.76246601454</v>
      </c>
      <c r="E303" s="144">
        <f t="shared" si="23"/>
        <v>19572.296606347427</v>
      </c>
      <c r="F303" s="144">
        <f t="shared" si="22"/>
        <v>2472.7852211771587</v>
      </c>
      <c r="G303" s="144">
        <f t="shared" si="20"/>
        <v>17099.51138517027</v>
      </c>
      <c r="H303" s="145">
        <f t="shared" si="21"/>
        <v>457675.25108084426</v>
      </c>
    </row>
    <row r="304" spans="2:9">
      <c r="B304" s="46">
        <v>24</v>
      </c>
      <c r="C304" s="147">
        <v>288</v>
      </c>
      <c r="D304" s="157">
        <f t="shared" si="24"/>
        <v>457675.25108084426</v>
      </c>
      <c r="E304" s="157">
        <f t="shared" si="23"/>
        <v>19572.296606347427</v>
      </c>
      <c r="F304" s="157">
        <f t="shared" si="22"/>
        <v>2383.7252660460636</v>
      </c>
      <c r="G304" s="157">
        <f t="shared" si="20"/>
        <v>17188.571340301365</v>
      </c>
      <c r="H304" s="158">
        <f t="shared" si="21"/>
        <v>440486.6797405429</v>
      </c>
      <c r="I304" s="148">
        <f>+SUM(G293:G304)+SUM(F293:F304)</f>
        <v>234867.55927616914</v>
      </c>
    </row>
    <row r="305" spans="2:9">
      <c r="B305" s="187"/>
      <c r="C305" s="188">
        <v>289</v>
      </c>
      <c r="D305" s="189">
        <f t="shared" si="24"/>
        <v>440486.6797405429</v>
      </c>
      <c r="E305" s="189">
        <f t="shared" si="23"/>
        <v>19572.296606347427</v>
      </c>
      <c r="F305" s="189">
        <f t="shared" si="22"/>
        <v>2294.2014569819939</v>
      </c>
      <c r="G305" s="189">
        <f t="shared" si="20"/>
        <v>17278.095149365432</v>
      </c>
      <c r="H305" s="190">
        <f t="shared" si="21"/>
        <v>423208.58459117747</v>
      </c>
    </row>
    <row r="306" spans="2:9">
      <c r="B306" s="40"/>
      <c r="C306" s="58">
        <v>290</v>
      </c>
      <c r="D306" s="144">
        <f t="shared" si="24"/>
        <v>423208.58459117747</v>
      </c>
      <c r="E306" s="144">
        <f t="shared" si="23"/>
        <v>19572.296606347427</v>
      </c>
      <c r="F306" s="144">
        <f t="shared" si="22"/>
        <v>2204.2113780790492</v>
      </c>
      <c r="G306" s="144">
        <f t="shared" si="20"/>
        <v>17368.085228268377</v>
      </c>
      <c r="H306" s="145">
        <f t="shared" si="21"/>
        <v>405840.49936290912</v>
      </c>
    </row>
    <row r="307" spans="2:9">
      <c r="B307" s="40"/>
      <c r="C307" s="58">
        <v>291</v>
      </c>
      <c r="D307" s="144">
        <f t="shared" si="24"/>
        <v>405840.49936290912</v>
      </c>
      <c r="E307" s="144">
        <f t="shared" si="23"/>
        <v>19572.296606347427</v>
      </c>
      <c r="F307" s="144">
        <f t="shared" si="22"/>
        <v>2113.7526008484847</v>
      </c>
      <c r="G307" s="144">
        <f t="shared" si="20"/>
        <v>17458.544005498941</v>
      </c>
      <c r="H307" s="145">
        <f t="shared" si="21"/>
        <v>388381.95535741019</v>
      </c>
    </row>
    <row r="308" spans="2:9">
      <c r="B308" s="40"/>
      <c r="C308" s="58">
        <v>292</v>
      </c>
      <c r="D308" s="144">
        <f t="shared" si="24"/>
        <v>388381.95535741019</v>
      </c>
      <c r="E308" s="144">
        <f t="shared" si="23"/>
        <v>19572.296606347427</v>
      </c>
      <c r="F308" s="144">
        <f t="shared" si="22"/>
        <v>2022.822684153178</v>
      </c>
      <c r="G308" s="144">
        <f t="shared" si="20"/>
        <v>17549.473922194247</v>
      </c>
      <c r="H308" s="145">
        <f t="shared" si="21"/>
        <v>370832.48143521592</v>
      </c>
    </row>
    <row r="309" spans="2:9">
      <c r="B309" s="40"/>
      <c r="C309" s="58">
        <v>293</v>
      </c>
      <c r="D309" s="144">
        <f t="shared" si="24"/>
        <v>370832.48143521592</v>
      </c>
      <c r="E309" s="144">
        <f t="shared" si="23"/>
        <v>19572.296606347427</v>
      </c>
      <c r="F309" s="144">
        <f t="shared" si="22"/>
        <v>1931.4191741417494</v>
      </c>
      <c r="G309" s="144">
        <f t="shared" si="20"/>
        <v>17640.877432205678</v>
      </c>
      <c r="H309" s="145">
        <f t="shared" si="21"/>
        <v>353191.60400301026</v>
      </c>
    </row>
    <row r="310" spans="2:9">
      <c r="B310" s="40"/>
      <c r="C310" s="58">
        <v>294</v>
      </c>
      <c r="D310" s="144">
        <f t="shared" si="24"/>
        <v>353191.60400301026</v>
      </c>
      <c r="E310" s="144">
        <f t="shared" si="23"/>
        <v>19572.296606347427</v>
      </c>
      <c r="F310" s="144">
        <f t="shared" si="22"/>
        <v>1839.5396041823451</v>
      </c>
      <c r="G310" s="144">
        <f t="shared" si="20"/>
        <v>17732.757002165083</v>
      </c>
      <c r="H310" s="145">
        <f t="shared" si="21"/>
        <v>335458.84700084518</v>
      </c>
    </row>
    <row r="311" spans="2:9">
      <c r="B311" s="40"/>
      <c r="C311" s="58">
        <v>295</v>
      </c>
      <c r="D311" s="144">
        <f t="shared" si="24"/>
        <v>335458.84700084518</v>
      </c>
      <c r="E311" s="144">
        <f t="shared" si="23"/>
        <v>19572.296606347427</v>
      </c>
      <c r="F311" s="144">
        <f t="shared" si="22"/>
        <v>1747.1814947960686</v>
      </c>
      <c r="G311" s="144">
        <f t="shared" si="20"/>
        <v>17825.115111551357</v>
      </c>
      <c r="H311" s="145">
        <f t="shared" si="21"/>
        <v>317633.73188929382</v>
      </c>
    </row>
    <row r="312" spans="2:9">
      <c r="B312" s="40"/>
      <c r="C312" s="58">
        <v>296</v>
      </c>
      <c r="D312" s="144">
        <f t="shared" si="24"/>
        <v>317633.73188929382</v>
      </c>
      <c r="E312" s="144">
        <f t="shared" si="23"/>
        <v>19572.296606347427</v>
      </c>
      <c r="F312" s="144">
        <f t="shared" si="22"/>
        <v>1654.342353590072</v>
      </c>
      <c r="G312" s="144">
        <f t="shared" si="20"/>
        <v>17917.954252757354</v>
      </c>
      <c r="H312" s="145">
        <f t="shared" si="21"/>
        <v>299715.77763653646</v>
      </c>
    </row>
    <row r="313" spans="2:9">
      <c r="B313" s="40"/>
      <c r="C313" s="58">
        <v>297</v>
      </c>
      <c r="D313" s="144">
        <f t="shared" si="24"/>
        <v>299715.77763653646</v>
      </c>
      <c r="E313" s="144">
        <f t="shared" si="23"/>
        <v>19572.296606347427</v>
      </c>
      <c r="F313" s="144">
        <f t="shared" si="22"/>
        <v>1561.019675190294</v>
      </c>
      <c r="G313" s="144">
        <f t="shared" si="20"/>
        <v>18011.276931157132</v>
      </c>
      <c r="H313" s="145">
        <f t="shared" si="21"/>
        <v>281704.50070537929</v>
      </c>
    </row>
    <row r="314" spans="2:9">
      <c r="B314" s="40"/>
      <c r="C314" s="58">
        <v>298</v>
      </c>
      <c r="D314" s="144">
        <f t="shared" si="24"/>
        <v>281704.50070537929</v>
      </c>
      <c r="E314" s="144">
        <f t="shared" si="23"/>
        <v>19572.296606347427</v>
      </c>
      <c r="F314" s="144">
        <f t="shared" si="22"/>
        <v>1467.2109411738504</v>
      </c>
      <c r="G314" s="144">
        <f t="shared" si="20"/>
        <v>18105.085665173578</v>
      </c>
      <c r="H314" s="145">
        <f t="shared" si="21"/>
        <v>263599.4150402057</v>
      </c>
    </row>
    <row r="315" spans="2:9">
      <c r="B315" s="40"/>
      <c r="C315" s="58">
        <v>299</v>
      </c>
      <c r="D315" s="144">
        <f t="shared" si="24"/>
        <v>263599.4150402057</v>
      </c>
      <c r="E315" s="144">
        <f t="shared" si="23"/>
        <v>19572.296606347427</v>
      </c>
      <c r="F315" s="144">
        <f t="shared" si="22"/>
        <v>1372.9136200010712</v>
      </c>
      <c r="G315" s="144">
        <f t="shared" si="20"/>
        <v>18199.382986346354</v>
      </c>
      <c r="H315" s="145">
        <f t="shared" si="21"/>
        <v>245400.03205385935</v>
      </c>
    </row>
    <row r="316" spans="2:9">
      <c r="B316" s="46">
        <v>25</v>
      </c>
      <c r="C316" s="147">
        <v>300</v>
      </c>
      <c r="D316" s="157">
        <f t="shared" si="24"/>
        <v>245400.03205385935</v>
      </c>
      <c r="E316" s="157">
        <f t="shared" si="23"/>
        <v>19572.296606347427</v>
      </c>
      <c r="F316" s="157">
        <f t="shared" si="22"/>
        <v>1278.125166947184</v>
      </c>
      <c r="G316" s="157">
        <f t="shared" si="20"/>
        <v>18294.171439400241</v>
      </c>
      <c r="H316" s="158">
        <f t="shared" si="21"/>
        <v>227105.86061445912</v>
      </c>
      <c r="I316" s="148">
        <f>+SUM(G305:G316)+SUM(F305:F316)</f>
        <v>234867.55927616908</v>
      </c>
    </row>
    <row r="317" spans="2:9">
      <c r="B317" s="187"/>
      <c r="C317" s="188">
        <v>301</v>
      </c>
      <c r="D317" s="189">
        <f t="shared" si="24"/>
        <v>227105.86061445912</v>
      </c>
      <c r="E317" s="189">
        <f t="shared" si="23"/>
        <v>19572.296606347427</v>
      </c>
      <c r="F317" s="189">
        <f t="shared" si="22"/>
        <v>1182.8430240336411</v>
      </c>
      <c r="G317" s="189">
        <f t="shared" si="20"/>
        <v>18389.453582313785</v>
      </c>
      <c r="H317" s="190">
        <f t="shared" si="21"/>
        <v>208716.40703214533</v>
      </c>
    </row>
    <row r="318" spans="2:9">
      <c r="B318" s="40"/>
      <c r="C318" s="58">
        <v>302</v>
      </c>
      <c r="D318" s="144">
        <f t="shared" si="24"/>
        <v>208716.40703214533</v>
      </c>
      <c r="E318" s="144">
        <f t="shared" si="23"/>
        <v>19572.296606347427</v>
      </c>
      <c r="F318" s="144">
        <f t="shared" si="22"/>
        <v>1087.0646199590901</v>
      </c>
      <c r="G318" s="144">
        <f t="shared" si="20"/>
        <v>18485.231986388339</v>
      </c>
      <c r="H318" s="145">
        <f t="shared" si="21"/>
        <v>190231.175045757</v>
      </c>
    </row>
    <row r="319" spans="2:9">
      <c r="B319" s="40"/>
      <c r="C319" s="58">
        <v>303</v>
      </c>
      <c r="D319" s="144">
        <f t="shared" si="24"/>
        <v>190231.175045757</v>
      </c>
      <c r="E319" s="144">
        <f t="shared" si="23"/>
        <v>19572.296606347427</v>
      </c>
      <c r="F319" s="144">
        <f t="shared" si="22"/>
        <v>990.78737002998434</v>
      </c>
      <c r="G319" s="144">
        <f t="shared" si="20"/>
        <v>18581.509236317441</v>
      </c>
      <c r="H319" s="145">
        <f t="shared" si="21"/>
        <v>171649.66580943955</v>
      </c>
    </row>
    <row r="320" spans="2:9">
      <c r="B320" s="40"/>
      <c r="C320" s="58">
        <v>304</v>
      </c>
      <c r="D320" s="144">
        <f t="shared" si="24"/>
        <v>171649.66580943955</v>
      </c>
      <c r="E320" s="144">
        <f t="shared" si="23"/>
        <v>19572.296606347427</v>
      </c>
      <c r="F320" s="144">
        <f t="shared" si="22"/>
        <v>894.00867609083093</v>
      </c>
      <c r="G320" s="144">
        <f t="shared" si="20"/>
        <v>18678.287930256596</v>
      </c>
      <c r="H320" s="145">
        <f t="shared" si="21"/>
        <v>152971.37787918295</v>
      </c>
    </row>
    <row r="321" spans="2:9">
      <c r="B321" s="40"/>
      <c r="C321" s="58">
        <v>305</v>
      </c>
      <c r="D321" s="144">
        <f t="shared" si="24"/>
        <v>152971.37787918295</v>
      </c>
      <c r="E321" s="144">
        <f t="shared" si="23"/>
        <v>19572.296606347427</v>
      </c>
      <c r="F321" s="144">
        <f t="shared" si="22"/>
        <v>796.72592645407781</v>
      </c>
      <c r="G321" s="144">
        <f t="shared" si="20"/>
        <v>18775.57067989335</v>
      </c>
      <c r="H321" s="145">
        <f t="shared" si="21"/>
        <v>134195.80719928961</v>
      </c>
    </row>
    <row r="322" spans="2:9">
      <c r="B322" s="40"/>
      <c r="C322" s="58">
        <v>306</v>
      </c>
      <c r="D322" s="144">
        <f t="shared" si="24"/>
        <v>134195.80719928961</v>
      </c>
      <c r="E322" s="144">
        <f t="shared" si="23"/>
        <v>19572.296606347427</v>
      </c>
      <c r="F322" s="144">
        <f t="shared" si="22"/>
        <v>698.93649582963337</v>
      </c>
      <c r="G322" s="144">
        <f t="shared" si="20"/>
        <v>18873.360110517795</v>
      </c>
      <c r="H322" s="145">
        <f t="shared" si="21"/>
        <v>115322.44708877182</v>
      </c>
    </row>
    <row r="323" spans="2:9">
      <c r="B323" s="40"/>
      <c r="C323" s="58">
        <v>307</v>
      </c>
      <c r="D323" s="144">
        <f t="shared" si="24"/>
        <v>115322.44708877182</v>
      </c>
      <c r="E323" s="144">
        <f t="shared" si="23"/>
        <v>19572.296606347427</v>
      </c>
      <c r="F323" s="144">
        <f t="shared" si="22"/>
        <v>600.63774525401982</v>
      </c>
      <c r="G323" s="144">
        <f t="shared" si="20"/>
        <v>18971.658861093409</v>
      </c>
      <c r="H323" s="145">
        <f t="shared" si="21"/>
        <v>96350.788227678408</v>
      </c>
    </row>
    <row r="324" spans="2:9">
      <c r="B324" s="40"/>
      <c r="C324" s="58">
        <v>308</v>
      </c>
      <c r="D324" s="144">
        <f t="shared" si="24"/>
        <v>96350.788227678408</v>
      </c>
      <c r="E324" s="144">
        <f t="shared" si="23"/>
        <v>19572.296606347427</v>
      </c>
      <c r="F324" s="144">
        <f t="shared" si="22"/>
        <v>501.82702201915833</v>
      </c>
      <c r="G324" s="144">
        <f t="shared" si="20"/>
        <v>19070.469584328268</v>
      </c>
      <c r="H324" s="145">
        <f t="shared" si="21"/>
        <v>77280.31864335014</v>
      </c>
    </row>
    <row r="325" spans="2:9">
      <c r="B325" s="40"/>
      <c r="C325" s="58">
        <v>309</v>
      </c>
      <c r="D325" s="144">
        <f t="shared" si="24"/>
        <v>77280.31864335014</v>
      </c>
      <c r="E325" s="144">
        <f t="shared" si="23"/>
        <v>19572.296606347427</v>
      </c>
      <c r="F325" s="144">
        <f t="shared" si="22"/>
        <v>402.50165960078198</v>
      </c>
      <c r="G325" s="144">
        <f t="shared" si="20"/>
        <v>19169.794946746646</v>
      </c>
      <c r="H325" s="145">
        <f t="shared" si="21"/>
        <v>58110.523696603494</v>
      </c>
    </row>
    <row r="326" spans="2:9">
      <c r="B326" s="40"/>
      <c r="C326" s="58">
        <v>310</v>
      </c>
      <c r="D326" s="144">
        <f t="shared" si="24"/>
        <v>58110.523696603494</v>
      </c>
      <c r="E326" s="144">
        <f t="shared" si="23"/>
        <v>19572.296606347427</v>
      </c>
      <c r="F326" s="144">
        <f t="shared" si="22"/>
        <v>302.65897758647651</v>
      </c>
      <c r="G326" s="144">
        <f t="shared" si="20"/>
        <v>19269.637628760949</v>
      </c>
      <c r="H326" s="145">
        <f t="shared" si="21"/>
        <v>38840.886067842541</v>
      </c>
    </row>
    <row r="327" spans="2:9">
      <c r="B327" s="40"/>
      <c r="C327" s="58">
        <v>311</v>
      </c>
      <c r="D327" s="144">
        <f t="shared" si="24"/>
        <v>38840.886067842541</v>
      </c>
      <c r="E327" s="144">
        <f t="shared" si="23"/>
        <v>19572.296606347427</v>
      </c>
      <c r="F327" s="144">
        <f t="shared" si="22"/>
        <v>202.29628160334656</v>
      </c>
      <c r="G327" s="144">
        <f t="shared" si="20"/>
        <v>19370.00032474408</v>
      </c>
      <c r="H327" s="145">
        <f t="shared" si="21"/>
        <v>19470.885743098461</v>
      </c>
    </row>
    <row r="328" spans="2:9">
      <c r="B328" s="46">
        <v>26</v>
      </c>
      <c r="C328" s="147">
        <v>312</v>
      </c>
      <c r="D328" s="157">
        <f t="shared" si="24"/>
        <v>19470.885743098461</v>
      </c>
      <c r="E328" s="157">
        <f t="shared" si="23"/>
        <v>19572.296606347427</v>
      </c>
      <c r="F328" s="157">
        <f t="shared" si="22"/>
        <v>101.41086324530448</v>
      </c>
      <c r="G328" s="157">
        <f t="shared" si="20"/>
        <v>19470.885743102121</v>
      </c>
      <c r="H328" s="158">
        <f t="shared" si="21"/>
        <v>-3.6598066799342632E-9</v>
      </c>
      <c r="I328" s="148">
        <f>+SUM(G317:G328)+SUM(F317:F328)</f>
        <v>234867.55927616914</v>
      </c>
    </row>
    <row r="329" spans="2:9">
      <c r="B329" s="187"/>
      <c r="C329" s="188">
        <v>313</v>
      </c>
      <c r="D329" s="189">
        <f t="shared" si="24"/>
        <v>0</v>
      </c>
      <c r="E329" s="189">
        <f t="shared" si="23"/>
        <v>0</v>
      </c>
      <c r="F329" s="189">
        <f t="shared" si="22"/>
        <v>0</v>
      </c>
      <c r="G329" s="189">
        <f t="shared" si="20"/>
        <v>0</v>
      </c>
      <c r="H329" s="190">
        <f t="shared" si="21"/>
        <v>0</v>
      </c>
    </row>
    <row r="330" spans="2:9">
      <c r="B330" s="40"/>
      <c r="C330" s="58">
        <v>314</v>
      </c>
      <c r="D330" s="144">
        <f t="shared" si="24"/>
        <v>0</v>
      </c>
      <c r="E330" s="144">
        <f t="shared" si="23"/>
        <v>0</v>
      </c>
      <c r="F330" s="144">
        <f t="shared" si="22"/>
        <v>0</v>
      </c>
      <c r="G330" s="144">
        <f t="shared" si="20"/>
        <v>0</v>
      </c>
      <c r="H330" s="145">
        <f t="shared" si="21"/>
        <v>0</v>
      </c>
    </row>
    <row r="331" spans="2:9">
      <c r="B331" s="40"/>
      <c r="C331" s="58">
        <v>315</v>
      </c>
      <c r="D331" s="144">
        <f t="shared" si="24"/>
        <v>0</v>
      </c>
      <c r="E331" s="144">
        <f t="shared" si="23"/>
        <v>0</v>
      </c>
      <c r="F331" s="144">
        <f t="shared" si="22"/>
        <v>0</v>
      </c>
      <c r="G331" s="144">
        <f t="shared" si="20"/>
        <v>0</v>
      </c>
      <c r="H331" s="145">
        <f t="shared" si="21"/>
        <v>0</v>
      </c>
    </row>
    <row r="332" spans="2:9">
      <c r="B332" s="40"/>
      <c r="C332" s="58">
        <v>316</v>
      </c>
      <c r="D332" s="144">
        <f t="shared" si="24"/>
        <v>0</v>
      </c>
      <c r="E332" s="144">
        <f t="shared" si="23"/>
        <v>0</v>
      </c>
      <c r="F332" s="144">
        <f t="shared" si="22"/>
        <v>0</v>
      </c>
      <c r="G332" s="144">
        <f t="shared" si="20"/>
        <v>0</v>
      </c>
      <c r="H332" s="145">
        <f t="shared" si="21"/>
        <v>0</v>
      </c>
    </row>
    <row r="333" spans="2:9">
      <c r="B333" s="40"/>
      <c r="C333" s="58">
        <v>317</v>
      </c>
      <c r="D333" s="144">
        <f t="shared" si="24"/>
        <v>0</v>
      </c>
      <c r="E333" s="144">
        <f t="shared" si="23"/>
        <v>0</v>
      </c>
      <c r="F333" s="144">
        <f t="shared" si="22"/>
        <v>0</v>
      </c>
      <c r="G333" s="144">
        <f t="shared" si="20"/>
        <v>0</v>
      </c>
      <c r="H333" s="145">
        <f t="shared" si="21"/>
        <v>0</v>
      </c>
    </row>
    <row r="334" spans="2:9">
      <c r="B334" s="40"/>
      <c r="C334" s="58">
        <v>318</v>
      </c>
      <c r="D334" s="144">
        <f t="shared" si="24"/>
        <v>0</v>
      </c>
      <c r="E334" s="144">
        <f t="shared" si="23"/>
        <v>0</v>
      </c>
      <c r="F334" s="144">
        <f t="shared" si="22"/>
        <v>0</v>
      </c>
      <c r="G334" s="144">
        <f t="shared" si="20"/>
        <v>0</v>
      </c>
      <c r="H334" s="145">
        <f t="shared" si="21"/>
        <v>0</v>
      </c>
    </row>
    <row r="335" spans="2:9">
      <c r="B335" s="40"/>
      <c r="C335" s="58">
        <v>319</v>
      </c>
      <c r="D335" s="144">
        <f t="shared" si="24"/>
        <v>0</v>
      </c>
      <c r="E335" s="144">
        <f t="shared" si="23"/>
        <v>0</v>
      </c>
      <c r="F335" s="144">
        <f t="shared" si="22"/>
        <v>0</v>
      </c>
      <c r="G335" s="144">
        <f t="shared" si="20"/>
        <v>0</v>
      </c>
      <c r="H335" s="145">
        <f t="shared" si="21"/>
        <v>0</v>
      </c>
    </row>
    <row r="336" spans="2:9">
      <c r="B336" s="40"/>
      <c r="C336" s="58">
        <v>320</v>
      </c>
      <c r="D336" s="144">
        <f t="shared" si="24"/>
        <v>0</v>
      </c>
      <c r="E336" s="144">
        <f t="shared" si="23"/>
        <v>0</v>
      </c>
      <c r="F336" s="144">
        <f t="shared" si="22"/>
        <v>0</v>
      </c>
      <c r="G336" s="144">
        <f t="shared" si="20"/>
        <v>0</v>
      </c>
      <c r="H336" s="145">
        <f t="shared" si="21"/>
        <v>0</v>
      </c>
    </row>
    <row r="337" spans="2:9">
      <c r="B337" s="40"/>
      <c r="C337" s="58">
        <v>321</v>
      </c>
      <c r="D337" s="144">
        <f t="shared" si="24"/>
        <v>0</v>
      </c>
      <c r="E337" s="144">
        <f t="shared" si="23"/>
        <v>0</v>
      </c>
      <c r="F337" s="144">
        <f t="shared" si="22"/>
        <v>0</v>
      </c>
      <c r="G337" s="144">
        <f t="shared" ref="G337:G376" si="25">E337-F337</f>
        <v>0</v>
      </c>
      <c r="H337" s="145">
        <f t="shared" ref="H337:H376" si="26">D337-G337</f>
        <v>0</v>
      </c>
    </row>
    <row r="338" spans="2:9">
      <c r="B338" s="40"/>
      <c r="C338" s="58">
        <v>322</v>
      </c>
      <c r="D338" s="144">
        <f t="shared" si="24"/>
        <v>0</v>
      </c>
      <c r="E338" s="144">
        <f t="shared" si="23"/>
        <v>0</v>
      </c>
      <c r="F338" s="144">
        <f t="shared" ref="F338:F376" si="27">IF(C338&gt;$C$10,0,($C$6/12)*H337)</f>
        <v>0</v>
      </c>
      <c r="G338" s="144">
        <f t="shared" si="25"/>
        <v>0</v>
      </c>
      <c r="H338" s="145">
        <f t="shared" si="26"/>
        <v>0</v>
      </c>
    </row>
    <row r="339" spans="2:9">
      <c r="B339" s="40"/>
      <c r="C339" s="58">
        <v>323</v>
      </c>
      <c r="D339" s="144">
        <f t="shared" si="24"/>
        <v>0</v>
      </c>
      <c r="E339" s="144">
        <f t="shared" si="23"/>
        <v>0</v>
      </c>
      <c r="F339" s="144">
        <f t="shared" si="27"/>
        <v>0</v>
      </c>
      <c r="G339" s="144">
        <f t="shared" si="25"/>
        <v>0</v>
      </c>
      <c r="H339" s="145">
        <f t="shared" si="26"/>
        <v>0</v>
      </c>
    </row>
    <row r="340" spans="2:9">
      <c r="B340" s="46">
        <v>27</v>
      </c>
      <c r="C340" s="147">
        <v>324</v>
      </c>
      <c r="D340" s="157">
        <f t="shared" si="24"/>
        <v>0</v>
      </c>
      <c r="E340" s="157">
        <f t="shared" si="23"/>
        <v>0</v>
      </c>
      <c r="F340" s="157">
        <f t="shared" si="27"/>
        <v>0</v>
      </c>
      <c r="G340" s="157">
        <f t="shared" si="25"/>
        <v>0</v>
      </c>
      <c r="H340" s="158">
        <f t="shared" si="26"/>
        <v>0</v>
      </c>
      <c r="I340" s="148">
        <f>+SUM(G329:G340)+SUM(F329:F340)</f>
        <v>0</v>
      </c>
    </row>
    <row r="341" spans="2:9">
      <c r="B341" s="187"/>
      <c r="C341" s="188">
        <v>325</v>
      </c>
      <c r="D341" s="189">
        <f t="shared" si="24"/>
        <v>0</v>
      </c>
      <c r="E341" s="189">
        <f t="shared" ref="E341:E376" si="28">IF(C341&gt;$C$10,0,IF(C341&lt;=$C$8,F341,-PMT($C$6/12,$C$9,$C$5,0,0)))</f>
        <v>0</v>
      </c>
      <c r="F341" s="189">
        <f t="shared" si="27"/>
        <v>0</v>
      </c>
      <c r="G341" s="189">
        <f t="shared" si="25"/>
        <v>0</v>
      </c>
      <c r="H341" s="190">
        <f t="shared" si="26"/>
        <v>0</v>
      </c>
    </row>
    <row r="342" spans="2:9">
      <c r="B342" s="40"/>
      <c r="C342" s="58">
        <v>326</v>
      </c>
      <c r="D342" s="144">
        <f t="shared" ref="D342:D376" si="29">IF(C342&gt;$C$10,0,H341)</f>
        <v>0</v>
      </c>
      <c r="E342" s="144">
        <f t="shared" si="28"/>
        <v>0</v>
      </c>
      <c r="F342" s="144">
        <f t="shared" si="27"/>
        <v>0</v>
      </c>
      <c r="G342" s="144">
        <f t="shared" si="25"/>
        <v>0</v>
      </c>
      <c r="H342" s="145">
        <f t="shared" si="26"/>
        <v>0</v>
      </c>
    </row>
    <row r="343" spans="2:9">
      <c r="B343" s="40"/>
      <c r="C343" s="58">
        <v>327</v>
      </c>
      <c r="D343" s="144">
        <f t="shared" si="29"/>
        <v>0</v>
      </c>
      <c r="E343" s="144">
        <f t="shared" si="28"/>
        <v>0</v>
      </c>
      <c r="F343" s="144">
        <f t="shared" si="27"/>
        <v>0</v>
      </c>
      <c r="G343" s="144">
        <f t="shared" si="25"/>
        <v>0</v>
      </c>
      <c r="H343" s="145">
        <f t="shared" si="26"/>
        <v>0</v>
      </c>
    </row>
    <row r="344" spans="2:9">
      <c r="B344" s="40"/>
      <c r="C344" s="58">
        <v>328</v>
      </c>
      <c r="D344" s="144">
        <f t="shared" si="29"/>
        <v>0</v>
      </c>
      <c r="E344" s="144">
        <f t="shared" si="28"/>
        <v>0</v>
      </c>
      <c r="F344" s="144">
        <f t="shared" si="27"/>
        <v>0</v>
      </c>
      <c r="G344" s="144">
        <f t="shared" si="25"/>
        <v>0</v>
      </c>
      <c r="H344" s="145">
        <f t="shared" si="26"/>
        <v>0</v>
      </c>
    </row>
    <row r="345" spans="2:9">
      <c r="B345" s="40"/>
      <c r="C345" s="58">
        <v>329</v>
      </c>
      <c r="D345" s="144">
        <f t="shared" si="29"/>
        <v>0</v>
      </c>
      <c r="E345" s="144">
        <f t="shared" si="28"/>
        <v>0</v>
      </c>
      <c r="F345" s="144">
        <f t="shared" si="27"/>
        <v>0</v>
      </c>
      <c r="G345" s="144">
        <f t="shared" si="25"/>
        <v>0</v>
      </c>
      <c r="H345" s="145">
        <f t="shared" si="26"/>
        <v>0</v>
      </c>
    </row>
    <row r="346" spans="2:9">
      <c r="B346" s="40"/>
      <c r="C346" s="58">
        <v>330</v>
      </c>
      <c r="D346" s="144">
        <f t="shared" si="29"/>
        <v>0</v>
      </c>
      <c r="E346" s="144">
        <f t="shared" si="28"/>
        <v>0</v>
      </c>
      <c r="F346" s="144">
        <f t="shared" si="27"/>
        <v>0</v>
      </c>
      <c r="G346" s="144">
        <f t="shared" si="25"/>
        <v>0</v>
      </c>
      <c r="H346" s="145">
        <f t="shared" si="26"/>
        <v>0</v>
      </c>
    </row>
    <row r="347" spans="2:9">
      <c r="B347" s="40"/>
      <c r="C347" s="58">
        <v>331</v>
      </c>
      <c r="D347" s="144">
        <f t="shared" si="29"/>
        <v>0</v>
      </c>
      <c r="E347" s="144">
        <f t="shared" si="28"/>
        <v>0</v>
      </c>
      <c r="F347" s="144">
        <f t="shared" si="27"/>
        <v>0</v>
      </c>
      <c r="G347" s="144">
        <f t="shared" si="25"/>
        <v>0</v>
      </c>
      <c r="H347" s="145">
        <f t="shared" si="26"/>
        <v>0</v>
      </c>
    </row>
    <row r="348" spans="2:9">
      <c r="B348" s="40"/>
      <c r="C348" s="58">
        <v>332</v>
      </c>
      <c r="D348" s="144">
        <f t="shared" si="29"/>
        <v>0</v>
      </c>
      <c r="E348" s="144">
        <f t="shared" si="28"/>
        <v>0</v>
      </c>
      <c r="F348" s="144">
        <f t="shared" si="27"/>
        <v>0</v>
      </c>
      <c r="G348" s="144">
        <f t="shared" si="25"/>
        <v>0</v>
      </c>
      <c r="H348" s="145">
        <f t="shared" si="26"/>
        <v>0</v>
      </c>
    </row>
    <row r="349" spans="2:9">
      <c r="B349" s="40"/>
      <c r="C349" s="58">
        <v>333</v>
      </c>
      <c r="D349" s="144">
        <f t="shared" si="29"/>
        <v>0</v>
      </c>
      <c r="E349" s="144">
        <f t="shared" si="28"/>
        <v>0</v>
      </c>
      <c r="F349" s="144">
        <f t="shared" si="27"/>
        <v>0</v>
      </c>
      <c r="G349" s="144">
        <f t="shared" si="25"/>
        <v>0</v>
      </c>
      <c r="H349" s="145">
        <f t="shared" si="26"/>
        <v>0</v>
      </c>
    </row>
    <row r="350" spans="2:9">
      <c r="B350" s="40"/>
      <c r="C350" s="58">
        <v>334</v>
      </c>
      <c r="D350" s="144">
        <f t="shared" si="29"/>
        <v>0</v>
      </c>
      <c r="E350" s="144">
        <f t="shared" si="28"/>
        <v>0</v>
      </c>
      <c r="F350" s="144">
        <f t="shared" si="27"/>
        <v>0</v>
      </c>
      <c r="G350" s="144">
        <f t="shared" si="25"/>
        <v>0</v>
      </c>
      <c r="H350" s="145">
        <f t="shared" si="26"/>
        <v>0</v>
      </c>
    </row>
    <row r="351" spans="2:9">
      <c r="B351" s="40"/>
      <c r="C351" s="58">
        <v>335</v>
      </c>
      <c r="D351" s="144">
        <f t="shared" si="29"/>
        <v>0</v>
      </c>
      <c r="E351" s="144">
        <f t="shared" si="28"/>
        <v>0</v>
      </c>
      <c r="F351" s="144">
        <f t="shared" si="27"/>
        <v>0</v>
      </c>
      <c r="G351" s="144">
        <f t="shared" si="25"/>
        <v>0</v>
      </c>
      <c r="H351" s="145">
        <f t="shared" si="26"/>
        <v>0</v>
      </c>
    </row>
    <row r="352" spans="2:9">
      <c r="B352" s="46">
        <v>28</v>
      </c>
      <c r="C352" s="147">
        <v>336</v>
      </c>
      <c r="D352" s="157">
        <f t="shared" si="29"/>
        <v>0</v>
      </c>
      <c r="E352" s="157">
        <f t="shared" si="28"/>
        <v>0</v>
      </c>
      <c r="F352" s="157">
        <f t="shared" si="27"/>
        <v>0</v>
      </c>
      <c r="G352" s="157">
        <f t="shared" si="25"/>
        <v>0</v>
      </c>
      <c r="H352" s="158">
        <f t="shared" si="26"/>
        <v>0</v>
      </c>
      <c r="I352" s="148">
        <f>+SUM(G341:G352)+SUM(F341:F352)</f>
        <v>0</v>
      </c>
    </row>
    <row r="353" spans="2:9">
      <c r="B353" s="187"/>
      <c r="C353" s="188">
        <v>337</v>
      </c>
      <c r="D353" s="189">
        <f t="shared" si="29"/>
        <v>0</v>
      </c>
      <c r="E353" s="189">
        <f t="shared" si="28"/>
        <v>0</v>
      </c>
      <c r="F353" s="189">
        <f t="shared" si="27"/>
        <v>0</v>
      </c>
      <c r="G353" s="189">
        <f t="shared" si="25"/>
        <v>0</v>
      </c>
      <c r="H353" s="190">
        <f t="shared" si="26"/>
        <v>0</v>
      </c>
    </row>
    <row r="354" spans="2:9">
      <c r="B354" s="40"/>
      <c r="C354" s="58">
        <v>338</v>
      </c>
      <c r="D354" s="144">
        <f t="shared" si="29"/>
        <v>0</v>
      </c>
      <c r="E354" s="144">
        <f t="shared" si="28"/>
        <v>0</v>
      </c>
      <c r="F354" s="144">
        <f t="shared" si="27"/>
        <v>0</v>
      </c>
      <c r="G354" s="144">
        <f t="shared" si="25"/>
        <v>0</v>
      </c>
      <c r="H354" s="145">
        <f t="shared" si="26"/>
        <v>0</v>
      </c>
    </row>
    <row r="355" spans="2:9">
      <c r="B355" s="40"/>
      <c r="C355" s="58">
        <v>339</v>
      </c>
      <c r="D355" s="144">
        <f t="shared" si="29"/>
        <v>0</v>
      </c>
      <c r="E355" s="144">
        <f t="shared" si="28"/>
        <v>0</v>
      </c>
      <c r="F355" s="144">
        <f t="shared" si="27"/>
        <v>0</v>
      </c>
      <c r="G355" s="144">
        <f t="shared" si="25"/>
        <v>0</v>
      </c>
      <c r="H355" s="145">
        <f t="shared" si="26"/>
        <v>0</v>
      </c>
    </row>
    <row r="356" spans="2:9">
      <c r="B356" s="40"/>
      <c r="C356" s="58">
        <v>340</v>
      </c>
      <c r="D356" s="144">
        <f t="shared" si="29"/>
        <v>0</v>
      </c>
      <c r="E356" s="144">
        <f t="shared" si="28"/>
        <v>0</v>
      </c>
      <c r="F356" s="144">
        <f t="shared" si="27"/>
        <v>0</v>
      </c>
      <c r="G356" s="144">
        <f t="shared" si="25"/>
        <v>0</v>
      </c>
      <c r="H356" s="145">
        <f t="shared" si="26"/>
        <v>0</v>
      </c>
    </row>
    <row r="357" spans="2:9">
      <c r="B357" s="40"/>
      <c r="C357" s="58">
        <v>341</v>
      </c>
      <c r="D357" s="144">
        <f t="shared" si="29"/>
        <v>0</v>
      </c>
      <c r="E357" s="144">
        <f t="shared" si="28"/>
        <v>0</v>
      </c>
      <c r="F357" s="144">
        <f t="shared" si="27"/>
        <v>0</v>
      </c>
      <c r="G357" s="144">
        <f t="shared" si="25"/>
        <v>0</v>
      </c>
      <c r="H357" s="145">
        <f t="shared" si="26"/>
        <v>0</v>
      </c>
    </row>
    <row r="358" spans="2:9">
      <c r="B358" s="40"/>
      <c r="C358" s="58">
        <v>342</v>
      </c>
      <c r="D358" s="144">
        <f t="shared" si="29"/>
        <v>0</v>
      </c>
      <c r="E358" s="144">
        <f t="shared" si="28"/>
        <v>0</v>
      </c>
      <c r="F358" s="144">
        <f t="shared" si="27"/>
        <v>0</v>
      </c>
      <c r="G358" s="144">
        <f t="shared" si="25"/>
        <v>0</v>
      </c>
      <c r="H358" s="145">
        <f t="shared" si="26"/>
        <v>0</v>
      </c>
    </row>
    <row r="359" spans="2:9">
      <c r="B359" s="40"/>
      <c r="C359" s="58">
        <v>343</v>
      </c>
      <c r="D359" s="144">
        <f t="shared" si="29"/>
        <v>0</v>
      </c>
      <c r="E359" s="144">
        <f t="shared" si="28"/>
        <v>0</v>
      </c>
      <c r="F359" s="144">
        <f t="shared" si="27"/>
        <v>0</v>
      </c>
      <c r="G359" s="144">
        <f t="shared" si="25"/>
        <v>0</v>
      </c>
      <c r="H359" s="145">
        <f t="shared" si="26"/>
        <v>0</v>
      </c>
    </row>
    <row r="360" spans="2:9">
      <c r="B360" s="40"/>
      <c r="C360" s="58">
        <v>344</v>
      </c>
      <c r="D360" s="144">
        <f t="shared" si="29"/>
        <v>0</v>
      </c>
      <c r="E360" s="144">
        <f t="shared" si="28"/>
        <v>0</v>
      </c>
      <c r="F360" s="144">
        <f t="shared" si="27"/>
        <v>0</v>
      </c>
      <c r="G360" s="144">
        <f t="shared" si="25"/>
        <v>0</v>
      </c>
      <c r="H360" s="145">
        <f t="shared" si="26"/>
        <v>0</v>
      </c>
    </row>
    <row r="361" spans="2:9">
      <c r="B361" s="40"/>
      <c r="C361" s="58">
        <v>345</v>
      </c>
      <c r="D361" s="144">
        <f t="shared" si="29"/>
        <v>0</v>
      </c>
      <c r="E361" s="144">
        <f t="shared" si="28"/>
        <v>0</v>
      </c>
      <c r="F361" s="144">
        <f t="shared" si="27"/>
        <v>0</v>
      </c>
      <c r="G361" s="144">
        <f t="shared" si="25"/>
        <v>0</v>
      </c>
      <c r="H361" s="145">
        <f t="shared" si="26"/>
        <v>0</v>
      </c>
    </row>
    <row r="362" spans="2:9">
      <c r="B362" s="40"/>
      <c r="C362" s="58">
        <v>346</v>
      </c>
      <c r="D362" s="144">
        <f t="shared" si="29"/>
        <v>0</v>
      </c>
      <c r="E362" s="144">
        <f t="shared" si="28"/>
        <v>0</v>
      </c>
      <c r="F362" s="144">
        <f t="shared" si="27"/>
        <v>0</v>
      </c>
      <c r="G362" s="144">
        <f t="shared" si="25"/>
        <v>0</v>
      </c>
      <c r="H362" s="145">
        <f t="shared" si="26"/>
        <v>0</v>
      </c>
    </row>
    <row r="363" spans="2:9">
      <c r="B363" s="40"/>
      <c r="C363" s="58">
        <v>347</v>
      </c>
      <c r="D363" s="144">
        <f t="shared" si="29"/>
        <v>0</v>
      </c>
      <c r="E363" s="144">
        <f t="shared" si="28"/>
        <v>0</v>
      </c>
      <c r="F363" s="144">
        <f t="shared" si="27"/>
        <v>0</v>
      </c>
      <c r="G363" s="144">
        <f t="shared" si="25"/>
        <v>0</v>
      </c>
      <c r="H363" s="145">
        <f t="shared" si="26"/>
        <v>0</v>
      </c>
    </row>
    <row r="364" spans="2:9">
      <c r="B364" s="46">
        <v>29</v>
      </c>
      <c r="C364" s="147">
        <v>348</v>
      </c>
      <c r="D364" s="157">
        <f t="shared" si="29"/>
        <v>0</v>
      </c>
      <c r="E364" s="157">
        <f t="shared" si="28"/>
        <v>0</v>
      </c>
      <c r="F364" s="157">
        <f t="shared" si="27"/>
        <v>0</v>
      </c>
      <c r="G364" s="157">
        <f t="shared" si="25"/>
        <v>0</v>
      </c>
      <c r="H364" s="158">
        <f t="shared" si="26"/>
        <v>0</v>
      </c>
      <c r="I364" s="148">
        <f>+SUM(G353:G364)+SUM(F353:F364)</f>
        <v>0</v>
      </c>
    </row>
    <row r="365" spans="2:9">
      <c r="B365" s="40"/>
      <c r="C365" s="58">
        <v>349</v>
      </c>
      <c r="D365" s="144">
        <f t="shared" si="29"/>
        <v>0</v>
      </c>
      <c r="E365" s="144">
        <f t="shared" si="28"/>
        <v>0</v>
      </c>
      <c r="F365" s="144">
        <f t="shared" si="27"/>
        <v>0</v>
      </c>
      <c r="G365" s="144">
        <f t="shared" si="25"/>
        <v>0</v>
      </c>
      <c r="H365" s="145">
        <f t="shared" si="26"/>
        <v>0</v>
      </c>
    </row>
    <row r="366" spans="2:9">
      <c r="B366" s="40"/>
      <c r="C366" s="58">
        <v>350</v>
      </c>
      <c r="D366" s="144">
        <f t="shared" si="29"/>
        <v>0</v>
      </c>
      <c r="E366" s="144">
        <f t="shared" si="28"/>
        <v>0</v>
      </c>
      <c r="F366" s="144">
        <f t="shared" si="27"/>
        <v>0</v>
      </c>
      <c r="G366" s="144">
        <f t="shared" si="25"/>
        <v>0</v>
      </c>
      <c r="H366" s="145">
        <f t="shared" si="26"/>
        <v>0</v>
      </c>
    </row>
    <row r="367" spans="2:9">
      <c r="B367" s="40"/>
      <c r="C367" s="58">
        <v>351</v>
      </c>
      <c r="D367" s="144">
        <f t="shared" si="29"/>
        <v>0</v>
      </c>
      <c r="E367" s="144">
        <f t="shared" si="28"/>
        <v>0</v>
      </c>
      <c r="F367" s="144">
        <f t="shared" si="27"/>
        <v>0</v>
      </c>
      <c r="G367" s="144">
        <f t="shared" si="25"/>
        <v>0</v>
      </c>
      <c r="H367" s="145">
        <f t="shared" si="26"/>
        <v>0</v>
      </c>
    </row>
    <row r="368" spans="2:9">
      <c r="B368" s="40"/>
      <c r="C368" s="58">
        <v>352</v>
      </c>
      <c r="D368" s="144">
        <f t="shared" si="29"/>
        <v>0</v>
      </c>
      <c r="E368" s="144">
        <f t="shared" si="28"/>
        <v>0</v>
      </c>
      <c r="F368" s="144">
        <f t="shared" si="27"/>
        <v>0</v>
      </c>
      <c r="G368" s="144">
        <f t="shared" si="25"/>
        <v>0</v>
      </c>
      <c r="H368" s="145">
        <f t="shared" si="26"/>
        <v>0</v>
      </c>
    </row>
    <row r="369" spans="2:9">
      <c r="B369" s="40"/>
      <c r="C369" s="58">
        <v>353</v>
      </c>
      <c r="D369" s="144">
        <f t="shared" si="29"/>
        <v>0</v>
      </c>
      <c r="E369" s="144">
        <f t="shared" si="28"/>
        <v>0</v>
      </c>
      <c r="F369" s="144">
        <f t="shared" si="27"/>
        <v>0</v>
      </c>
      <c r="G369" s="144">
        <f t="shared" si="25"/>
        <v>0</v>
      </c>
      <c r="H369" s="145">
        <f t="shared" si="26"/>
        <v>0</v>
      </c>
    </row>
    <row r="370" spans="2:9">
      <c r="B370" s="40"/>
      <c r="C370" s="58">
        <v>354</v>
      </c>
      <c r="D370" s="144">
        <f t="shared" si="29"/>
        <v>0</v>
      </c>
      <c r="E370" s="144">
        <f t="shared" si="28"/>
        <v>0</v>
      </c>
      <c r="F370" s="144">
        <f t="shared" si="27"/>
        <v>0</v>
      </c>
      <c r="G370" s="144">
        <f t="shared" si="25"/>
        <v>0</v>
      </c>
      <c r="H370" s="145">
        <f t="shared" si="26"/>
        <v>0</v>
      </c>
    </row>
    <row r="371" spans="2:9">
      <c r="B371" s="40"/>
      <c r="C371" s="58">
        <v>355</v>
      </c>
      <c r="D371" s="144">
        <f t="shared" si="29"/>
        <v>0</v>
      </c>
      <c r="E371" s="144">
        <f t="shared" si="28"/>
        <v>0</v>
      </c>
      <c r="F371" s="144">
        <f t="shared" si="27"/>
        <v>0</v>
      </c>
      <c r="G371" s="144">
        <f t="shared" si="25"/>
        <v>0</v>
      </c>
      <c r="H371" s="145">
        <f t="shared" si="26"/>
        <v>0</v>
      </c>
    </row>
    <row r="372" spans="2:9">
      <c r="B372" s="40"/>
      <c r="C372" s="58">
        <v>356</v>
      </c>
      <c r="D372" s="144">
        <f t="shared" si="29"/>
        <v>0</v>
      </c>
      <c r="E372" s="144">
        <f t="shared" si="28"/>
        <v>0</v>
      </c>
      <c r="F372" s="144">
        <f t="shared" si="27"/>
        <v>0</v>
      </c>
      <c r="G372" s="144">
        <f t="shared" si="25"/>
        <v>0</v>
      </c>
      <c r="H372" s="145">
        <f t="shared" si="26"/>
        <v>0</v>
      </c>
    </row>
    <row r="373" spans="2:9">
      <c r="B373" s="40"/>
      <c r="C373" s="58">
        <v>357</v>
      </c>
      <c r="D373" s="144">
        <f t="shared" si="29"/>
        <v>0</v>
      </c>
      <c r="E373" s="144">
        <f t="shared" si="28"/>
        <v>0</v>
      </c>
      <c r="F373" s="144">
        <f t="shared" si="27"/>
        <v>0</v>
      </c>
      <c r="G373" s="144">
        <f t="shared" si="25"/>
        <v>0</v>
      </c>
      <c r="H373" s="145">
        <f t="shared" si="26"/>
        <v>0</v>
      </c>
    </row>
    <row r="374" spans="2:9">
      <c r="B374" s="40"/>
      <c r="C374" s="58">
        <v>358</v>
      </c>
      <c r="D374" s="144">
        <f t="shared" si="29"/>
        <v>0</v>
      </c>
      <c r="E374" s="144">
        <f t="shared" si="28"/>
        <v>0</v>
      </c>
      <c r="F374" s="144">
        <f t="shared" si="27"/>
        <v>0</v>
      </c>
      <c r="G374" s="144">
        <f t="shared" si="25"/>
        <v>0</v>
      </c>
      <c r="H374" s="145">
        <f t="shared" si="26"/>
        <v>0</v>
      </c>
    </row>
    <row r="375" spans="2:9">
      <c r="B375" s="40"/>
      <c r="C375" s="58">
        <v>359</v>
      </c>
      <c r="D375" s="144">
        <f t="shared" si="29"/>
        <v>0</v>
      </c>
      <c r="E375" s="144">
        <f t="shared" si="28"/>
        <v>0</v>
      </c>
      <c r="F375" s="144">
        <f t="shared" si="27"/>
        <v>0</v>
      </c>
      <c r="G375" s="144">
        <f t="shared" si="25"/>
        <v>0</v>
      </c>
      <c r="H375" s="145">
        <f t="shared" si="26"/>
        <v>0</v>
      </c>
    </row>
    <row r="376" spans="2:9" ht="15.75" thickBot="1">
      <c r="B376" s="149">
        <v>30</v>
      </c>
      <c r="C376" s="150">
        <v>360</v>
      </c>
      <c r="D376" s="151">
        <f t="shared" si="29"/>
        <v>0</v>
      </c>
      <c r="E376" s="151">
        <f t="shared" si="28"/>
        <v>0</v>
      </c>
      <c r="F376" s="151">
        <f t="shared" si="27"/>
        <v>0</v>
      </c>
      <c r="G376" s="151">
        <f t="shared" si="25"/>
        <v>0</v>
      </c>
      <c r="H376" s="152">
        <f t="shared" si="26"/>
        <v>0</v>
      </c>
      <c r="I376" s="148">
        <f>+SUM(G365:G376)+SUM(F365:F376)</f>
        <v>0</v>
      </c>
    </row>
  </sheetData>
  <sheetProtection sheet="1" objects="1" scenarios="1"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B589-B282-4964-AEB1-CB46C788E1E3}">
  <sheetPr codeName="Sheet7">
    <tabColor rgb="FFB4C4C1"/>
  </sheetPr>
  <dimension ref="B1:E22"/>
  <sheetViews>
    <sheetView showGridLines="0" workbookViewId="0">
      <selection activeCell="H19" sqref="H19"/>
    </sheetView>
  </sheetViews>
  <sheetFormatPr defaultRowHeight="15"/>
  <cols>
    <col min="2" max="2" width="41.5703125" bestFit="1" customWidth="1"/>
    <col min="3" max="3" width="8.140625" customWidth="1"/>
    <col min="4" max="4" width="17.42578125" customWidth="1"/>
  </cols>
  <sheetData>
    <row r="1" spans="2:4" ht="15.75" thickBot="1"/>
    <row r="2" spans="2:4">
      <c r="B2" s="348" t="s">
        <v>207</v>
      </c>
      <c r="C2" s="349"/>
      <c r="D2" s="350"/>
    </row>
    <row r="3" spans="2:4">
      <c r="B3" s="7" t="s">
        <v>208</v>
      </c>
      <c r="D3" s="8">
        <f>Costs!F32</f>
        <v>1200000</v>
      </c>
    </row>
    <row r="4" spans="2:4">
      <c r="B4" s="7" t="s">
        <v>146</v>
      </c>
      <c r="D4" s="8">
        <f>'Deal Summary'!D16</f>
        <v>20000</v>
      </c>
    </row>
    <row r="5" spans="2:4">
      <c r="B5" s="7" t="s">
        <v>209</v>
      </c>
      <c r="D5" s="8">
        <f>Costs!N10+Costs!N14</f>
        <v>0</v>
      </c>
    </row>
    <row r="6" spans="2:4">
      <c r="B6" s="7" t="s">
        <v>210</v>
      </c>
      <c r="D6" s="8">
        <f>'Deal Summary'!D18</f>
        <v>164184.41</v>
      </c>
    </row>
    <row r="7" spans="2:4">
      <c r="B7" s="7" t="s">
        <v>211</v>
      </c>
      <c r="D7" s="8">
        <f>'Deal Summary'!D18</f>
        <v>164184.41</v>
      </c>
    </row>
    <row r="8" spans="2:4">
      <c r="B8" s="7" t="s">
        <v>212</v>
      </c>
      <c r="D8" s="8">
        <f>'Deal Summary'!D29*0.15</f>
        <v>534913.30050000001</v>
      </c>
    </row>
    <row r="9" spans="2:4">
      <c r="B9" s="7"/>
      <c r="D9" s="8"/>
    </row>
    <row r="10" spans="2:4">
      <c r="B10" s="7"/>
      <c r="D10" s="8"/>
    </row>
    <row r="11" spans="2:4">
      <c r="B11" s="7"/>
      <c r="D11" s="10"/>
    </row>
    <row r="12" spans="2:4" ht="15.75" thickBot="1">
      <c r="B12" s="351" t="s">
        <v>213</v>
      </c>
      <c r="C12" s="91"/>
      <c r="D12" s="352">
        <f>SUM(D3:D11)</f>
        <v>2083282.1204999997</v>
      </c>
    </row>
    <row r="13" spans="2:4" ht="15.75" thickBot="1"/>
    <row r="14" spans="2:4">
      <c r="B14" s="26" t="s">
        <v>214</v>
      </c>
      <c r="C14" s="353">
        <v>0.25</v>
      </c>
      <c r="D14" s="354">
        <f>IF(D12&gt;250000, MIN(D12*C14, 700000), 0)</f>
        <v>520820.53012499993</v>
      </c>
    </row>
    <row r="15" spans="2:4">
      <c r="B15" s="7" t="s">
        <v>215</v>
      </c>
      <c r="C15" s="13">
        <v>0.2</v>
      </c>
      <c r="D15" s="8">
        <f>+$D$12*C15</f>
        <v>416656.42409999995</v>
      </c>
    </row>
    <row r="16" spans="2:4">
      <c r="B16" s="24" t="s">
        <v>216</v>
      </c>
      <c r="C16" s="355">
        <v>0.1</v>
      </c>
      <c r="D16" s="19">
        <f>+D12*C16</f>
        <v>208328.21204999997</v>
      </c>
    </row>
    <row r="17" spans="2:5" ht="15.75" thickBot="1">
      <c r="B17" s="16" t="s">
        <v>217</v>
      </c>
      <c r="C17" s="233"/>
      <c r="D17" s="125">
        <f>SUM(D15:D16)</f>
        <v>624984.63614999992</v>
      </c>
    </row>
    <row r="18" spans="2:5" ht="15.75" thickBot="1"/>
    <row r="19" spans="2:5">
      <c r="B19" s="26" t="s">
        <v>218</v>
      </c>
      <c r="C19" s="353">
        <v>0.68</v>
      </c>
      <c r="D19" s="354">
        <f>IF(E19=TRUE,D14*C19,0)</f>
        <v>0</v>
      </c>
      <c r="E19" s="400" t="b">
        <v>0</v>
      </c>
    </row>
    <row r="20" spans="2:5">
      <c r="B20" s="7" t="s">
        <v>219</v>
      </c>
      <c r="C20" s="13">
        <v>0.68</v>
      </c>
      <c r="D20" s="8">
        <f>IF(E20=TRUE,D15*C20,0)</f>
        <v>0</v>
      </c>
      <c r="E20" s="400" t="b">
        <v>0</v>
      </c>
    </row>
    <row r="21" spans="2:5">
      <c r="B21" s="24" t="s">
        <v>220</v>
      </c>
      <c r="C21" s="355">
        <v>0.68</v>
      </c>
      <c r="D21" s="19">
        <f>IF(E21=TRUE,D16*C21,0)</f>
        <v>0</v>
      </c>
      <c r="E21" s="400" t="b">
        <v>0</v>
      </c>
    </row>
    <row r="22" spans="2:5" ht="15.75" thickBot="1">
      <c r="B22" s="29" t="s">
        <v>221</v>
      </c>
      <c r="C22" s="116"/>
      <c r="D22" s="30">
        <f>SUM(D19:D21)</f>
        <v>0</v>
      </c>
    </row>
  </sheetData>
  <sheetProtection sheet="1" objects="1" scenarios="1" formatCells="0" sort="0" autoFilter="0" pivotTable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0F71-BC42-4D02-AFEB-78B6804D67E7}">
  <sheetPr codeName="Sheet9">
    <tabColor theme="4" tint="0.79998168889431442"/>
  </sheetPr>
  <dimension ref="C2:D12"/>
  <sheetViews>
    <sheetView showGridLines="0" workbookViewId="0">
      <selection activeCell="F18" sqref="F18"/>
    </sheetView>
  </sheetViews>
  <sheetFormatPr defaultRowHeight="15"/>
  <cols>
    <col min="3" max="3" width="18.5703125" bestFit="1" customWidth="1"/>
  </cols>
  <sheetData>
    <row r="2" spans="3:4" ht="15.75" thickBot="1"/>
    <row r="3" spans="3:4">
      <c r="C3" s="427" t="s">
        <v>244</v>
      </c>
      <c r="D3" s="428"/>
    </row>
    <row r="4" spans="3:4">
      <c r="C4" s="7" t="s">
        <v>245</v>
      </c>
      <c r="D4" s="401"/>
    </row>
    <row r="5" spans="3:4">
      <c r="C5" s="7" t="s">
        <v>246</v>
      </c>
      <c r="D5" s="401"/>
    </row>
    <row r="6" spans="3:4">
      <c r="C6" s="7" t="s">
        <v>247</v>
      </c>
      <c r="D6" s="401"/>
    </row>
    <row r="7" spans="3:4">
      <c r="C7" s="7" t="s">
        <v>248</v>
      </c>
      <c r="D7" s="401"/>
    </row>
    <row r="8" spans="3:4">
      <c r="C8" s="7" t="s">
        <v>249</v>
      </c>
      <c r="D8" s="401"/>
    </row>
    <row r="9" spans="3:4">
      <c r="C9" s="7" t="s">
        <v>250</v>
      </c>
      <c r="D9" s="401"/>
    </row>
    <row r="10" spans="3:4">
      <c r="C10" s="7" t="s">
        <v>251</v>
      </c>
      <c r="D10" s="401"/>
    </row>
    <row r="11" spans="3:4">
      <c r="C11" s="7" t="s">
        <v>78</v>
      </c>
      <c r="D11" s="401"/>
    </row>
    <row r="12" spans="3:4">
      <c r="C12" t="s">
        <v>252</v>
      </c>
      <c r="D12" s="402"/>
    </row>
  </sheetData>
  <sheetProtection sheet="1" objects="1" scenarios="1" formatCells="0" sort="0" autoFilter="0" pivotTables="0"/>
  <mergeCells count="1">
    <mergeCell ref="C3:D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8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defaultColWidth="8.85546875" defaultRowHeight="15"/>
  <cols>
    <col min="3" max="3" width="30.140625" bestFit="1" customWidth="1"/>
    <col min="4" max="5" width="19.140625" bestFit="1" customWidth="1"/>
    <col min="6" max="7" width="17.42578125" bestFit="1" customWidth="1"/>
    <col min="8" max="8" width="17.140625" bestFit="1" customWidth="1"/>
    <col min="9" max="9" width="21.7109375" customWidth="1"/>
    <col min="10" max="10" width="16.28515625" customWidth="1"/>
    <col min="11" max="11" width="14.28515625" bestFit="1" customWidth="1"/>
    <col min="12" max="12" width="12.42578125" bestFit="1" customWidth="1"/>
    <col min="13" max="13" width="12" bestFit="1" customWidth="1"/>
    <col min="14" max="14" width="12.28515625" bestFit="1" customWidth="1"/>
    <col min="15" max="15" width="10.140625" bestFit="1" customWidth="1"/>
    <col min="16" max="16" width="14.28515625" bestFit="1" customWidth="1"/>
    <col min="18" max="18" width="10.140625" bestFit="1" customWidth="1"/>
    <col min="20" max="20" width="11.42578125" bestFit="1" customWidth="1"/>
  </cols>
  <sheetData>
    <row r="1" spans="3:11">
      <c r="C1" s="52"/>
    </row>
    <row r="2" spans="3:11">
      <c r="C2" s="52"/>
    </row>
    <row r="3" spans="3:11" ht="15.75" thickBot="1"/>
    <row r="4" spans="3:11">
      <c r="C4" s="459" t="s">
        <v>76</v>
      </c>
      <c r="D4" s="460"/>
      <c r="F4" s="126" t="s">
        <v>2</v>
      </c>
      <c r="G4" s="127"/>
    </row>
    <row r="5" spans="3:11">
      <c r="C5" s="128" t="s">
        <v>77</v>
      </c>
      <c r="D5" s="129">
        <f>+Financing!H76</f>
        <v>2743010.093410024</v>
      </c>
      <c r="F5" s="128" t="s">
        <v>78</v>
      </c>
      <c r="G5" s="130">
        <f>+'Deal Summary'!D32</f>
        <v>3708732.2168000001</v>
      </c>
      <c r="J5" s="153"/>
    </row>
    <row r="6" spans="3:11">
      <c r="C6" s="128" t="s">
        <v>11</v>
      </c>
      <c r="D6" s="131">
        <v>0.06</v>
      </c>
      <c r="F6" s="128" t="s">
        <v>7</v>
      </c>
      <c r="G6" s="131">
        <f>+'Deal Summary'!G34</f>
        <v>0.8</v>
      </c>
      <c r="J6" s="153"/>
    </row>
    <row r="7" spans="3:11">
      <c r="C7" s="128" t="s">
        <v>79</v>
      </c>
      <c r="D7" s="132">
        <f>+'Deal Summary'!G37</f>
        <v>25</v>
      </c>
      <c r="F7" s="128" t="s">
        <v>80</v>
      </c>
      <c r="G7" s="130">
        <f>G5*(100%-G6)</f>
        <v>741746.4433599998</v>
      </c>
      <c r="J7" s="153"/>
      <c r="K7" s="14"/>
    </row>
    <row r="8" spans="3:11" ht="15.75" thickBot="1">
      <c r="C8" s="128" t="s">
        <v>81</v>
      </c>
      <c r="D8" s="133">
        <f>2*12</f>
        <v>24</v>
      </c>
      <c r="F8" s="134" t="s">
        <v>82</v>
      </c>
      <c r="G8" s="135">
        <f>G5-G7-I8</f>
        <v>2966985.7734400001</v>
      </c>
      <c r="I8" s="2"/>
      <c r="J8" s="153"/>
    </row>
    <row r="9" spans="3:11">
      <c r="C9" s="128" t="s">
        <v>83</v>
      </c>
      <c r="D9" s="136">
        <f>(D7*12)</f>
        <v>300</v>
      </c>
      <c r="J9" s="21"/>
    </row>
    <row r="10" spans="3:11">
      <c r="C10" s="128" t="s">
        <v>84</v>
      </c>
      <c r="D10" s="136">
        <f>D8+D9</f>
        <v>324</v>
      </c>
      <c r="J10" s="154"/>
    </row>
    <row r="11" spans="3:11">
      <c r="C11" s="128" t="s">
        <v>85</v>
      </c>
      <c r="D11" s="130">
        <f>PMT(D6/12,$D$7*12,$D$5,0,0)*-1</f>
        <v>17673.252474729743</v>
      </c>
    </row>
    <row r="12" spans="3:11" ht="15.75" thickBot="1">
      <c r="C12" s="134" t="s">
        <v>86</v>
      </c>
      <c r="D12" s="135">
        <f>D11*12</f>
        <v>212079.02969675692</v>
      </c>
    </row>
    <row r="14" spans="3:11" ht="15.75" thickBot="1">
      <c r="C14" s="105"/>
      <c r="E14" s="458" t="s">
        <v>87</v>
      </c>
      <c r="F14" s="458"/>
      <c r="G14" s="458"/>
    </row>
    <row r="15" spans="3:11" ht="15.75" thickBot="1">
      <c r="C15" s="137" t="s">
        <v>88</v>
      </c>
      <c r="D15" s="138" t="s">
        <v>89</v>
      </c>
      <c r="E15" s="138" t="s">
        <v>90</v>
      </c>
      <c r="F15" s="138" t="s">
        <v>91</v>
      </c>
      <c r="G15" s="138" t="s">
        <v>92</v>
      </c>
      <c r="H15" s="138" t="s">
        <v>8</v>
      </c>
      <c r="I15" s="139" t="s">
        <v>93</v>
      </c>
    </row>
    <row r="16" spans="3:11">
      <c r="C16" s="140">
        <v>0</v>
      </c>
      <c r="D16" s="141">
        <v>0</v>
      </c>
      <c r="E16" s="142"/>
      <c r="F16" s="142"/>
      <c r="G16" s="142"/>
      <c r="H16" s="142"/>
      <c r="I16" s="143">
        <f>D5</f>
        <v>2743010.093410024</v>
      </c>
      <c r="J16" s="2"/>
      <c r="K16" s="2"/>
    </row>
    <row r="17" spans="3:20">
      <c r="C17" s="40"/>
      <c r="D17" s="58">
        <v>1</v>
      </c>
      <c r="E17" s="144">
        <f>I16</f>
        <v>2743010.093410024</v>
      </c>
      <c r="F17" s="144">
        <f>IF(D17&gt;$D$10,0,IF(D17&lt;=$D$8,G17,-PMT($D$6/12,$D$9,$E$17,0,0)))</f>
        <v>13715.05046705012</v>
      </c>
      <c r="G17" s="144">
        <f>IF(D17&gt;$D$10,0,($D$6/12)*E17)</f>
        <v>13715.05046705012</v>
      </c>
      <c r="H17" s="144">
        <f t="shared" ref="H17:H80" si="0">F17-G17</f>
        <v>0</v>
      </c>
      <c r="I17" s="145">
        <f t="shared" ref="I17:I80" si="1">E17-H17</f>
        <v>2743010.093410024</v>
      </c>
      <c r="J17" s="21"/>
      <c r="K17" s="21"/>
      <c r="L17" s="2"/>
      <c r="M17" s="146"/>
      <c r="N17" s="21"/>
      <c r="O17" s="146"/>
      <c r="P17" s="2"/>
      <c r="R17" s="146"/>
    </row>
    <row r="18" spans="3:20">
      <c r="C18" s="40"/>
      <c r="D18" s="58">
        <v>2</v>
      </c>
      <c r="E18" s="144">
        <f>I17</f>
        <v>2743010.093410024</v>
      </c>
      <c r="F18" s="144">
        <f>IF(D18&gt;$D$10,0,IF(D18&lt;=$D$8,G18,-PMT($D$6/12,$D$9,$D$5,0,0)))</f>
        <v>13715.05046705012</v>
      </c>
      <c r="G18" s="144">
        <f t="shared" ref="G18:G81" si="2">IF(D18&gt;$D$10,0,($D$6/12)*I17)</f>
        <v>13715.05046705012</v>
      </c>
      <c r="H18" s="144">
        <f t="shared" si="0"/>
        <v>0</v>
      </c>
      <c r="I18" s="145">
        <f t="shared" si="1"/>
        <v>2743010.093410024</v>
      </c>
      <c r="J18" s="21"/>
      <c r="K18" s="21"/>
      <c r="L18" s="2"/>
      <c r="M18" s="146"/>
      <c r="N18" s="21"/>
      <c r="O18" s="146"/>
      <c r="P18" s="2"/>
      <c r="R18" s="146"/>
    </row>
    <row r="19" spans="3:20">
      <c r="C19" s="40"/>
      <c r="D19" s="58">
        <v>3</v>
      </c>
      <c r="E19" s="144">
        <f>I18</f>
        <v>2743010.093410024</v>
      </c>
      <c r="F19" s="144">
        <f>IF(D19&gt;$D$10,0,IF(D19&lt;=$D$8,G19,-PMT($D$6/12,$D$9,$D$5,0,0)))</f>
        <v>13715.05046705012</v>
      </c>
      <c r="G19" s="144">
        <f t="shared" si="2"/>
        <v>13715.05046705012</v>
      </c>
      <c r="H19" s="144">
        <f t="shared" si="0"/>
        <v>0</v>
      </c>
      <c r="I19" s="145">
        <f t="shared" si="1"/>
        <v>2743010.093410024</v>
      </c>
      <c r="L19" s="2"/>
      <c r="M19" s="146"/>
      <c r="N19" s="21"/>
      <c r="O19" s="146"/>
      <c r="P19" s="2"/>
      <c r="R19" s="146"/>
    </row>
    <row r="20" spans="3:20">
      <c r="C20" s="40"/>
      <c r="D20" s="58">
        <v>4</v>
      </c>
      <c r="E20" s="144">
        <f>I19</f>
        <v>2743010.093410024</v>
      </c>
      <c r="F20" s="144">
        <f>IF(D20&gt;$D$10,0,IF(D20&lt;=$D$8,G20,-PMT($D$6/12,$D$9,$E$17,0,0)))</f>
        <v>13715.05046705012</v>
      </c>
      <c r="G20" s="144">
        <f t="shared" si="2"/>
        <v>13715.05046705012</v>
      </c>
      <c r="H20" s="144">
        <f t="shared" si="0"/>
        <v>0</v>
      </c>
      <c r="I20" s="145">
        <f t="shared" si="1"/>
        <v>2743010.093410024</v>
      </c>
      <c r="L20" s="2"/>
      <c r="M20" s="146"/>
      <c r="N20" s="21"/>
      <c r="O20" s="146"/>
      <c r="P20" s="2"/>
      <c r="R20" s="146"/>
      <c r="T20" s="21"/>
    </row>
    <row r="21" spans="3:20">
      <c r="C21" s="40"/>
      <c r="D21" s="58">
        <v>5</v>
      </c>
      <c r="E21" s="144">
        <f>I20</f>
        <v>2743010.093410024</v>
      </c>
      <c r="F21" s="144">
        <f t="shared" ref="F21:F84" si="3">IF(D21&gt;$D$10,0,IF(D21&lt;=$D$8,G21,-PMT($D$6/12,$D$9,$D$5,0,0)))</f>
        <v>13715.05046705012</v>
      </c>
      <c r="G21" s="144">
        <f t="shared" si="2"/>
        <v>13715.05046705012</v>
      </c>
      <c r="H21" s="144">
        <f t="shared" si="0"/>
        <v>0</v>
      </c>
      <c r="I21" s="145">
        <f t="shared" si="1"/>
        <v>2743010.093410024</v>
      </c>
      <c r="L21" s="2"/>
      <c r="M21" s="146"/>
      <c r="N21" s="21"/>
      <c r="O21" s="146"/>
      <c r="P21" s="2"/>
      <c r="R21" s="146"/>
    </row>
    <row r="22" spans="3:20">
      <c r="C22" s="40"/>
      <c r="D22" s="58">
        <v>6</v>
      </c>
      <c r="E22" s="144">
        <f t="shared" ref="E22:E85" si="4">IF(D22&gt;$D$10,0,I21)</f>
        <v>2743010.093410024</v>
      </c>
      <c r="F22" s="144">
        <f t="shared" si="3"/>
        <v>13715.05046705012</v>
      </c>
      <c r="G22" s="144">
        <f t="shared" si="2"/>
        <v>13715.05046705012</v>
      </c>
      <c r="H22" s="144">
        <f t="shared" si="0"/>
        <v>0</v>
      </c>
      <c r="I22" s="145">
        <f t="shared" si="1"/>
        <v>2743010.093410024</v>
      </c>
      <c r="L22" s="2"/>
      <c r="M22" s="146"/>
      <c r="N22" s="21"/>
      <c r="O22" s="146"/>
      <c r="P22" s="2"/>
      <c r="R22" s="146"/>
    </row>
    <row r="23" spans="3:20">
      <c r="C23" s="40"/>
      <c r="D23" s="58">
        <v>7</v>
      </c>
      <c r="E23" s="144">
        <f t="shared" si="4"/>
        <v>2743010.093410024</v>
      </c>
      <c r="F23" s="144">
        <f t="shared" si="3"/>
        <v>13715.05046705012</v>
      </c>
      <c r="G23" s="144">
        <f t="shared" si="2"/>
        <v>13715.05046705012</v>
      </c>
      <c r="H23" s="144">
        <f t="shared" si="0"/>
        <v>0</v>
      </c>
      <c r="I23" s="145">
        <f t="shared" si="1"/>
        <v>2743010.093410024</v>
      </c>
      <c r="L23" s="2"/>
      <c r="M23" s="146"/>
      <c r="N23" s="21"/>
      <c r="O23" s="146"/>
      <c r="P23" s="2"/>
      <c r="R23" s="146"/>
    </row>
    <row r="24" spans="3:20">
      <c r="C24" s="40"/>
      <c r="D24" s="58">
        <v>8</v>
      </c>
      <c r="E24" s="144">
        <f t="shared" si="4"/>
        <v>2743010.093410024</v>
      </c>
      <c r="F24" s="144">
        <f t="shared" si="3"/>
        <v>13715.05046705012</v>
      </c>
      <c r="G24" s="144">
        <f t="shared" si="2"/>
        <v>13715.05046705012</v>
      </c>
      <c r="H24" s="144">
        <f t="shared" si="0"/>
        <v>0</v>
      </c>
      <c r="I24" s="145">
        <f t="shared" si="1"/>
        <v>2743010.093410024</v>
      </c>
      <c r="L24" s="2"/>
      <c r="M24" s="146"/>
      <c r="N24" s="21"/>
      <c r="O24" s="146"/>
      <c r="P24" s="2"/>
      <c r="R24" s="146"/>
    </row>
    <row r="25" spans="3:20">
      <c r="C25" s="40"/>
      <c r="D25" s="58">
        <v>9</v>
      </c>
      <c r="E25" s="144">
        <f t="shared" si="4"/>
        <v>2743010.093410024</v>
      </c>
      <c r="F25" s="144">
        <f t="shared" si="3"/>
        <v>13715.05046705012</v>
      </c>
      <c r="G25" s="144">
        <f t="shared" si="2"/>
        <v>13715.05046705012</v>
      </c>
      <c r="H25" s="144">
        <f t="shared" si="0"/>
        <v>0</v>
      </c>
      <c r="I25" s="145">
        <f t="shared" si="1"/>
        <v>2743010.093410024</v>
      </c>
      <c r="L25" s="2"/>
      <c r="M25" s="146"/>
      <c r="N25" s="21"/>
      <c r="O25" s="146"/>
      <c r="P25" s="2"/>
      <c r="R25" s="146"/>
    </row>
    <row r="26" spans="3:20">
      <c r="C26" s="40"/>
      <c r="D26" s="58">
        <v>10</v>
      </c>
      <c r="E26" s="144">
        <f t="shared" si="4"/>
        <v>2743010.093410024</v>
      </c>
      <c r="F26" s="144">
        <f t="shared" si="3"/>
        <v>13715.05046705012</v>
      </c>
      <c r="G26" s="144">
        <f t="shared" si="2"/>
        <v>13715.05046705012</v>
      </c>
      <c r="H26" s="144">
        <f t="shared" si="0"/>
        <v>0</v>
      </c>
      <c r="I26" s="145">
        <f t="shared" si="1"/>
        <v>2743010.093410024</v>
      </c>
      <c r="L26" s="2"/>
      <c r="M26" s="146"/>
      <c r="N26" s="21"/>
      <c r="O26" s="146"/>
      <c r="P26" s="2"/>
      <c r="R26" s="146"/>
    </row>
    <row r="27" spans="3:20">
      <c r="C27" s="40"/>
      <c r="D27" s="58">
        <v>11</v>
      </c>
      <c r="E27" s="144">
        <f t="shared" si="4"/>
        <v>2743010.093410024</v>
      </c>
      <c r="F27" s="144">
        <f t="shared" si="3"/>
        <v>13715.05046705012</v>
      </c>
      <c r="G27" s="144">
        <f t="shared" si="2"/>
        <v>13715.05046705012</v>
      </c>
      <c r="H27" s="144">
        <f t="shared" si="0"/>
        <v>0</v>
      </c>
      <c r="I27" s="145">
        <f t="shared" si="1"/>
        <v>2743010.093410024</v>
      </c>
      <c r="L27" s="2"/>
      <c r="M27" s="146"/>
      <c r="N27" s="21"/>
      <c r="O27" s="146"/>
      <c r="P27" s="2"/>
      <c r="R27" s="146"/>
    </row>
    <row r="28" spans="3:20">
      <c r="C28" s="46">
        <v>1</v>
      </c>
      <c r="D28" s="147">
        <v>12</v>
      </c>
      <c r="E28" s="144">
        <f t="shared" si="4"/>
        <v>2743010.093410024</v>
      </c>
      <c r="F28" s="144">
        <f t="shared" si="3"/>
        <v>13715.05046705012</v>
      </c>
      <c r="G28" s="144">
        <f t="shared" si="2"/>
        <v>13715.05046705012</v>
      </c>
      <c r="H28" s="144">
        <f t="shared" si="0"/>
        <v>0</v>
      </c>
      <c r="I28" s="145">
        <f t="shared" si="1"/>
        <v>2743010.093410024</v>
      </c>
      <c r="J28" s="148">
        <f>+SUM(H17:H28)+SUM(G17:G28)</f>
        <v>164580.60560460144</v>
      </c>
      <c r="L28" s="2"/>
      <c r="M28" s="146"/>
      <c r="N28" s="21"/>
      <c r="O28" s="146"/>
      <c r="P28" s="2"/>
      <c r="R28" s="146"/>
    </row>
    <row r="29" spans="3:20">
      <c r="C29" s="40"/>
      <c r="D29" s="58">
        <v>13</v>
      </c>
      <c r="E29" s="144">
        <f t="shared" si="4"/>
        <v>2743010.093410024</v>
      </c>
      <c r="F29" s="144">
        <f t="shared" si="3"/>
        <v>13715.05046705012</v>
      </c>
      <c r="G29" s="144">
        <f t="shared" si="2"/>
        <v>13715.05046705012</v>
      </c>
      <c r="H29" s="144">
        <f t="shared" si="0"/>
        <v>0</v>
      </c>
      <c r="I29" s="145">
        <f t="shared" si="1"/>
        <v>2743010.093410024</v>
      </c>
      <c r="L29" s="2"/>
      <c r="M29" s="146"/>
      <c r="N29" s="21"/>
      <c r="O29" s="146"/>
      <c r="P29" s="2"/>
      <c r="R29" s="146"/>
    </row>
    <row r="30" spans="3:20">
      <c r="C30" s="40"/>
      <c r="D30" s="58">
        <v>14</v>
      </c>
      <c r="E30" s="144">
        <f t="shared" si="4"/>
        <v>2743010.093410024</v>
      </c>
      <c r="F30" s="144">
        <f t="shared" si="3"/>
        <v>13715.05046705012</v>
      </c>
      <c r="G30" s="144">
        <f t="shared" si="2"/>
        <v>13715.05046705012</v>
      </c>
      <c r="H30" s="144">
        <f t="shared" si="0"/>
        <v>0</v>
      </c>
      <c r="I30" s="145">
        <f t="shared" si="1"/>
        <v>2743010.093410024</v>
      </c>
      <c r="L30" s="2"/>
      <c r="M30" s="146"/>
      <c r="N30" s="21"/>
      <c r="O30" s="146"/>
      <c r="P30" s="2"/>
      <c r="R30" s="146"/>
    </row>
    <row r="31" spans="3:20">
      <c r="C31" s="40"/>
      <c r="D31" s="58">
        <v>15</v>
      </c>
      <c r="E31" s="144">
        <f t="shared" si="4"/>
        <v>2743010.093410024</v>
      </c>
      <c r="F31" s="144">
        <f t="shared" si="3"/>
        <v>13715.05046705012</v>
      </c>
      <c r="G31" s="144">
        <f t="shared" si="2"/>
        <v>13715.05046705012</v>
      </c>
      <c r="H31" s="144">
        <f t="shared" si="0"/>
        <v>0</v>
      </c>
      <c r="I31" s="145">
        <f t="shared" si="1"/>
        <v>2743010.093410024</v>
      </c>
      <c r="L31" s="2"/>
      <c r="M31" s="146"/>
      <c r="N31" s="21"/>
      <c r="O31" s="146"/>
      <c r="P31" s="2"/>
      <c r="R31" s="146"/>
    </row>
    <row r="32" spans="3:20">
      <c r="C32" s="40"/>
      <c r="D32" s="58">
        <v>16</v>
      </c>
      <c r="E32" s="144">
        <f t="shared" si="4"/>
        <v>2743010.093410024</v>
      </c>
      <c r="F32" s="144">
        <f t="shared" si="3"/>
        <v>13715.05046705012</v>
      </c>
      <c r="G32" s="144">
        <f t="shared" si="2"/>
        <v>13715.05046705012</v>
      </c>
      <c r="H32" s="144">
        <f t="shared" si="0"/>
        <v>0</v>
      </c>
      <c r="I32" s="145">
        <f t="shared" si="1"/>
        <v>2743010.093410024</v>
      </c>
      <c r="L32" s="2"/>
      <c r="M32" s="146"/>
      <c r="N32" s="21"/>
      <c r="O32" s="146"/>
      <c r="P32" s="2"/>
      <c r="R32" s="146"/>
    </row>
    <row r="33" spans="3:18">
      <c r="C33" s="40"/>
      <c r="D33" s="58">
        <v>17</v>
      </c>
      <c r="E33" s="144">
        <f t="shared" si="4"/>
        <v>2743010.093410024</v>
      </c>
      <c r="F33" s="144">
        <f t="shared" si="3"/>
        <v>13715.05046705012</v>
      </c>
      <c r="G33" s="144">
        <f t="shared" si="2"/>
        <v>13715.05046705012</v>
      </c>
      <c r="H33" s="144">
        <f t="shared" si="0"/>
        <v>0</v>
      </c>
      <c r="I33" s="145">
        <f t="shared" si="1"/>
        <v>2743010.093410024</v>
      </c>
      <c r="L33" s="2"/>
      <c r="M33" s="146"/>
      <c r="N33" s="21"/>
      <c r="O33" s="146"/>
      <c r="P33" s="2"/>
      <c r="R33" s="146"/>
    </row>
    <row r="34" spans="3:18">
      <c r="C34" s="40"/>
      <c r="D34" s="58">
        <v>18</v>
      </c>
      <c r="E34" s="144">
        <f t="shared" si="4"/>
        <v>2743010.093410024</v>
      </c>
      <c r="F34" s="144">
        <f t="shared" si="3"/>
        <v>13715.05046705012</v>
      </c>
      <c r="G34" s="144">
        <f t="shared" si="2"/>
        <v>13715.05046705012</v>
      </c>
      <c r="H34" s="144">
        <f t="shared" si="0"/>
        <v>0</v>
      </c>
      <c r="I34" s="145">
        <f t="shared" si="1"/>
        <v>2743010.093410024</v>
      </c>
      <c r="L34" s="2"/>
      <c r="M34" s="146"/>
      <c r="N34" s="21"/>
      <c r="O34" s="146"/>
      <c r="P34" s="2"/>
      <c r="R34" s="146"/>
    </row>
    <row r="35" spans="3:18">
      <c r="C35" s="40"/>
      <c r="D35" s="58">
        <v>19</v>
      </c>
      <c r="E35" s="144">
        <f t="shared" si="4"/>
        <v>2743010.093410024</v>
      </c>
      <c r="F35" s="144">
        <f t="shared" si="3"/>
        <v>13715.05046705012</v>
      </c>
      <c r="G35" s="144">
        <f t="shared" si="2"/>
        <v>13715.05046705012</v>
      </c>
      <c r="H35" s="144">
        <f t="shared" si="0"/>
        <v>0</v>
      </c>
      <c r="I35" s="145">
        <f t="shared" si="1"/>
        <v>2743010.093410024</v>
      </c>
      <c r="L35" s="2"/>
      <c r="M35" s="146"/>
      <c r="N35" s="21"/>
      <c r="O35" s="146"/>
      <c r="P35" s="2"/>
      <c r="R35" s="146"/>
    </row>
    <row r="36" spans="3:18">
      <c r="C36" s="40"/>
      <c r="D36" s="58">
        <v>20</v>
      </c>
      <c r="E36" s="144">
        <f t="shared" si="4"/>
        <v>2743010.093410024</v>
      </c>
      <c r="F36" s="144">
        <f t="shared" si="3"/>
        <v>13715.05046705012</v>
      </c>
      <c r="G36" s="144">
        <f t="shared" si="2"/>
        <v>13715.05046705012</v>
      </c>
      <c r="H36" s="144">
        <f t="shared" si="0"/>
        <v>0</v>
      </c>
      <c r="I36" s="145">
        <f t="shared" si="1"/>
        <v>2743010.093410024</v>
      </c>
      <c r="L36" s="2"/>
      <c r="M36" s="146"/>
      <c r="N36" s="21"/>
      <c r="O36" s="146"/>
      <c r="P36" s="2"/>
      <c r="R36" s="146"/>
    </row>
    <row r="37" spans="3:18">
      <c r="C37" s="40"/>
      <c r="D37" s="58">
        <v>21</v>
      </c>
      <c r="E37" s="144">
        <f t="shared" si="4"/>
        <v>2743010.093410024</v>
      </c>
      <c r="F37" s="144">
        <f t="shared" si="3"/>
        <v>13715.05046705012</v>
      </c>
      <c r="G37" s="144">
        <f t="shared" si="2"/>
        <v>13715.05046705012</v>
      </c>
      <c r="H37" s="144">
        <f t="shared" si="0"/>
        <v>0</v>
      </c>
      <c r="I37" s="145">
        <f t="shared" si="1"/>
        <v>2743010.093410024</v>
      </c>
      <c r="L37" s="2"/>
      <c r="M37" s="146"/>
      <c r="N37" s="21"/>
      <c r="O37" s="146"/>
      <c r="P37" s="2"/>
      <c r="R37" s="146"/>
    </row>
    <row r="38" spans="3:18">
      <c r="C38" s="40"/>
      <c r="D38" s="58">
        <v>22</v>
      </c>
      <c r="E38" s="144">
        <f t="shared" si="4"/>
        <v>2743010.093410024</v>
      </c>
      <c r="F38" s="144">
        <f t="shared" si="3"/>
        <v>13715.05046705012</v>
      </c>
      <c r="G38" s="144">
        <f t="shared" si="2"/>
        <v>13715.05046705012</v>
      </c>
      <c r="H38" s="144">
        <f t="shared" si="0"/>
        <v>0</v>
      </c>
      <c r="I38" s="145">
        <f t="shared" si="1"/>
        <v>2743010.093410024</v>
      </c>
      <c r="L38" s="2"/>
      <c r="M38" s="146"/>
      <c r="N38" s="21"/>
      <c r="O38" s="146"/>
      <c r="P38" s="2"/>
      <c r="R38" s="146"/>
    </row>
    <row r="39" spans="3:18">
      <c r="C39" s="40"/>
      <c r="D39" s="58">
        <v>23</v>
      </c>
      <c r="E39" s="144">
        <f t="shared" si="4"/>
        <v>2743010.093410024</v>
      </c>
      <c r="F39" s="144">
        <f t="shared" si="3"/>
        <v>13715.05046705012</v>
      </c>
      <c r="G39" s="144">
        <f t="shared" si="2"/>
        <v>13715.05046705012</v>
      </c>
      <c r="H39" s="144">
        <f t="shared" si="0"/>
        <v>0</v>
      </c>
      <c r="I39" s="145">
        <f t="shared" si="1"/>
        <v>2743010.093410024</v>
      </c>
      <c r="L39" s="2"/>
      <c r="M39" s="146"/>
      <c r="N39" s="21"/>
      <c r="O39" s="146"/>
      <c r="P39" s="2"/>
      <c r="R39" s="146"/>
    </row>
    <row r="40" spans="3:18">
      <c r="C40" s="46">
        <v>2</v>
      </c>
      <c r="D40" s="147">
        <v>24</v>
      </c>
      <c r="E40" s="144">
        <f t="shared" si="4"/>
        <v>2743010.093410024</v>
      </c>
      <c r="F40" s="144">
        <f t="shared" si="3"/>
        <v>13715.05046705012</v>
      </c>
      <c r="G40" s="144">
        <f t="shared" si="2"/>
        <v>13715.05046705012</v>
      </c>
      <c r="H40" s="144">
        <f t="shared" si="0"/>
        <v>0</v>
      </c>
      <c r="I40" s="145">
        <f t="shared" si="1"/>
        <v>2743010.093410024</v>
      </c>
      <c r="J40" s="148">
        <f>+SUM(H29:H40)+SUM(G29:G40)</f>
        <v>164580.60560460144</v>
      </c>
      <c r="L40" s="2"/>
      <c r="M40" s="146"/>
      <c r="N40" s="21"/>
      <c r="O40" s="146"/>
      <c r="P40" s="2"/>
      <c r="R40" s="146"/>
    </row>
    <row r="41" spans="3:18">
      <c r="C41" s="40"/>
      <c r="D41" s="58">
        <v>25</v>
      </c>
      <c r="E41" s="144">
        <f t="shared" si="4"/>
        <v>2743010.093410024</v>
      </c>
      <c r="F41" s="144">
        <f t="shared" si="3"/>
        <v>17673.252474729743</v>
      </c>
      <c r="G41" s="144">
        <f t="shared" si="2"/>
        <v>13715.05046705012</v>
      </c>
      <c r="H41" s="144">
        <f t="shared" si="0"/>
        <v>3958.2020076796234</v>
      </c>
      <c r="I41" s="145">
        <f t="shared" si="1"/>
        <v>2739051.8914023442</v>
      </c>
      <c r="L41" s="2"/>
      <c r="M41" s="146"/>
      <c r="N41" s="21"/>
      <c r="O41" s="146"/>
      <c r="P41" s="2"/>
      <c r="R41" s="146"/>
    </row>
    <row r="42" spans="3:18">
      <c r="C42" s="40"/>
      <c r="D42" s="58">
        <v>26</v>
      </c>
      <c r="E42" s="144">
        <f t="shared" si="4"/>
        <v>2739051.8914023442</v>
      </c>
      <c r="F42" s="144">
        <f t="shared" si="3"/>
        <v>17673.252474729743</v>
      </c>
      <c r="G42" s="144">
        <f t="shared" si="2"/>
        <v>13695.259457011722</v>
      </c>
      <c r="H42" s="144">
        <f t="shared" si="0"/>
        <v>3977.9930177180213</v>
      </c>
      <c r="I42" s="145">
        <f t="shared" si="1"/>
        <v>2735073.898384626</v>
      </c>
    </row>
    <row r="43" spans="3:18">
      <c r="C43" s="40"/>
      <c r="D43" s="58">
        <v>27</v>
      </c>
      <c r="E43" s="144">
        <f t="shared" si="4"/>
        <v>2735073.898384626</v>
      </c>
      <c r="F43" s="144">
        <f t="shared" si="3"/>
        <v>17673.252474729743</v>
      </c>
      <c r="G43" s="144">
        <f t="shared" si="2"/>
        <v>13675.369491923131</v>
      </c>
      <c r="H43" s="144">
        <f t="shared" si="0"/>
        <v>3997.8829828066118</v>
      </c>
      <c r="I43" s="145">
        <f t="shared" si="1"/>
        <v>2731076.0154018193</v>
      </c>
    </row>
    <row r="44" spans="3:18">
      <c r="C44" s="40"/>
      <c r="D44" s="58">
        <v>28</v>
      </c>
      <c r="E44" s="144">
        <f t="shared" si="4"/>
        <v>2731076.0154018193</v>
      </c>
      <c r="F44" s="144">
        <f t="shared" si="3"/>
        <v>17673.252474729743</v>
      </c>
      <c r="G44" s="144">
        <f t="shared" si="2"/>
        <v>13655.380077009097</v>
      </c>
      <c r="H44" s="144">
        <f t="shared" si="0"/>
        <v>4017.8723977206464</v>
      </c>
      <c r="I44" s="145">
        <f t="shared" si="1"/>
        <v>2727058.1430040984</v>
      </c>
    </row>
    <row r="45" spans="3:18">
      <c r="C45" s="40"/>
      <c r="D45" s="58">
        <v>29</v>
      </c>
      <c r="E45" s="144">
        <f t="shared" si="4"/>
        <v>2727058.1430040984</v>
      </c>
      <c r="F45" s="144">
        <f t="shared" si="3"/>
        <v>17673.252474729743</v>
      </c>
      <c r="G45" s="144">
        <f t="shared" si="2"/>
        <v>13635.290715020492</v>
      </c>
      <c r="H45" s="144">
        <f t="shared" si="0"/>
        <v>4037.9617597092511</v>
      </c>
      <c r="I45" s="145">
        <f t="shared" si="1"/>
        <v>2723020.1812443892</v>
      </c>
    </row>
    <row r="46" spans="3:18">
      <c r="C46" s="40"/>
      <c r="D46" s="58">
        <v>30</v>
      </c>
      <c r="E46" s="144">
        <f t="shared" si="4"/>
        <v>2723020.1812443892</v>
      </c>
      <c r="F46" s="144">
        <f t="shared" si="3"/>
        <v>17673.252474729743</v>
      </c>
      <c r="G46" s="144">
        <f t="shared" si="2"/>
        <v>13615.100906221945</v>
      </c>
      <c r="H46" s="144">
        <f t="shared" si="0"/>
        <v>4058.1515685077975</v>
      </c>
      <c r="I46" s="145">
        <f t="shared" si="1"/>
        <v>2718962.0296758814</v>
      </c>
    </row>
    <row r="47" spans="3:18">
      <c r="C47" s="40"/>
      <c r="D47" s="58">
        <v>31</v>
      </c>
      <c r="E47" s="144">
        <f t="shared" si="4"/>
        <v>2718962.0296758814</v>
      </c>
      <c r="F47" s="144">
        <f t="shared" si="3"/>
        <v>17673.252474729743</v>
      </c>
      <c r="G47" s="144">
        <f t="shared" si="2"/>
        <v>13594.810148379407</v>
      </c>
      <c r="H47" s="144">
        <f t="shared" si="0"/>
        <v>4078.4423263503359</v>
      </c>
      <c r="I47" s="145">
        <f t="shared" si="1"/>
        <v>2714883.5873495312</v>
      </c>
    </row>
    <row r="48" spans="3:18">
      <c r="C48" s="40"/>
      <c r="D48" s="58">
        <v>32</v>
      </c>
      <c r="E48" s="144">
        <f t="shared" si="4"/>
        <v>2714883.5873495312</v>
      </c>
      <c r="F48" s="144">
        <f t="shared" si="3"/>
        <v>17673.252474729743</v>
      </c>
      <c r="G48" s="144">
        <f t="shared" si="2"/>
        <v>13574.417936747657</v>
      </c>
      <c r="H48" s="144">
        <f t="shared" si="0"/>
        <v>4098.8345379820857</v>
      </c>
      <c r="I48" s="145">
        <f t="shared" si="1"/>
        <v>2710784.7528115492</v>
      </c>
    </row>
    <row r="49" spans="3:10">
      <c r="C49" s="40"/>
      <c r="D49" s="58">
        <v>33</v>
      </c>
      <c r="E49" s="144">
        <f t="shared" si="4"/>
        <v>2710784.7528115492</v>
      </c>
      <c r="F49" s="144">
        <f t="shared" si="3"/>
        <v>17673.252474729743</v>
      </c>
      <c r="G49" s="144">
        <f t="shared" si="2"/>
        <v>13553.923764057747</v>
      </c>
      <c r="H49" s="144">
        <f t="shared" si="0"/>
        <v>4119.3287106719963</v>
      </c>
      <c r="I49" s="145">
        <f t="shared" si="1"/>
        <v>2706665.4241008773</v>
      </c>
    </row>
    <row r="50" spans="3:10">
      <c r="C50" s="40"/>
      <c r="D50" s="58">
        <v>34</v>
      </c>
      <c r="E50" s="144">
        <f t="shared" si="4"/>
        <v>2706665.4241008773</v>
      </c>
      <c r="F50" s="144">
        <f t="shared" si="3"/>
        <v>17673.252474729743</v>
      </c>
      <c r="G50" s="144">
        <f t="shared" si="2"/>
        <v>13533.327120504386</v>
      </c>
      <c r="H50" s="144">
        <f t="shared" si="0"/>
        <v>4139.9253542253573</v>
      </c>
      <c r="I50" s="145">
        <f t="shared" si="1"/>
        <v>2702525.4987466517</v>
      </c>
    </row>
    <row r="51" spans="3:10">
      <c r="C51" s="40"/>
      <c r="D51" s="58">
        <v>35</v>
      </c>
      <c r="E51" s="144">
        <f t="shared" si="4"/>
        <v>2702525.4987466517</v>
      </c>
      <c r="F51" s="144">
        <f t="shared" si="3"/>
        <v>17673.252474729743</v>
      </c>
      <c r="G51" s="144">
        <f t="shared" si="2"/>
        <v>13512.627493733258</v>
      </c>
      <c r="H51" s="144">
        <f t="shared" si="0"/>
        <v>4160.6249809964847</v>
      </c>
      <c r="I51" s="145">
        <f t="shared" si="1"/>
        <v>2698364.8737656553</v>
      </c>
    </row>
    <row r="52" spans="3:10">
      <c r="C52" s="46">
        <v>3</v>
      </c>
      <c r="D52" s="147">
        <v>36</v>
      </c>
      <c r="E52" s="144">
        <f t="shared" si="4"/>
        <v>2698364.8737656553</v>
      </c>
      <c r="F52" s="144">
        <f t="shared" si="3"/>
        <v>17673.252474729743</v>
      </c>
      <c r="G52" s="144">
        <f t="shared" si="2"/>
        <v>13491.824368828276</v>
      </c>
      <c r="H52" s="144">
        <f t="shared" si="0"/>
        <v>4181.4281059014666</v>
      </c>
      <c r="I52" s="145">
        <f t="shared" si="1"/>
        <v>2694183.4456597539</v>
      </c>
      <c r="J52" s="148">
        <f>+SUM(H41:H52)+SUM(G41:G52)</f>
        <v>212079.02969675689</v>
      </c>
    </row>
    <row r="53" spans="3:10">
      <c r="C53" s="40"/>
      <c r="D53" s="58">
        <v>37</v>
      </c>
      <c r="E53" s="144">
        <f t="shared" si="4"/>
        <v>2694183.4456597539</v>
      </c>
      <c r="F53" s="144">
        <f t="shared" si="3"/>
        <v>17673.252474729743</v>
      </c>
      <c r="G53" s="144">
        <f t="shared" si="2"/>
        <v>13470.917228298769</v>
      </c>
      <c r="H53" s="144">
        <f t="shared" si="0"/>
        <v>4202.3352464309737</v>
      </c>
      <c r="I53" s="145">
        <f t="shared" si="1"/>
        <v>2689981.1104133227</v>
      </c>
    </row>
    <row r="54" spans="3:10">
      <c r="C54" s="40"/>
      <c r="D54" s="58">
        <v>38</v>
      </c>
      <c r="E54" s="144">
        <f t="shared" si="4"/>
        <v>2689981.1104133227</v>
      </c>
      <c r="F54" s="144">
        <f t="shared" si="3"/>
        <v>17673.252474729743</v>
      </c>
      <c r="G54" s="144">
        <f t="shared" si="2"/>
        <v>13449.905552066613</v>
      </c>
      <c r="H54" s="144">
        <f t="shared" si="0"/>
        <v>4223.3469226631296</v>
      </c>
      <c r="I54" s="145">
        <f t="shared" si="1"/>
        <v>2685757.7634906597</v>
      </c>
    </row>
    <row r="55" spans="3:10">
      <c r="C55" s="40"/>
      <c r="D55" s="58">
        <v>39</v>
      </c>
      <c r="E55" s="144">
        <f t="shared" si="4"/>
        <v>2685757.7634906597</v>
      </c>
      <c r="F55" s="144">
        <f t="shared" si="3"/>
        <v>17673.252474729743</v>
      </c>
      <c r="G55" s="144">
        <f t="shared" si="2"/>
        <v>13428.788817453298</v>
      </c>
      <c r="H55" s="144">
        <f t="shared" si="0"/>
        <v>4244.4636572764448</v>
      </c>
      <c r="I55" s="145">
        <f t="shared" si="1"/>
        <v>2681513.2998333834</v>
      </c>
    </row>
    <row r="56" spans="3:10">
      <c r="C56" s="40"/>
      <c r="D56" s="58">
        <v>40</v>
      </c>
      <c r="E56" s="144">
        <f t="shared" si="4"/>
        <v>2681513.2998333834</v>
      </c>
      <c r="F56" s="144">
        <f t="shared" si="3"/>
        <v>17673.252474729743</v>
      </c>
      <c r="G56" s="144">
        <f t="shared" si="2"/>
        <v>13407.566499166918</v>
      </c>
      <c r="H56" s="144">
        <f t="shared" si="0"/>
        <v>4265.6859755628248</v>
      </c>
      <c r="I56" s="145">
        <f t="shared" si="1"/>
        <v>2677247.6138578206</v>
      </c>
    </row>
    <row r="57" spans="3:10">
      <c r="C57" s="40"/>
      <c r="D57" s="58">
        <v>41</v>
      </c>
      <c r="E57" s="144">
        <f t="shared" si="4"/>
        <v>2677247.6138578206</v>
      </c>
      <c r="F57" s="144">
        <f t="shared" si="3"/>
        <v>17673.252474729743</v>
      </c>
      <c r="G57" s="144">
        <f t="shared" si="2"/>
        <v>13386.238069289104</v>
      </c>
      <c r="H57" s="144">
        <f t="shared" si="0"/>
        <v>4287.0144054406392</v>
      </c>
      <c r="I57" s="145">
        <f t="shared" si="1"/>
        <v>2672960.5994523801</v>
      </c>
    </row>
    <row r="58" spans="3:10">
      <c r="C58" s="40"/>
      <c r="D58" s="58">
        <v>42</v>
      </c>
      <c r="E58" s="144">
        <f t="shared" si="4"/>
        <v>2672960.5994523801</v>
      </c>
      <c r="F58" s="144">
        <f t="shared" si="3"/>
        <v>17673.252474729743</v>
      </c>
      <c r="G58" s="144">
        <f t="shared" si="2"/>
        <v>13364.802997261901</v>
      </c>
      <c r="H58" s="144">
        <f t="shared" si="0"/>
        <v>4308.4494774678424</v>
      </c>
      <c r="I58" s="145">
        <f t="shared" si="1"/>
        <v>2668652.1499749124</v>
      </c>
    </row>
    <row r="59" spans="3:10">
      <c r="C59" s="40"/>
      <c r="D59" s="58">
        <v>43</v>
      </c>
      <c r="E59" s="144">
        <f t="shared" si="4"/>
        <v>2668652.1499749124</v>
      </c>
      <c r="F59" s="144">
        <f t="shared" si="3"/>
        <v>17673.252474729743</v>
      </c>
      <c r="G59" s="144">
        <f t="shared" si="2"/>
        <v>13343.260749874562</v>
      </c>
      <c r="H59" s="144">
        <f t="shared" si="0"/>
        <v>4329.991724855181</v>
      </c>
      <c r="I59" s="145">
        <f t="shared" si="1"/>
        <v>2664322.1582500571</v>
      </c>
      <c r="J59" s="148"/>
    </row>
    <row r="60" spans="3:10">
      <c r="C60" s="40"/>
      <c r="D60" s="58">
        <v>44</v>
      </c>
      <c r="E60" s="144">
        <f t="shared" si="4"/>
        <v>2664322.1582500571</v>
      </c>
      <c r="F60" s="144">
        <f t="shared" si="3"/>
        <v>17673.252474729743</v>
      </c>
      <c r="G60" s="144">
        <f t="shared" si="2"/>
        <v>13321.610791250287</v>
      </c>
      <c r="H60" s="144">
        <f t="shared" si="0"/>
        <v>4351.6416834794563</v>
      </c>
      <c r="I60" s="145">
        <f t="shared" si="1"/>
        <v>2659970.5165665778</v>
      </c>
    </row>
    <row r="61" spans="3:10">
      <c r="C61" s="40"/>
      <c r="D61" s="58">
        <v>45</v>
      </c>
      <c r="E61" s="144">
        <f t="shared" si="4"/>
        <v>2659970.5165665778</v>
      </c>
      <c r="F61" s="144">
        <f t="shared" si="3"/>
        <v>17673.252474729743</v>
      </c>
      <c r="G61" s="144">
        <f t="shared" si="2"/>
        <v>13299.852582832889</v>
      </c>
      <c r="H61" s="144">
        <f t="shared" si="0"/>
        <v>4373.3998918968537</v>
      </c>
      <c r="I61" s="145">
        <f t="shared" si="1"/>
        <v>2655597.1166746812</v>
      </c>
    </row>
    <row r="62" spans="3:10">
      <c r="C62" s="40"/>
      <c r="D62" s="58">
        <v>46</v>
      </c>
      <c r="E62" s="144">
        <f t="shared" si="4"/>
        <v>2655597.1166746812</v>
      </c>
      <c r="F62" s="144">
        <f t="shared" si="3"/>
        <v>17673.252474729743</v>
      </c>
      <c r="G62" s="144">
        <f t="shared" si="2"/>
        <v>13277.985583373405</v>
      </c>
      <c r="H62" s="144">
        <f t="shared" si="0"/>
        <v>4395.2668913563375</v>
      </c>
      <c r="I62" s="145">
        <f t="shared" si="1"/>
        <v>2651201.8497833246</v>
      </c>
    </row>
    <row r="63" spans="3:10">
      <c r="C63" s="40"/>
      <c r="D63" s="58">
        <v>47</v>
      </c>
      <c r="E63" s="144">
        <f t="shared" si="4"/>
        <v>2651201.8497833246</v>
      </c>
      <c r="F63" s="144">
        <f t="shared" si="3"/>
        <v>17673.252474729743</v>
      </c>
      <c r="G63" s="144">
        <f t="shared" si="2"/>
        <v>13256.009248916624</v>
      </c>
      <c r="H63" s="144">
        <f t="shared" si="0"/>
        <v>4417.2432258131194</v>
      </c>
      <c r="I63" s="145">
        <f t="shared" si="1"/>
        <v>2646784.6065575117</v>
      </c>
    </row>
    <row r="64" spans="3:10">
      <c r="C64" s="46">
        <v>4</v>
      </c>
      <c r="D64" s="147">
        <v>48</v>
      </c>
      <c r="E64" s="144">
        <f t="shared" si="4"/>
        <v>2646784.6065575117</v>
      </c>
      <c r="F64" s="144">
        <f t="shared" si="3"/>
        <v>17673.252474729743</v>
      </c>
      <c r="G64" s="144">
        <f t="shared" si="2"/>
        <v>13233.923032787559</v>
      </c>
      <c r="H64" s="144">
        <f t="shared" si="0"/>
        <v>4439.3294419421836</v>
      </c>
      <c r="I64" s="145">
        <f t="shared" si="1"/>
        <v>2642345.2771155694</v>
      </c>
      <c r="J64" s="148">
        <f>+SUM(H53:H64)+SUM(G53:G64)</f>
        <v>212079.02969675694</v>
      </c>
    </row>
    <row r="65" spans="3:10">
      <c r="C65" s="40"/>
      <c r="D65" s="58">
        <v>49</v>
      </c>
      <c r="E65" s="144">
        <f t="shared" si="4"/>
        <v>2642345.2771155694</v>
      </c>
      <c r="F65" s="144">
        <f t="shared" si="3"/>
        <v>17673.252474729743</v>
      </c>
      <c r="G65" s="144">
        <f t="shared" si="2"/>
        <v>13211.726385577847</v>
      </c>
      <c r="H65" s="144">
        <f t="shared" si="0"/>
        <v>4461.5260891518956</v>
      </c>
      <c r="I65" s="145">
        <f t="shared" si="1"/>
        <v>2637883.7510264176</v>
      </c>
    </row>
    <row r="66" spans="3:10">
      <c r="C66" s="40"/>
      <c r="D66" s="58">
        <v>50</v>
      </c>
      <c r="E66" s="144">
        <f t="shared" si="4"/>
        <v>2637883.7510264176</v>
      </c>
      <c r="F66" s="144">
        <f t="shared" si="3"/>
        <v>17673.252474729743</v>
      </c>
      <c r="G66" s="144">
        <f t="shared" si="2"/>
        <v>13189.418755132088</v>
      </c>
      <c r="H66" s="144">
        <f t="shared" si="0"/>
        <v>4483.8337195976546</v>
      </c>
      <c r="I66" s="145">
        <f t="shared" si="1"/>
        <v>2633399.9173068199</v>
      </c>
    </row>
    <row r="67" spans="3:10">
      <c r="C67" s="40"/>
      <c r="D67" s="58">
        <v>51</v>
      </c>
      <c r="E67" s="144">
        <f t="shared" si="4"/>
        <v>2633399.9173068199</v>
      </c>
      <c r="F67" s="144">
        <f t="shared" si="3"/>
        <v>17673.252474729743</v>
      </c>
      <c r="G67" s="144">
        <f t="shared" si="2"/>
        <v>13166.999586534101</v>
      </c>
      <c r="H67" s="144">
        <f t="shared" si="0"/>
        <v>4506.2528881956423</v>
      </c>
      <c r="I67" s="145">
        <f t="shared" si="1"/>
        <v>2628893.6644186242</v>
      </c>
    </row>
    <row r="68" spans="3:10">
      <c r="C68" s="40"/>
      <c r="D68" s="58">
        <v>52</v>
      </c>
      <c r="E68" s="144">
        <f t="shared" si="4"/>
        <v>2628893.6644186242</v>
      </c>
      <c r="F68" s="144">
        <f t="shared" si="3"/>
        <v>17673.252474729743</v>
      </c>
      <c r="G68" s="144">
        <f t="shared" si="2"/>
        <v>13144.468322093122</v>
      </c>
      <c r="H68" s="144">
        <f t="shared" si="0"/>
        <v>4528.784152636621</v>
      </c>
      <c r="I68" s="145">
        <f t="shared" si="1"/>
        <v>2624364.8802659875</v>
      </c>
    </row>
    <row r="69" spans="3:10">
      <c r="C69" s="40"/>
      <c r="D69" s="58">
        <v>53</v>
      </c>
      <c r="E69" s="144">
        <f t="shared" si="4"/>
        <v>2624364.8802659875</v>
      </c>
      <c r="F69" s="144">
        <f t="shared" si="3"/>
        <v>17673.252474729743</v>
      </c>
      <c r="G69" s="144">
        <f t="shared" si="2"/>
        <v>13121.824401329937</v>
      </c>
      <c r="H69" s="144">
        <f t="shared" si="0"/>
        <v>4551.4280733998057</v>
      </c>
      <c r="I69" s="145">
        <f t="shared" si="1"/>
        <v>2619813.4521925878</v>
      </c>
    </row>
    <row r="70" spans="3:10">
      <c r="C70" s="40"/>
      <c r="D70" s="58">
        <v>54</v>
      </c>
      <c r="E70" s="144">
        <f t="shared" si="4"/>
        <v>2619813.4521925878</v>
      </c>
      <c r="F70" s="144">
        <f t="shared" si="3"/>
        <v>17673.252474729743</v>
      </c>
      <c r="G70" s="144">
        <f t="shared" si="2"/>
        <v>13099.06726096294</v>
      </c>
      <c r="H70" s="144">
        <f t="shared" si="0"/>
        <v>4574.1852137668029</v>
      </c>
      <c r="I70" s="145">
        <f t="shared" si="1"/>
        <v>2615239.2669788208</v>
      </c>
      <c r="J70" s="148"/>
    </row>
    <row r="71" spans="3:10">
      <c r="C71" s="40"/>
      <c r="D71" s="58">
        <v>55</v>
      </c>
      <c r="E71" s="144">
        <f t="shared" si="4"/>
        <v>2615239.2669788208</v>
      </c>
      <c r="F71" s="144">
        <f t="shared" si="3"/>
        <v>17673.252474729743</v>
      </c>
      <c r="G71" s="144">
        <f t="shared" si="2"/>
        <v>13076.196334894104</v>
      </c>
      <c r="H71" s="144">
        <f t="shared" si="0"/>
        <v>4597.0561398356385</v>
      </c>
      <c r="I71" s="145">
        <f t="shared" si="1"/>
        <v>2610642.2108389852</v>
      </c>
      <c r="J71" s="148"/>
    </row>
    <row r="72" spans="3:10">
      <c r="C72" s="40"/>
      <c r="D72" s="58">
        <v>56</v>
      </c>
      <c r="E72" s="144">
        <f t="shared" si="4"/>
        <v>2610642.2108389852</v>
      </c>
      <c r="F72" s="144">
        <f t="shared" si="3"/>
        <v>17673.252474729743</v>
      </c>
      <c r="G72" s="144">
        <f t="shared" si="2"/>
        <v>13053.211054194926</v>
      </c>
      <c r="H72" s="144">
        <f t="shared" si="0"/>
        <v>4620.041420534817</v>
      </c>
      <c r="I72" s="145">
        <f t="shared" si="1"/>
        <v>2606022.1694184504</v>
      </c>
    </row>
    <row r="73" spans="3:10">
      <c r="C73" s="40"/>
      <c r="D73" s="58">
        <v>57</v>
      </c>
      <c r="E73" s="144">
        <f t="shared" si="4"/>
        <v>2606022.1694184504</v>
      </c>
      <c r="F73" s="144">
        <f t="shared" si="3"/>
        <v>17673.252474729743</v>
      </c>
      <c r="G73" s="144">
        <f t="shared" si="2"/>
        <v>13030.110847092252</v>
      </c>
      <c r="H73" s="144">
        <f t="shared" si="0"/>
        <v>4643.1416276374912</v>
      </c>
      <c r="I73" s="145">
        <f t="shared" si="1"/>
        <v>2601379.0277908128</v>
      </c>
    </row>
    <row r="74" spans="3:10">
      <c r="C74" s="40"/>
      <c r="D74" s="58">
        <v>58</v>
      </c>
      <c r="E74" s="144">
        <f t="shared" si="4"/>
        <v>2601379.0277908128</v>
      </c>
      <c r="F74" s="144">
        <f t="shared" si="3"/>
        <v>17673.252474729743</v>
      </c>
      <c r="G74" s="144">
        <f t="shared" si="2"/>
        <v>13006.895138954063</v>
      </c>
      <c r="H74" s="144">
        <f t="shared" si="0"/>
        <v>4666.3573357756795</v>
      </c>
      <c r="I74" s="145">
        <f t="shared" si="1"/>
        <v>2596712.6704550372</v>
      </c>
    </row>
    <row r="75" spans="3:10">
      <c r="C75" s="40"/>
      <c r="D75" s="58">
        <v>59</v>
      </c>
      <c r="E75" s="144">
        <f t="shared" si="4"/>
        <v>2596712.6704550372</v>
      </c>
      <c r="F75" s="144">
        <f t="shared" si="3"/>
        <v>17673.252474729743</v>
      </c>
      <c r="G75" s="144">
        <f t="shared" si="2"/>
        <v>12983.563352275187</v>
      </c>
      <c r="H75" s="144">
        <f t="shared" si="0"/>
        <v>4689.6891224545561</v>
      </c>
      <c r="I75" s="145">
        <f t="shared" si="1"/>
        <v>2592022.9813325824</v>
      </c>
    </row>
    <row r="76" spans="3:10">
      <c r="C76" s="46">
        <v>5</v>
      </c>
      <c r="D76" s="147">
        <v>60</v>
      </c>
      <c r="E76" s="144">
        <f t="shared" si="4"/>
        <v>2592022.9813325824</v>
      </c>
      <c r="F76" s="144">
        <f t="shared" si="3"/>
        <v>17673.252474729743</v>
      </c>
      <c r="G76" s="144">
        <f t="shared" si="2"/>
        <v>12960.114906662913</v>
      </c>
      <c r="H76" s="144">
        <f t="shared" si="0"/>
        <v>4713.1375680668298</v>
      </c>
      <c r="I76" s="145">
        <f t="shared" si="1"/>
        <v>2587309.8437645156</v>
      </c>
      <c r="J76" s="148">
        <f>+SUM(H65:H76)+SUM(G65:G76)</f>
        <v>212079.02969675692</v>
      </c>
    </row>
    <row r="77" spans="3:10">
      <c r="C77" s="40"/>
      <c r="D77" s="58">
        <v>61</v>
      </c>
      <c r="E77" s="144">
        <f t="shared" si="4"/>
        <v>2587309.8437645156</v>
      </c>
      <c r="F77" s="144">
        <f t="shared" si="3"/>
        <v>17673.252474729743</v>
      </c>
      <c r="G77" s="144">
        <f t="shared" si="2"/>
        <v>12936.549218822578</v>
      </c>
      <c r="H77" s="144">
        <f t="shared" si="0"/>
        <v>4736.7032559071649</v>
      </c>
      <c r="I77" s="145">
        <f t="shared" si="1"/>
        <v>2582573.1405086084</v>
      </c>
    </row>
    <row r="78" spans="3:10">
      <c r="C78" s="40"/>
      <c r="D78" s="58">
        <v>62</v>
      </c>
      <c r="E78" s="144">
        <f t="shared" si="4"/>
        <v>2582573.1405086084</v>
      </c>
      <c r="F78" s="144">
        <f t="shared" si="3"/>
        <v>17673.252474729743</v>
      </c>
      <c r="G78" s="144">
        <f t="shared" si="2"/>
        <v>12912.865702543042</v>
      </c>
      <c r="H78" s="144">
        <f t="shared" si="0"/>
        <v>4760.3867721867009</v>
      </c>
      <c r="I78" s="145">
        <f t="shared" si="1"/>
        <v>2577812.7537364219</v>
      </c>
    </row>
    <row r="79" spans="3:10">
      <c r="C79" s="40"/>
      <c r="D79" s="58">
        <v>63</v>
      </c>
      <c r="E79" s="144">
        <f t="shared" si="4"/>
        <v>2577812.7537364219</v>
      </c>
      <c r="F79" s="144">
        <f t="shared" si="3"/>
        <v>17673.252474729743</v>
      </c>
      <c r="G79" s="144">
        <f t="shared" si="2"/>
        <v>12889.06376868211</v>
      </c>
      <c r="H79" s="144">
        <f t="shared" si="0"/>
        <v>4784.1887060476329</v>
      </c>
      <c r="I79" s="145">
        <f t="shared" si="1"/>
        <v>2573028.5650303741</v>
      </c>
    </row>
    <row r="80" spans="3:10">
      <c r="C80" s="40"/>
      <c r="D80" s="58">
        <v>64</v>
      </c>
      <c r="E80" s="144">
        <f t="shared" si="4"/>
        <v>2573028.5650303741</v>
      </c>
      <c r="F80" s="144">
        <f t="shared" si="3"/>
        <v>17673.252474729743</v>
      </c>
      <c r="G80" s="144">
        <f t="shared" si="2"/>
        <v>12865.14282515187</v>
      </c>
      <c r="H80" s="144">
        <f t="shared" si="0"/>
        <v>4808.1096495778729</v>
      </c>
      <c r="I80" s="145">
        <f t="shared" si="1"/>
        <v>2568220.4553807965</v>
      </c>
    </row>
    <row r="81" spans="3:10">
      <c r="C81" s="40"/>
      <c r="D81" s="58">
        <v>65</v>
      </c>
      <c r="E81" s="144">
        <f t="shared" si="4"/>
        <v>2568220.4553807965</v>
      </c>
      <c r="F81" s="144">
        <f t="shared" si="3"/>
        <v>17673.252474729743</v>
      </c>
      <c r="G81" s="144">
        <f t="shared" si="2"/>
        <v>12841.102276903983</v>
      </c>
      <c r="H81" s="144">
        <f t="shared" ref="H81:H144" si="5">F81-G81</f>
        <v>4832.1501978257602</v>
      </c>
      <c r="I81" s="145">
        <f t="shared" ref="I81:I144" si="6">E81-H81</f>
        <v>2563388.3051829706</v>
      </c>
    </row>
    <row r="82" spans="3:10">
      <c r="C82" s="40"/>
      <c r="D82" s="58">
        <v>66</v>
      </c>
      <c r="E82" s="144">
        <f t="shared" si="4"/>
        <v>2563388.3051829706</v>
      </c>
      <c r="F82" s="144">
        <f t="shared" si="3"/>
        <v>17673.252474729743</v>
      </c>
      <c r="G82" s="144">
        <f t="shared" ref="G82:G145" si="7">IF(D82&gt;$D$10,0,($D$6/12)*I81)</f>
        <v>12816.941525914854</v>
      </c>
      <c r="H82" s="144">
        <f t="shared" si="5"/>
        <v>4856.3109488148893</v>
      </c>
      <c r="I82" s="145">
        <f t="shared" si="6"/>
        <v>2558531.9942341559</v>
      </c>
    </row>
    <row r="83" spans="3:10">
      <c r="C83" s="40"/>
      <c r="D83" s="58">
        <v>67</v>
      </c>
      <c r="E83" s="144">
        <f t="shared" si="4"/>
        <v>2558531.9942341559</v>
      </c>
      <c r="F83" s="144">
        <f t="shared" si="3"/>
        <v>17673.252474729743</v>
      </c>
      <c r="G83" s="144">
        <f t="shared" si="7"/>
        <v>12792.65997117078</v>
      </c>
      <c r="H83" s="144">
        <f t="shared" si="5"/>
        <v>4880.5925035589626</v>
      </c>
      <c r="I83" s="145">
        <f t="shared" si="6"/>
        <v>2553651.401730597</v>
      </c>
      <c r="J83" s="148"/>
    </row>
    <row r="84" spans="3:10">
      <c r="C84" s="40"/>
      <c r="D84" s="58">
        <v>68</v>
      </c>
      <c r="E84" s="144">
        <f t="shared" si="4"/>
        <v>2553651.401730597</v>
      </c>
      <c r="F84" s="144">
        <f t="shared" si="3"/>
        <v>17673.252474729743</v>
      </c>
      <c r="G84" s="144">
        <f t="shared" si="7"/>
        <v>12768.257008652985</v>
      </c>
      <c r="H84" s="144">
        <f t="shared" si="5"/>
        <v>4904.995466076758</v>
      </c>
      <c r="I84" s="145">
        <f t="shared" si="6"/>
        <v>2548746.4062645203</v>
      </c>
    </row>
    <row r="85" spans="3:10">
      <c r="C85" s="40"/>
      <c r="D85" s="58">
        <v>69</v>
      </c>
      <c r="E85" s="144">
        <f t="shared" si="4"/>
        <v>2548746.4062645203</v>
      </c>
      <c r="F85" s="144">
        <f t="shared" ref="F85:F148" si="8">IF(D85&gt;$D$10,0,IF(D85&lt;=$D$8,G85,-PMT($D$6/12,$D$9,$D$5,0,0)))</f>
        <v>17673.252474729743</v>
      </c>
      <c r="G85" s="144">
        <f t="shared" si="7"/>
        <v>12743.732031322601</v>
      </c>
      <c r="H85" s="144">
        <f t="shared" si="5"/>
        <v>4929.520443407142</v>
      </c>
      <c r="I85" s="145">
        <f t="shared" si="6"/>
        <v>2543816.8858211129</v>
      </c>
    </row>
    <row r="86" spans="3:10">
      <c r="C86" s="40"/>
      <c r="D86" s="58">
        <v>70</v>
      </c>
      <c r="E86" s="144">
        <f t="shared" ref="E86:E149" si="9">IF(D86&gt;$D$10,0,I85)</f>
        <v>2543816.8858211129</v>
      </c>
      <c r="F86" s="144">
        <f t="shared" si="8"/>
        <v>17673.252474729743</v>
      </c>
      <c r="G86" s="144">
        <f t="shared" si="7"/>
        <v>12719.084429105566</v>
      </c>
      <c r="H86" s="144">
        <f t="shared" si="5"/>
        <v>4954.1680456241775</v>
      </c>
      <c r="I86" s="145">
        <f t="shared" si="6"/>
        <v>2538862.7177754887</v>
      </c>
    </row>
    <row r="87" spans="3:10">
      <c r="C87" s="40"/>
      <c r="D87" s="58">
        <v>71</v>
      </c>
      <c r="E87" s="144">
        <f t="shared" si="9"/>
        <v>2538862.7177754887</v>
      </c>
      <c r="F87" s="144">
        <f t="shared" si="8"/>
        <v>17673.252474729743</v>
      </c>
      <c r="G87" s="144">
        <f t="shared" si="7"/>
        <v>12694.313588877443</v>
      </c>
      <c r="H87" s="144">
        <f t="shared" si="5"/>
        <v>4978.9388858522998</v>
      </c>
      <c r="I87" s="145">
        <f t="shared" si="6"/>
        <v>2533883.7788896365</v>
      </c>
    </row>
    <row r="88" spans="3:10">
      <c r="C88" s="46">
        <v>6</v>
      </c>
      <c r="D88" s="147">
        <v>72</v>
      </c>
      <c r="E88" s="144">
        <f t="shared" si="9"/>
        <v>2533883.7788896365</v>
      </c>
      <c r="F88" s="144">
        <f t="shared" si="8"/>
        <v>17673.252474729743</v>
      </c>
      <c r="G88" s="144">
        <f t="shared" si="7"/>
        <v>12669.418894448183</v>
      </c>
      <c r="H88" s="144">
        <f t="shared" si="5"/>
        <v>5003.83358028156</v>
      </c>
      <c r="I88" s="145">
        <f t="shared" si="6"/>
        <v>2528879.9453093549</v>
      </c>
      <c r="J88" s="148">
        <f>+SUM(H77:H88)+SUM(G77:G88)</f>
        <v>212079.02969675692</v>
      </c>
    </row>
    <row r="89" spans="3:10">
      <c r="C89" s="40"/>
      <c r="D89" s="58">
        <v>73</v>
      </c>
      <c r="E89" s="144">
        <f t="shared" si="9"/>
        <v>2528879.9453093549</v>
      </c>
      <c r="F89" s="144">
        <f t="shared" si="8"/>
        <v>17673.252474729743</v>
      </c>
      <c r="G89" s="144">
        <f t="shared" si="7"/>
        <v>12644.399726546775</v>
      </c>
      <c r="H89" s="144">
        <f t="shared" si="5"/>
        <v>5028.8527481829678</v>
      </c>
      <c r="I89" s="145">
        <f t="shared" si="6"/>
        <v>2523851.0925611719</v>
      </c>
    </row>
    <row r="90" spans="3:10">
      <c r="C90" s="40"/>
      <c r="D90" s="58">
        <v>74</v>
      </c>
      <c r="E90" s="144">
        <f t="shared" si="9"/>
        <v>2523851.0925611719</v>
      </c>
      <c r="F90" s="144">
        <f t="shared" si="8"/>
        <v>17673.252474729743</v>
      </c>
      <c r="G90" s="144">
        <f t="shared" si="7"/>
        <v>12619.255462805859</v>
      </c>
      <c r="H90" s="144">
        <f t="shared" si="5"/>
        <v>5053.9970119238842</v>
      </c>
      <c r="I90" s="145">
        <f t="shared" si="6"/>
        <v>2518797.0955492482</v>
      </c>
    </row>
    <row r="91" spans="3:10">
      <c r="C91" s="40"/>
      <c r="D91" s="58">
        <v>75</v>
      </c>
      <c r="E91" s="144">
        <f t="shared" si="9"/>
        <v>2518797.0955492482</v>
      </c>
      <c r="F91" s="144">
        <f t="shared" si="8"/>
        <v>17673.252474729743</v>
      </c>
      <c r="G91" s="144">
        <f t="shared" si="7"/>
        <v>12593.985477746241</v>
      </c>
      <c r="H91" s="144">
        <f t="shared" si="5"/>
        <v>5079.2669969835024</v>
      </c>
      <c r="I91" s="145">
        <f t="shared" si="6"/>
        <v>2513717.8285522647</v>
      </c>
    </row>
    <row r="92" spans="3:10">
      <c r="C92" s="40"/>
      <c r="D92" s="58">
        <v>76</v>
      </c>
      <c r="E92" s="144">
        <f t="shared" si="9"/>
        <v>2513717.8285522647</v>
      </c>
      <c r="F92" s="144">
        <f t="shared" si="8"/>
        <v>17673.252474729743</v>
      </c>
      <c r="G92" s="144">
        <f t="shared" si="7"/>
        <v>12568.589142761324</v>
      </c>
      <c r="H92" s="144">
        <f t="shared" si="5"/>
        <v>5104.6633319684188</v>
      </c>
      <c r="I92" s="145">
        <f t="shared" si="6"/>
        <v>2508613.1652202965</v>
      </c>
    </row>
    <row r="93" spans="3:10">
      <c r="C93" s="40"/>
      <c r="D93" s="58">
        <v>77</v>
      </c>
      <c r="E93" s="144">
        <f t="shared" si="9"/>
        <v>2508613.1652202965</v>
      </c>
      <c r="F93" s="144">
        <f t="shared" si="8"/>
        <v>17673.252474729743</v>
      </c>
      <c r="G93" s="144">
        <f t="shared" si="7"/>
        <v>12543.065826101483</v>
      </c>
      <c r="H93" s="144">
        <f t="shared" si="5"/>
        <v>5130.1866486282597</v>
      </c>
      <c r="I93" s="145">
        <f t="shared" si="6"/>
        <v>2503482.9785716683</v>
      </c>
    </row>
    <row r="94" spans="3:10">
      <c r="C94" s="40"/>
      <c r="D94" s="58">
        <v>78</v>
      </c>
      <c r="E94" s="144">
        <f t="shared" si="9"/>
        <v>2503482.9785716683</v>
      </c>
      <c r="F94" s="144">
        <f t="shared" si="8"/>
        <v>17673.252474729743</v>
      </c>
      <c r="G94" s="144">
        <f t="shared" si="7"/>
        <v>12517.414892858342</v>
      </c>
      <c r="H94" s="144">
        <f t="shared" si="5"/>
        <v>5155.8375818714012</v>
      </c>
      <c r="I94" s="145">
        <f t="shared" si="6"/>
        <v>2498327.1409897967</v>
      </c>
    </row>
    <row r="95" spans="3:10">
      <c r="C95" s="40"/>
      <c r="D95" s="58">
        <v>79</v>
      </c>
      <c r="E95" s="144">
        <f t="shared" si="9"/>
        <v>2498327.1409897967</v>
      </c>
      <c r="F95" s="144">
        <f t="shared" si="8"/>
        <v>17673.252474729743</v>
      </c>
      <c r="G95" s="144">
        <f t="shared" si="7"/>
        <v>12491.635704948983</v>
      </c>
      <c r="H95" s="144">
        <f t="shared" si="5"/>
        <v>5181.6167697807596</v>
      </c>
      <c r="I95" s="145">
        <f t="shared" si="6"/>
        <v>2493145.5242200159</v>
      </c>
      <c r="J95" s="148"/>
    </row>
    <row r="96" spans="3:10">
      <c r="C96" s="40"/>
      <c r="D96" s="58">
        <v>80</v>
      </c>
      <c r="E96" s="144">
        <f t="shared" si="9"/>
        <v>2493145.5242200159</v>
      </c>
      <c r="F96" s="144">
        <f t="shared" si="8"/>
        <v>17673.252474729743</v>
      </c>
      <c r="G96" s="144">
        <f t="shared" si="7"/>
        <v>12465.727621100079</v>
      </c>
      <c r="H96" s="144">
        <f t="shared" si="5"/>
        <v>5207.524853629664</v>
      </c>
      <c r="I96" s="145">
        <f t="shared" si="6"/>
        <v>2487937.9993663863</v>
      </c>
    </row>
    <row r="97" spans="3:10">
      <c r="C97" s="40"/>
      <c r="D97" s="58">
        <v>81</v>
      </c>
      <c r="E97" s="144">
        <f t="shared" si="9"/>
        <v>2487937.9993663863</v>
      </c>
      <c r="F97" s="144">
        <f t="shared" si="8"/>
        <v>17673.252474729743</v>
      </c>
      <c r="G97" s="144">
        <f t="shared" si="7"/>
        <v>12439.689996831932</v>
      </c>
      <c r="H97" s="144">
        <f t="shared" si="5"/>
        <v>5233.5624778978108</v>
      </c>
      <c r="I97" s="145">
        <f t="shared" si="6"/>
        <v>2482704.4368884885</v>
      </c>
    </row>
    <row r="98" spans="3:10">
      <c r="C98" s="40"/>
      <c r="D98" s="58">
        <v>82</v>
      </c>
      <c r="E98" s="144">
        <f t="shared" si="9"/>
        <v>2482704.4368884885</v>
      </c>
      <c r="F98" s="144">
        <f t="shared" si="8"/>
        <v>17673.252474729743</v>
      </c>
      <c r="G98" s="144">
        <f t="shared" si="7"/>
        <v>12413.522184442443</v>
      </c>
      <c r="H98" s="144">
        <f t="shared" si="5"/>
        <v>5259.7302902872998</v>
      </c>
      <c r="I98" s="145">
        <f t="shared" si="6"/>
        <v>2477444.7065982013</v>
      </c>
    </row>
    <row r="99" spans="3:10">
      <c r="C99" s="40"/>
      <c r="D99" s="58">
        <v>83</v>
      </c>
      <c r="E99" s="144">
        <f t="shared" si="9"/>
        <v>2477444.7065982013</v>
      </c>
      <c r="F99" s="144">
        <f t="shared" si="8"/>
        <v>17673.252474729743</v>
      </c>
      <c r="G99" s="144">
        <f t="shared" si="7"/>
        <v>12387.223532991007</v>
      </c>
      <c r="H99" s="144">
        <f t="shared" si="5"/>
        <v>5286.0289417387357</v>
      </c>
      <c r="I99" s="145">
        <f t="shared" si="6"/>
        <v>2472158.6776564624</v>
      </c>
    </row>
    <row r="100" spans="3:10">
      <c r="C100" s="46">
        <v>7</v>
      </c>
      <c r="D100" s="147">
        <v>84</v>
      </c>
      <c r="E100" s="144">
        <f t="shared" si="9"/>
        <v>2472158.6776564624</v>
      </c>
      <c r="F100" s="144">
        <f t="shared" si="8"/>
        <v>17673.252474729743</v>
      </c>
      <c r="G100" s="144">
        <f t="shared" si="7"/>
        <v>12360.793388282313</v>
      </c>
      <c r="H100" s="144">
        <f t="shared" si="5"/>
        <v>5312.4590864474303</v>
      </c>
      <c r="I100" s="145">
        <f t="shared" si="6"/>
        <v>2466846.2185700149</v>
      </c>
      <c r="J100" s="148">
        <f>+SUM(H89:H100)+SUM(G89:G100)</f>
        <v>212079.02969675692</v>
      </c>
    </row>
    <row r="101" spans="3:10">
      <c r="C101" s="40"/>
      <c r="D101" s="58">
        <v>85</v>
      </c>
      <c r="E101" s="144">
        <f t="shared" si="9"/>
        <v>2466846.2185700149</v>
      </c>
      <c r="F101" s="144">
        <f t="shared" si="8"/>
        <v>17673.252474729743</v>
      </c>
      <c r="G101" s="144">
        <f t="shared" si="7"/>
        <v>12334.231092850076</v>
      </c>
      <c r="H101" s="144">
        <f t="shared" si="5"/>
        <v>5339.0213818796674</v>
      </c>
      <c r="I101" s="145">
        <f t="shared" si="6"/>
        <v>2461507.1971881352</v>
      </c>
    </row>
    <row r="102" spans="3:10">
      <c r="C102" s="40"/>
      <c r="D102" s="58">
        <v>86</v>
      </c>
      <c r="E102" s="144">
        <f t="shared" si="9"/>
        <v>2461507.1971881352</v>
      </c>
      <c r="F102" s="144">
        <f t="shared" si="8"/>
        <v>17673.252474729743</v>
      </c>
      <c r="G102" s="144">
        <f t="shared" si="7"/>
        <v>12307.535985940676</v>
      </c>
      <c r="H102" s="144">
        <f t="shared" si="5"/>
        <v>5365.7164887890667</v>
      </c>
      <c r="I102" s="145">
        <f t="shared" si="6"/>
        <v>2456141.4806993464</v>
      </c>
    </row>
    <row r="103" spans="3:10">
      <c r="C103" s="40"/>
      <c r="D103" s="58">
        <v>87</v>
      </c>
      <c r="E103" s="144">
        <f t="shared" si="9"/>
        <v>2456141.4806993464</v>
      </c>
      <c r="F103" s="144">
        <f t="shared" si="8"/>
        <v>17673.252474729743</v>
      </c>
      <c r="G103" s="144">
        <f t="shared" si="7"/>
        <v>12280.707403496732</v>
      </c>
      <c r="H103" s="144">
        <f t="shared" si="5"/>
        <v>5392.5450712330112</v>
      </c>
      <c r="I103" s="145">
        <f t="shared" si="6"/>
        <v>2450748.9356281133</v>
      </c>
    </row>
    <row r="104" spans="3:10">
      <c r="C104" s="40"/>
      <c r="D104" s="58">
        <v>88</v>
      </c>
      <c r="E104" s="144">
        <f t="shared" si="9"/>
        <v>2450748.9356281133</v>
      </c>
      <c r="F104" s="144">
        <f t="shared" si="8"/>
        <v>17673.252474729743</v>
      </c>
      <c r="G104" s="144">
        <f t="shared" si="7"/>
        <v>12253.744678140567</v>
      </c>
      <c r="H104" s="144">
        <f t="shared" si="5"/>
        <v>5419.507796589176</v>
      </c>
      <c r="I104" s="145">
        <f t="shared" si="6"/>
        <v>2445329.4278315241</v>
      </c>
    </row>
    <row r="105" spans="3:10">
      <c r="C105" s="40"/>
      <c r="D105" s="58">
        <v>89</v>
      </c>
      <c r="E105" s="144">
        <f t="shared" si="9"/>
        <v>2445329.4278315241</v>
      </c>
      <c r="F105" s="144">
        <f t="shared" si="8"/>
        <v>17673.252474729743</v>
      </c>
      <c r="G105" s="144">
        <f t="shared" si="7"/>
        <v>12226.64713915762</v>
      </c>
      <c r="H105" s="144">
        <f t="shared" si="5"/>
        <v>5446.6053355721233</v>
      </c>
      <c r="I105" s="145">
        <f t="shared" si="6"/>
        <v>2439882.8224959518</v>
      </c>
    </row>
    <row r="106" spans="3:10">
      <c r="C106" s="40"/>
      <c r="D106" s="58">
        <v>90</v>
      </c>
      <c r="E106" s="144">
        <f t="shared" si="9"/>
        <v>2439882.8224959518</v>
      </c>
      <c r="F106" s="144">
        <f t="shared" si="8"/>
        <v>17673.252474729743</v>
      </c>
      <c r="G106" s="144">
        <f t="shared" si="7"/>
        <v>12199.414112479759</v>
      </c>
      <c r="H106" s="144">
        <f t="shared" si="5"/>
        <v>5473.8383622499841</v>
      </c>
      <c r="I106" s="145">
        <f t="shared" si="6"/>
        <v>2434408.9841337018</v>
      </c>
    </row>
    <row r="107" spans="3:10">
      <c r="C107" s="40"/>
      <c r="D107" s="58">
        <v>91</v>
      </c>
      <c r="E107" s="144">
        <f t="shared" si="9"/>
        <v>2434408.9841337018</v>
      </c>
      <c r="F107" s="144">
        <f t="shared" si="8"/>
        <v>17673.252474729743</v>
      </c>
      <c r="G107" s="144">
        <f t="shared" si="7"/>
        <v>12172.04492066851</v>
      </c>
      <c r="H107" s="144">
        <f t="shared" si="5"/>
        <v>5501.2075540612332</v>
      </c>
      <c r="I107" s="145">
        <f t="shared" si="6"/>
        <v>2428907.7765796403</v>
      </c>
    </row>
    <row r="108" spans="3:10">
      <c r="C108" s="40"/>
      <c r="D108" s="58">
        <v>92</v>
      </c>
      <c r="E108" s="144">
        <f t="shared" si="9"/>
        <v>2428907.7765796403</v>
      </c>
      <c r="F108" s="144">
        <f t="shared" si="8"/>
        <v>17673.252474729743</v>
      </c>
      <c r="G108" s="144">
        <f t="shared" si="7"/>
        <v>12144.538882898201</v>
      </c>
      <c r="H108" s="144">
        <f t="shared" si="5"/>
        <v>5528.7135918315416</v>
      </c>
      <c r="I108" s="145">
        <f t="shared" si="6"/>
        <v>2423379.0629878086</v>
      </c>
    </row>
    <row r="109" spans="3:10">
      <c r="C109" s="40"/>
      <c r="D109" s="58">
        <v>93</v>
      </c>
      <c r="E109" s="144">
        <f t="shared" si="9"/>
        <v>2423379.0629878086</v>
      </c>
      <c r="F109" s="144">
        <f t="shared" si="8"/>
        <v>17673.252474729743</v>
      </c>
      <c r="G109" s="144">
        <f t="shared" si="7"/>
        <v>12116.895314939044</v>
      </c>
      <c r="H109" s="144">
        <f t="shared" si="5"/>
        <v>5556.3571597906994</v>
      </c>
      <c r="I109" s="145">
        <f t="shared" si="6"/>
        <v>2417822.705828018</v>
      </c>
    </row>
    <row r="110" spans="3:10">
      <c r="C110" s="40"/>
      <c r="D110" s="58">
        <v>94</v>
      </c>
      <c r="E110" s="144">
        <f t="shared" si="9"/>
        <v>2417822.705828018</v>
      </c>
      <c r="F110" s="144">
        <f t="shared" si="8"/>
        <v>17673.252474729743</v>
      </c>
      <c r="G110" s="144">
        <f t="shared" si="7"/>
        <v>12089.11352914009</v>
      </c>
      <c r="H110" s="144">
        <f t="shared" si="5"/>
        <v>5584.1389455896533</v>
      </c>
      <c r="I110" s="145">
        <f t="shared" si="6"/>
        <v>2412238.5668824282</v>
      </c>
    </row>
    <row r="111" spans="3:10">
      <c r="C111" s="40"/>
      <c r="D111" s="58">
        <v>95</v>
      </c>
      <c r="E111" s="144">
        <f t="shared" si="9"/>
        <v>2412238.5668824282</v>
      </c>
      <c r="F111" s="144">
        <f t="shared" si="8"/>
        <v>17673.252474729743</v>
      </c>
      <c r="G111" s="144">
        <f t="shared" si="7"/>
        <v>12061.192834412141</v>
      </c>
      <c r="H111" s="144">
        <f t="shared" si="5"/>
        <v>5612.0596403176023</v>
      </c>
      <c r="I111" s="145">
        <f t="shared" si="6"/>
        <v>2406626.5072421106</v>
      </c>
    </row>
    <row r="112" spans="3:10">
      <c r="C112" s="46">
        <v>8</v>
      </c>
      <c r="D112" s="147">
        <v>96</v>
      </c>
      <c r="E112" s="144">
        <f t="shared" si="9"/>
        <v>2406626.5072421106</v>
      </c>
      <c r="F112" s="144">
        <f t="shared" si="8"/>
        <v>17673.252474729743</v>
      </c>
      <c r="G112" s="144">
        <f t="shared" si="7"/>
        <v>12033.132536210553</v>
      </c>
      <c r="H112" s="144">
        <f t="shared" si="5"/>
        <v>5640.1199385191903</v>
      </c>
      <c r="I112" s="145">
        <f t="shared" si="6"/>
        <v>2400986.3873035912</v>
      </c>
      <c r="J112" s="148">
        <f>+SUM(H101:H112)+SUM(G101:G112)</f>
        <v>212079.02969675692</v>
      </c>
    </row>
    <row r="113" spans="3:10">
      <c r="C113" s="40"/>
      <c r="D113" s="58">
        <v>97</v>
      </c>
      <c r="E113" s="144">
        <f t="shared" si="9"/>
        <v>2400986.3873035912</v>
      </c>
      <c r="F113" s="144">
        <f t="shared" si="8"/>
        <v>17673.252474729743</v>
      </c>
      <c r="G113" s="144">
        <f t="shared" si="7"/>
        <v>12004.931936517956</v>
      </c>
      <c r="H113" s="144">
        <f t="shared" si="5"/>
        <v>5668.3205382117867</v>
      </c>
      <c r="I113" s="145">
        <f t="shared" si="6"/>
        <v>2395318.0667653796</v>
      </c>
    </row>
    <row r="114" spans="3:10">
      <c r="C114" s="40"/>
      <c r="D114" s="58">
        <v>98</v>
      </c>
      <c r="E114" s="144">
        <f t="shared" si="9"/>
        <v>2395318.0667653796</v>
      </c>
      <c r="F114" s="144">
        <f t="shared" si="8"/>
        <v>17673.252474729743</v>
      </c>
      <c r="G114" s="144">
        <f t="shared" si="7"/>
        <v>11976.590333826898</v>
      </c>
      <c r="H114" s="144">
        <f t="shared" si="5"/>
        <v>5696.6621409028448</v>
      </c>
      <c r="I114" s="145">
        <f t="shared" si="6"/>
        <v>2389621.4046244766</v>
      </c>
    </row>
    <row r="115" spans="3:10">
      <c r="C115" s="40"/>
      <c r="D115" s="58">
        <v>99</v>
      </c>
      <c r="E115" s="144">
        <f t="shared" si="9"/>
        <v>2389621.4046244766</v>
      </c>
      <c r="F115" s="144">
        <f t="shared" si="8"/>
        <v>17673.252474729743</v>
      </c>
      <c r="G115" s="144">
        <f t="shared" si="7"/>
        <v>11948.107023122384</v>
      </c>
      <c r="H115" s="144">
        <f t="shared" si="5"/>
        <v>5725.1454516073591</v>
      </c>
      <c r="I115" s="145">
        <f t="shared" si="6"/>
        <v>2383896.2591728694</v>
      </c>
    </row>
    <row r="116" spans="3:10">
      <c r="C116" s="40"/>
      <c r="D116" s="58">
        <v>100</v>
      </c>
      <c r="E116" s="144">
        <f t="shared" si="9"/>
        <v>2383896.2591728694</v>
      </c>
      <c r="F116" s="144">
        <f t="shared" si="8"/>
        <v>17673.252474729743</v>
      </c>
      <c r="G116" s="144">
        <f t="shared" si="7"/>
        <v>11919.481295864347</v>
      </c>
      <c r="H116" s="144">
        <f t="shared" si="5"/>
        <v>5753.771178865396</v>
      </c>
      <c r="I116" s="145">
        <f t="shared" si="6"/>
        <v>2378142.487994004</v>
      </c>
    </row>
    <row r="117" spans="3:10">
      <c r="C117" s="40"/>
      <c r="D117" s="58">
        <v>101</v>
      </c>
      <c r="E117" s="144">
        <f t="shared" si="9"/>
        <v>2378142.487994004</v>
      </c>
      <c r="F117" s="144">
        <f t="shared" si="8"/>
        <v>17673.252474729743</v>
      </c>
      <c r="G117" s="144">
        <f t="shared" si="7"/>
        <v>11890.712439970021</v>
      </c>
      <c r="H117" s="144">
        <f t="shared" si="5"/>
        <v>5782.5400347597224</v>
      </c>
      <c r="I117" s="145">
        <f t="shared" si="6"/>
        <v>2372359.9479592443</v>
      </c>
    </row>
    <row r="118" spans="3:10">
      <c r="C118" s="40"/>
      <c r="D118" s="58">
        <v>102</v>
      </c>
      <c r="E118" s="144">
        <f t="shared" si="9"/>
        <v>2372359.9479592443</v>
      </c>
      <c r="F118" s="144">
        <f t="shared" si="8"/>
        <v>17673.252474729743</v>
      </c>
      <c r="G118" s="144">
        <f t="shared" si="7"/>
        <v>11861.799739796221</v>
      </c>
      <c r="H118" s="144">
        <f t="shared" si="5"/>
        <v>5811.4527349335222</v>
      </c>
      <c r="I118" s="145">
        <f t="shared" si="6"/>
        <v>2366548.4952243106</v>
      </c>
    </row>
    <row r="119" spans="3:10">
      <c r="C119" s="40"/>
      <c r="D119" s="58">
        <v>103</v>
      </c>
      <c r="E119" s="144">
        <f t="shared" si="9"/>
        <v>2366548.4952243106</v>
      </c>
      <c r="F119" s="144">
        <f t="shared" si="8"/>
        <v>17673.252474729743</v>
      </c>
      <c r="G119" s="144">
        <f t="shared" si="7"/>
        <v>11832.742476121553</v>
      </c>
      <c r="H119" s="144">
        <f t="shared" si="5"/>
        <v>5840.5099986081896</v>
      </c>
      <c r="I119" s="145">
        <f t="shared" si="6"/>
        <v>2360707.9852257022</v>
      </c>
    </row>
    <row r="120" spans="3:10">
      <c r="C120" s="40"/>
      <c r="D120" s="58">
        <v>104</v>
      </c>
      <c r="E120" s="144">
        <f t="shared" si="9"/>
        <v>2360707.9852257022</v>
      </c>
      <c r="F120" s="144">
        <f t="shared" si="8"/>
        <v>17673.252474729743</v>
      </c>
      <c r="G120" s="144">
        <f t="shared" si="7"/>
        <v>11803.539926128511</v>
      </c>
      <c r="H120" s="144">
        <f t="shared" si="5"/>
        <v>5869.7125486012319</v>
      </c>
      <c r="I120" s="145">
        <f t="shared" si="6"/>
        <v>2354838.2726771007</v>
      </c>
    </row>
    <row r="121" spans="3:10">
      <c r="C121" s="40"/>
      <c r="D121" s="58">
        <v>105</v>
      </c>
      <c r="E121" s="144">
        <f t="shared" si="9"/>
        <v>2354838.2726771007</v>
      </c>
      <c r="F121" s="144">
        <f t="shared" si="8"/>
        <v>17673.252474729743</v>
      </c>
      <c r="G121" s="144">
        <f t="shared" si="7"/>
        <v>11774.191363385504</v>
      </c>
      <c r="H121" s="144">
        <f t="shared" si="5"/>
        <v>5899.0611113442392</v>
      </c>
      <c r="I121" s="145">
        <f t="shared" si="6"/>
        <v>2348939.2115657567</v>
      </c>
    </row>
    <row r="122" spans="3:10">
      <c r="C122" s="40"/>
      <c r="D122" s="58">
        <v>106</v>
      </c>
      <c r="E122" s="144">
        <f t="shared" si="9"/>
        <v>2348939.2115657567</v>
      </c>
      <c r="F122" s="144">
        <f t="shared" si="8"/>
        <v>17673.252474729743</v>
      </c>
      <c r="G122" s="144">
        <f t="shared" si="7"/>
        <v>11744.696057828784</v>
      </c>
      <c r="H122" s="144">
        <f t="shared" si="5"/>
        <v>5928.5564169009594</v>
      </c>
      <c r="I122" s="145">
        <f t="shared" si="6"/>
        <v>2343010.6551488559</v>
      </c>
    </row>
    <row r="123" spans="3:10">
      <c r="C123" s="40"/>
      <c r="D123" s="58">
        <v>107</v>
      </c>
      <c r="E123" s="144">
        <f t="shared" si="9"/>
        <v>2343010.6551488559</v>
      </c>
      <c r="F123" s="144">
        <f t="shared" si="8"/>
        <v>17673.252474729743</v>
      </c>
      <c r="G123" s="144">
        <f t="shared" si="7"/>
        <v>11715.05327574428</v>
      </c>
      <c r="H123" s="144">
        <f t="shared" si="5"/>
        <v>5958.1991989854632</v>
      </c>
      <c r="I123" s="145">
        <f t="shared" si="6"/>
        <v>2337052.4559498704</v>
      </c>
    </row>
    <row r="124" spans="3:10">
      <c r="C124" s="46">
        <v>9</v>
      </c>
      <c r="D124" s="147">
        <v>108</v>
      </c>
      <c r="E124" s="144">
        <f t="shared" si="9"/>
        <v>2337052.4559498704</v>
      </c>
      <c r="F124" s="144">
        <f t="shared" si="8"/>
        <v>17673.252474729743</v>
      </c>
      <c r="G124" s="144">
        <f t="shared" si="7"/>
        <v>11685.262279749351</v>
      </c>
      <c r="H124" s="144">
        <f t="shared" si="5"/>
        <v>5987.9901949803916</v>
      </c>
      <c r="I124" s="145">
        <f t="shared" si="6"/>
        <v>2331064.4657548899</v>
      </c>
      <c r="J124" s="148">
        <f>+SUM(H113:H124)+SUM(G113:G124)</f>
        <v>212079.02969675692</v>
      </c>
    </row>
    <row r="125" spans="3:10">
      <c r="C125" s="40"/>
      <c r="D125" s="58">
        <v>109</v>
      </c>
      <c r="E125" s="144">
        <f t="shared" si="9"/>
        <v>2331064.4657548899</v>
      </c>
      <c r="F125" s="144">
        <f t="shared" si="8"/>
        <v>17673.252474729743</v>
      </c>
      <c r="G125" s="144">
        <f t="shared" si="7"/>
        <v>11655.322328774449</v>
      </c>
      <c r="H125" s="144">
        <f t="shared" si="5"/>
        <v>6017.9301459552935</v>
      </c>
      <c r="I125" s="145">
        <f t="shared" si="6"/>
        <v>2325046.5356089347</v>
      </c>
    </row>
    <row r="126" spans="3:10">
      <c r="C126" s="40"/>
      <c r="D126" s="58">
        <v>110</v>
      </c>
      <c r="E126" s="144">
        <f t="shared" si="9"/>
        <v>2325046.5356089347</v>
      </c>
      <c r="F126" s="144">
        <f t="shared" si="8"/>
        <v>17673.252474729743</v>
      </c>
      <c r="G126" s="144">
        <f t="shared" si="7"/>
        <v>11625.232678044673</v>
      </c>
      <c r="H126" s="144">
        <f t="shared" si="5"/>
        <v>6048.0197966850701</v>
      </c>
      <c r="I126" s="145">
        <f t="shared" si="6"/>
        <v>2318998.5158122499</v>
      </c>
    </row>
    <row r="127" spans="3:10">
      <c r="C127" s="40"/>
      <c r="D127" s="58">
        <v>111</v>
      </c>
      <c r="E127" s="144">
        <f t="shared" si="9"/>
        <v>2318998.5158122499</v>
      </c>
      <c r="F127" s="144">
        <f t="shared" si="8"/>
        <v>17673.252474729743</v>
      </c>
      <c r="G127" s="144">
        <f t="shared" si="7"/>
        <v>11594.992579061249</v>
      </c>
      <c r="H127" s="144">
        <f t="shared" si="5"/>
        <v>6078.2598956684942</v>
      </c>
      <c r="I127" s="145">
        <f t="shared" si="6"/>
        <v>2312920.2559165815</v>
      </c>
    </row>
    <row r="128" spans="3:10">
      <c r="C128" s="40"/>
      <c r="D128" s="58">
        <v>112</v>
      </c>
      <c r="E128" s="144">
        <f t="shared" si="9"/>
        <v>2312920.2559165815</v>
      </c>
      <c r="F128" s="144">
        <f t="shared" si="8"/>
        <v>17673.252474729743</v>
      </c>
      <c r="G128" s="144">
        <f t="shared" si="7"/>
        <v>11564.601279582908</v>
      </c>
      <c r="H128" s="144">
        <f t="shared" si="5"/>
        <v>6108.6511951468347</v>
      </c>
      <c r="I128" s="145">
        <f t="shared" si="6"/>
        <v>2306811.6047214349</v>
      </c>
    </row>
    <row r="129" spans="3:10">
      <c r="C129" s="40"/>
      <c r="D129" s="58">
        <v>113</v>
      </c>
      <c r="E129" s="144">
        <f t="shared" si="9"/>
        <v>2306811.6047214349</v>
      </c>
      <c r="F129" s="144">
        <f t="shared" si="8"/>
        <v>17673.252474729743</v>
      </c>
      <c r="G129" s="144">
        <f t="shared" si="7"/>
        <v>11534.058023607175</v>
      </c>
      <c r="H129" s="144">
        <f t="shared" si="5"/>
        <v>6139.1944511225684</v>
      </c>
      <c r="I129" s="145">
        <f t="shared" si="6"/>
        <v>2300672.4102703123</v>
      </c>
    </row>
    <row r="130" spans="3:10">
      <c r="C130" s="40"/>
      <c r="D130" s="58">
        <v>114</v>
      </c>
      <c r="E130" s="144">
        <f t="shared" si="9"/>
        <v>2300672.4102703123</v>
      </c>
      <c r="F130" s="144">
        <f t="shared" si="8"/>
        <v>17673.252474729743</v>
      </c>
      <c r="G130" s="144">
        <f t="shared" si="7"/>
        <v>11503.362051351562</v>
      </c>
      <c r="H130" s="144">
        <f t="shared" si="5"/>
        <v>6169.8904233781814</v>
      </c>
      <c r="I130" s="145">
        <f t="shared" si="6"/>
        <v>2294502.5198469344</v>
      </c>
    </row>
    <row r="131" spans="3:10">
      <c r="C131" s="40"/>
      <c r="D131" s="58">
        <v>115</v>
      </c>
      <c r="E131" s="144">
        <f t="shared" si="9"/>
        <v>2294502.5198469344</v>
      </c>
      <c r="F131" s="144">
        <f t="shared" si="8"/>
        <v>17673.252474729743</v>
      </c>
      <c r="G131" s="144">
        <f t="shared" si="7"/>
        <v>11472.512599234671</v>
      </c>
      <c r="H131" s="144">
        <f t="shared" si="5"/>
        <v>6200.7398754950718</v>
      </c>
      <c r="I131" s="145">
        <f t="shared" si="6"/>
        <v>2288301.7799714394</v>
      </c>
    </row>
    <row r="132" spans="3:10">
      <c r="C132" s="40"/>
      <c r="D132" s="58">
        <v>116</v>
      </c>
      <c r="E132" s="144">
        <f t="shared" si="9"/>
        <v>2288301.7799714394</v>
      </c>
      <c r="F132" s="144">
        <f t="shared" si="8"/>
        <v>17673.252474729743</v>
      </c>
      <c r="G132" s="144">
        <f t="shared" si="7"/>
        <v>11441.508899857197</v>
      </c>
      <c r="H132" s="144">
        <f t="shared" si="5"/>
        <v>6231.7435748725457</v>
      </c>
      <c r="I132" s="145">
        <f t="shared" si="6"/>
        <v>2282070.0363965668</v>
      </c>
    </row>
    <row r="133" spans="3:10">
      <c r="C133" s="40"/>
      <c r="D133" s="58">
        <v>117</v>
      </c>
      <c r="E133" s="144">
        <f t="shared" si="9"/>
        <v>2282070.0363965668</v>
      </c>
      <c r="F133" s="144">
        <f t="shared" si="8"/>
        <v>17673.252474729743</v>
      </c>
      <c r="G133" s="144">
        <f t="shared" si="7"/>
        <v>11410.350181982834</v>
      </c>
      <c r="H133" s="144">
        <f t="shared" si="5"/>
        <v>6262.9022927469086</v>
      </c>
      <c r="I133" s="145">
        <f t="shared" si="6"/>
        <v>2275807.1341038197</v>
      </c>
    </row>
    <row r="134" spans="3:10">
      <c r="C134" s="40"/>
      <c r="D134" s="58">
        <v>118</v>
      </c>
      <c r="E134" s="144">
        <f t="shared" si="9"/>
        <v>2275807.1341038197</v>
      </c>
      <c r="F134" s="144">
        <f t="shared" si="8"/>
        <v>17673.252474729743</v>
      </c>
      <c r="G134" s="144">
        <f t="shared" si="7"/>
        <v>11379.035670519099</v>
      </c>
      <c r="H134" s="144">
        <f t="shared" si="5"/>
        <v>6294.2168042106441</v>
      </c>
      <c r="I134" s="145">
        <f t="shared" si="6"/>
        <v>2269512.9172996092</v>
      </c>
    </row>
    <row r="135" spans="3:10">
      <c r="C135" s="40"/>
      <c r="D135" s="58">
        <v>119</v>
      </c>
      <c r="E135" s="144">
        <f t="shared" si="9"/>
        <v>2269512.9172996092</v>
      </c>
      <c r="F135" s="144">
        <f t="shared" si="8"/>
        <v>17673.252474729743</v>
      </c>
      <c r="G135" s="144">
        <f t="shared" si="7"/>
        <v>11347.564586498045</v>
      </c>
      <c r="H135" s="144">
        <f t="shared" si="5"/>
        <v>6325.6878882316978</v>
      </c>
      <c r="I135" s="145">
        <f t="shared" si="6"/>
        <v>2263187.2294113776</v>
      </c>
    </row>
    <row r="136" spans="3:10">
      <c r="C136" s="46">
        <v>10</v>
      </c>
      <c r="D136" s="147">
        <v>120</v>
      </c>
      <c r="E136" s="144">
        <f t="shared" si="9"/>
        <v>2263187.2294113776</v>
      </c>
      <c r="F136" s="144">
        <f t="shared" si="8"/>
        <v>17673.252474729743</v>
      </c>
      <c r="G136" s="144">
        <f t="shared" si="7"/>
        <v>11315.936147056887</v>
      </c>
      <c r="H136" s="144">
        <f t="shared" si="5"/>
        <v>6357.3163276728556</v>
      </c>
      <c r="I136" s="145">
        <f t="shared" si="6"/>
        <v>2256829.9130837047</v>
      </c>
      <c r="J136" s="148">
        <f>+SUM(H125:H136)+SUM(G125:G136)</f>
        <v>212079.02969675692</v>
      </c>
    </row>
    <row r="137" spans="3:10">
      <c r="C137" s="40"/>
      <c r="D137" s="58">
        <v>121</v>
      </c>
      <c r="E137" s="144">
        <f t="shared" si="9"/>
        <v>2256829.9130837047</v>
      </c>
      <c r="F137" s="144">
        <f t="shared" si="8"/>
        <v>17673.252474729743</v>
      </c>
      <c r="G137" s="144">
        <f t="shared" si="7"/>
        <v>11284.149565418524</v>
      </c>
      <c r="H137" s="144">
        <f t="shared" si="5"/>
        <v>6389.1029093112193</v>
      </c>
      <c r="I137" s="145">
        <f t="shared" si="6"/>
        <v>2250440.8101743935</v>
      </c>
    </row>
    <row r="138" spans="3:10">
      <c r="C138" s="40"/>
      <c r="D138" s="58">
        <v>122</v>
      </c>
      <c r="E138" s="144">
        <f t="shared" si="9"/>
        <v>2250440.8101743935</v>
      </c>
      <c r="F138" s="144">
        <f t="shared" si="8"/>
        <v>17673.252474729743</v>
      </c>
      <c r="G138" s="144">
        <f t="shared" si="7"/>
        <v>11252.204050871967</v>
      </c>
      <c r="H138" s="144">
        <f t="shared" si="5"/>
        <v>6421.0484238577756</v>
      </c>
      <c r="I138" s="145">
        <f t="shared" si="6"/>
        <v>2244019.7617505356</v>
      </c>
    </row>
    <row r="139" spans="3:10">
      <c r="C139" s="40"/>
      <c r="D139" s="58">
        <v>123</v>
      </c>
      <c r="E139" s="144">
        <f t="shared" si="9"/>
        <v>2244019.7617505356</v>
      </c>
      <c r="F139" s="144">
        <f t="shared" si="8"/>
        <v>17673.252474729743</v>
      </c>
      <c r="G139" s="144">
        <f t="shared" si="7"/>
        <v>11220.098808752678</v>
      </c>
      <c r="H139" s="144">
        <f t="shared" si="5"/>
        <v>6453.1536659770645</v>
      </c>
      <c r="I139" s="145">
        <f t="shared" si="6"/>
        <v>2237566.6080845585</v>
      </c>
    </row>
    <row r="140" spans="3:10">
      <c r="C140" s="40"/>
      <c r="D140" s="58">
        <v>124</v>
      </c>
      <c r="E140" s="144">
        <f t="shared" si="9"/>
        <v>2237566.6080845585</v>
      </c>
      <c r="F140" s="144">
        <f t="shared" si="8"/>
        <v>17673.252474729743</v>
      </c>
      <c r="G140" s="144">
        <f t="shared" si="7"/>
        <v>11187.833040422793</v>
      </c>
      <c r="H140" s="144">
        <f t="shared" si="5"/>
        <v>6485.4194343069503</v>
      </c>
      <c r="I140" s="145">
        <f t="shared" si="6"/>
        <v>2231081.1886502514</v>
      </c>
    </row>
    <row r="141" spans="3:10">
      <c r="C141" s="40"/>
      <c r="D141" s="58">
        <v>125</v>
      </c>
      <c r="E141" s="144">
        <f t="shared" si="9"/>
        <v>2231081.1886502514</v>
      </c>
      <c r="F141" s="144">
        <f t="shared" si="8"/>
        <v>17673.252474729743</v>
      </c>
      <c r="G141" s="144">
        <f t="shared" si="7"/>
        <v>11155.405943251257</v>
      </c>
      <c r="H141" s="144">
        <f t="shared" si="5"/>
        <v>6517.8465314784862</v>
      </c>
      <c r="I141" s="145">
        <f t="shared" si="6"/>
        <v>2224563.3421187727</v>
      </c>
    </row>
    <row r="142" spans="3:10">
      <c r="C142" s="40"/>
      <c r="D142" s="58">
        <v>126</v>
      </c>
      <c r="E142" s="144">
        <f t="shared" si="9"/>
        <v>2224563.3421187727</v>
      </c>
      <c r="F142" s="144">
        <f t="shared" si="8"/>
        <v>17673.252474729743</v>
      </c>
      <c r="G142" s="144">
        <f t="shared" si="7"/>
        <v>11122.816710593863</v>
      </c>
      <c r="H142" s="144">
        <f t="shared" si="5"/>
        <v>6550.4357641358802</v>
      </c>
      <c r="I142" s="145">
        <f t="shared" si="6"/>
        <v>2218012.9063546369</v>
      </c>
    </row>
    <row r="143" spans="3:10">
      <c r="C143" s="40"/>
      <c r="D143" s="58">
        <v>127</v>
      </c>
      <c r="E143" s="144">
        <f t="shared" si="9"/>
        <v>2218012.9063546369</v>
      </c>
      <c r="F143" s="144">
        <f t="shared" si="8"/>
        <v>17673.252474729743</v>
      </c>
      <c r="G143" s="144">
        <f t="shared" si="7"/>
        <v>11090.064531773185</v>
      </c>
      <c r="H143" s="144">
        <f t="shared" si="5"/>
        <v>6583.1879429565579</v>
      </c>
      <c r="I143" s="145">
        <f t="shared" si="6"/>
        <v>2211429.7184116803</v>
      </c>
    </row>
    <row r="144" spans="3:10">
      <c r="C144" s="40"/>
      <c r="D144" s="58">
        <v>128</v>
      </c>
      <c r="E144" s="144">
        <f t="shared" si="9"/>
        <v>2211429.7184116803</v>
      </c>
      <c r="F144" s="144">
        <f t="shared" si="8"/>
        <v>17673.252474729743</v>
      </c>
      <c r="G144" s="144">
        <f t="shared" si="7"/>
        <v>11057.148592058402</v>
      </c>
      <c r="H144" s="144">
        <f t="shared" si="5"/>
        <v>6616.1038826713411</v>
      </c>
      <c r="I144" s="145">
        <f t="shared" si="6"/>
        <v>2204813.614529009</v>
      </c>
    </row>
    <row r="145" spans="3:10">
      <c r="C145" s="40"/>
      <c r="D145" s="58">
        <v>129</v>
      </c>
      <c r="E145" s="144">
        <f t="shared" si="9"/>
        <v>2204813.614529009</v>
      </c>
      <c r="F145" s="144">
        <f t="shared" si="8"/>
        <v>17673.252474729743</v>
      </c>
      <c r="G145" s="144">
        <f t="shared" si="7"/>
        <v>11024.068072645045</v>
      </c>
      <c r="H145" s="144">
        <f t="shared" ref="H145:H208" si="10">F145-G145</f>
        <v>6649.1844020846984</v>
      </c>
      <c r="I145" s="145">
        <f t="shared" ref="I145:I208" si="11">E145-H145</f>
        <v>2198164.4301269241</v>
      </c>
    </row>
    <row r="146" spans="3:10">
      <c r="C146" s="40"/>
      <c r="D146" s="58">
        <v>130</v>
      </c>
      <c r="E146" s="144">
        <f t="shared" si="9"/>
        <v>2198164.4301269241</v>
      </c>
      <c r="F146" s="144">
        <f t="shared" si="8"/>
        <v>17673.252474729743</v>
      </c>
      <c r="G146" s="144">
        <f t="shared" ref="G146:G209" si="12">IF(D146&gt;$D$10,0,($D$6/12)*I145)</f>
        <v>10990.82215063462</v>
      </c>
      <c r="H146" s="144">
        <f t="shared" si="10"/>
        <v>6682.4303240951231</v>
      </c>
      <c r="I146" s="145">
        <f t="shared" si="11"/>
        <v>2191481.9998028288</v>
      </c>
    </row>
    <row r="147" spans="3:10">
      <c r="C147" s="40"/>
      <c r="D147" s="58">
        <v>131</v>
      </c>
      <c r="E147" s="144">
        <f t="shared" si="9"/>
        <v>2191481.9998028288</v>
      </c>
      <c r="F147" s="144">
        <f t="shared" si="8"/>
        <v>17673.252474729743</v>
      </c>
      <c r="G147" s="144">
        <f t="shared" si="12"/>
        <v>10957.409999014144</v>
      </c>
      <c r="H147" s="144">
        <f t="shared" si="10"/>
        <v>6715.842475715599</v>
      </c>
      <c r="I147" s="145">
        <f t="shared" si="11"/>
        <v>2184766.1573271132</v>
      </c>
    </row>
    <row r="148" spans="3:10">
      <c r="C148" s="46">
        <v>11</v>
      </c>
      <c r="D148" s="147">
        <v>132</v>
      </c>
      <c r="E148" s="144">
        <f t="shared" si="9"/>
        <v>2184766.1573271132</v>
      </c>
      <c r="F148" s="144">
        <f t="shared" si="8"/>
        <v>17673.252474729743</v>
      </c>
      <c r="G148" s="144">
        <f t="shared" si="12"/>
        <v>10923.830786635566</v>
      </c>
      <c r="H148" s="144">
        <f t="shared" si="10"/>
        <v>6749.4216880941767</v>
      </c>
      <c r="I148" s="145">
        <f t="shared" si="11"/>
        <v>2178016.7356390189</v>
      </c>
      <c r="J148" s="148">
        <f>+SUM(H137:H148)+SUM(G137:G148)</f>
        <v>212079.02969675692</v>
      </c>
    </row>
    <row r="149" spans="3:10">
      <c r="C149" s="40"/>
      <c r="D149" s="58">
        <v>133</v>
      </c>
      <c r="E149" s="144">
        <f t="shared" si="9"/>
        <v>2178016.7356390189</v>
      </c>
      <c r="F149" s="144">
        <f t="shared" ref="F149:F212" si="13">IF(D149&gt;$D$10,0,IF(D149&lt;=$D$8,G149,-PMT($D$6/12,$D$9,$D$5,0,0)))</f>
        <v>17673.252474729743</v>
      </c>
      <c r="G149" s="144">
        <f t="shared" si="12"/>
        <v>10890.083678195095</v>
      </c>
      <c r="H149" s="144">
        <f t="shared" si="10"/>
        <v>6783.1687965346482</v>
      </c>
      <c r="I149" s="145">
        <f t="shared" si="11"/>
        <v>2171233.5668424843</v>
      </c>
    </row>
    <row r="150" spans="3:10">
      <c r="C150" s="40"/>
      <c r="D150" s="58">
        <v>134</v>
      </c>
      <c r="E150" s="144">
        <f t="shared" ref="E150:E213" si="14">IF(D150&gt;$D$10,0,I149)</f>
        <v>2171233.5668424843</v>
      </c>
      <c r="F150" s="144">
        <f t="shared" si="13"/>
        <v>17673.252474729743</v>
      </c>
      <c r="G150" s="144">
        <f t="shared" si="12"/>
        <v>10856.167834212421</v>
      </c>
      <c r="H150" s="144">
        <f t="shared" si="10"/>
        <v>6817.0846405173215</v>
      </c>
      <c r="I150" s="145">
        <f t="shared" si="11"/>
        <v>2164416.4822019669</v>
      </c>
    </row>
    <row r="151" spans="3:10">
      <c r="C151" s="40"/>
      <c r="D151" s="58">
        <v>135</v>
      </c>
      <c r="E151" s="144">
        <f t="shared" si="14"/>
        <v>2164416.4822019669</v>
      </c>
      <c r="F151" s="144">
        <f t="shared" si="13"/>
        <v>17673.252474729743</v>
      </c>
      <c r="G151" s="144">
        <f t="shared" si="12"/>
        <v>10822.082411009835</v>
      </c>
      <c r="H151" s="144">
        <f t="shared" si="10"/>
        <v>6851.1700637199083</v>
      </c>
      <c r="I151" s="145">
        <f t="shared" si="11"/>
        <v>2157565.3121382468</v>
      </c>
    </row>
    <row r="152" spans="3:10">
      <c r="C152" s="40"/>
      <c r="D152" s="58">
        <v>136</v>
      </c>
      <c r="E152" s="144">
        <f t="shared" si="14"/>
        <v>2157565.3121382468</v>
      </c>
      <c r="F152" s="144">
        <f t="shared" si="13"/>
        <v>17673.252474729743</v>
      </c>
      <c r="G152" s="144">
        <f t="shared" si="12"/>
        <v>10787.826560691234</v>
      </c>
      <c r="H152" s="144">
        <f t="shared" si="10"/>
        <v>6885.4259140385093</v>
      </c>
      <c r="I152" s="145">
        <f t="shared" si="11"/>
        <v>2150679.8862242084</v>
      </c>
    </row>
    <row r="153" spans="3:10">
      <c r="C153" s="40"/>
      <c r="D153" s="58">
        <v>137</v>
      </c>
      <c r="E153" s="144">
        <f t="shared" si="14"/>
        <v>2150679.8862242084</v>
      </c>
      <c r="F153" s="144">
        <f t="shared" si="13"/>
        <v>17673.252474729743</v>
      </c>
      <c r="G153" s="144">
        <f t="shared" si="12"/>
        <v>10753.399431121043</v>
      </c>
      <c r="H153" s="144">
        <f t="shared" si="10"/>
        <v>6919.8530436087003</v>
      </c>
      <c r="I153" s="145">
        <f t="shared" si="11"/>
        <v>2143760.0331805996</v>
      </c>
    </row>
    <row r="154" spans="3:10">
      <c r="C154" s="40"/>
      <c r="D154" s="58">
        <v>138</v>
      </c>
      <c r="E154" s="144">
        <f t="shared" si="14"/>
        <v>2143760.0331805996</v>
      </c>
      <c r="F154" s="144">
        <f t="shared" si="13"/>
        <v>17673.252474729743</v>
      </c>
      <c r="G154" s="144">
        <f t="shared" si="12"/>
        <v>10718.800165902998</v>
      </c>
      <c r="H154" s="144">
        <f t="shared" si="10"/>
        <v>6954.4523088267451</v>
      </c>
      <c r="I154" s="145">
        <f t="shared" si="11"/>
        <v>2136805.580871773</v>
      </c>
    </row>
    <row r="155" spans="3:10">
      <c r="C155" s="40"/>
      <c r="D155" s="58">
        <v>139</v>
      </c>
      <c r="E155" s="144">
        <f t="shared" si="14"/>
        <v>2136805.580871773</v>
      </c>
      <c r="F155" s="144">
        <f t="shared" si="13"/>
        <v>17673.252474729743</v>
      </c>
      <c r="G155" s="144">
        <f t="shared" si="12"/>
        <v>10684.027904358865</v>
      </c>
      <c r="H155" s="144">
        <f t="shared" si="10"/>
        <v>6989.2245703708777</v>
      </c>
      <c r="I155" s="145">
        <f t="shared" si="11"/>
        <v>2129816.3563014022</v>
      </c>
    </row>
    <row r="156" spans="3:10">
      <c r="C156" s="40"/>
      <c r="D156" s="58">
        <v>140</v>
      </c>
      <c r="E156" s="144">
        <f t="shared" si="14"/>
        <v>2129816.3563014022</v>
      </c>
      <c r="F156" s="144">
        <f t="shared" si="13"/>
        <v>17673.252474729743</v>
      </c>
      <c r="G156" s="144">
        <f t="shared" si="12"/>
        <v>10649.081781507011</v>
      </c>
      <c r="H156" s="144">
        <f t="shared" si="10"/>
        <v>7024.1706932227316</v>
      </c>
      <c r="I156" s="145">
        <f t="shared" si="11"/>
        <v>2122792.1856081793</v>
      </c>
    </row>
    <row r="157" spans="3:10">
      <c r="C157" s="40"/>
      <c r="D157" s="58">
        <v>141</v>
      </c>
      <c r="E157" s="144">
        <f t="shared" si="14"/>
        <v>2122792.1856081793</v>
      </c>
      <c r="F157" s="144">
        <f t="shared" si="13"/>
        <v>17673.252474729743</v>
      </c>
      <c r="G157" s="144">
        <f t="shared" si="12"/>
        <v>10613.960928040897</v>
      </c>
      <c r="H157" s="144">
        <f t="shared" si="10"/>
        <v>7059.2915466888462</v>
      </c>
      <c r="I157" s="145">
        <f t="shared" si="11"/>
        <v>2115732.8940614904</v>
      </c>
    </row>
    <row r="158" spans="3:10">
      <c r="C158" s="40"/>
      <c r="D158" s="58">
        <v>142</v>
      </c>
      <c r="E158" s="144">
        <f t="shared" si="14"/>
        <v>2115732.8940614904</v>
      </c>
      <c r="F158" s="144">
        <f t="shared" si="13"/>
        <v>17673.252474729743</v>
      </c>
      <c r="G158" s="144">
        <f t="shared" si="12"/>
        <v>10578.664470307453</v>
      </c>
      <c r="H158" s="144">
        <f t="shared" si="10"/>
        <v>7094.5880044222904</v>
      </c>
      <c r="I158" s="145">
        <f t="shared" si="11"/>
        <v>2108638.3060570681</v>
      </c>
    </row>
    <row r="159" spans="3:10">
      <c r="C159" s="40"/>
      <c r="D159" s="58">
        <v>143</v>
      </c>
      <c r="E159" s="144">
        <f t="shared" si="14"/>
        <v>2108638.3060570681</v>
      </c>
      <c r="F159" s="144">
        <f t="shared" si="13"/>
        <v>17673.252474729743</v>
      </c>
      <c r="G159" s="144">
        <f t="shared" si="12"/>
        <v>10543.191530285341</v>
      </c>
      <c r="H159" s="144">
        <f t="shared" si="10"/>
        <v>7130.0609444444017</v>
      </c>
      <c r="I159" s="145">
        <f t="shared" si="11"/>
        <v>2101508.2451126236</v>
      </c>
    </row>
    <row r="160" spans="3:10">
      <c r="C160" s="46">
        <v>12</v>
      </c>
      <c r="D160" s="147">
        <v>144</v>
      </c>
      <c r="E160" s="144">
        <f t="shared" si="14"/>
        <v>2101508.2451126236</v>
      </c>
      <c r="F160" s="144">
        <f t="shared" si="13"/>
        <v>17673.252474729743</v>
      </c>
      <c r="G160" s="144">
        <f t="shared" si="12"/>
        <v>10507.541225563118</v>
      </c>
      <c r="H160" s="144">
        <f t="shared" si="10"/>
        <v>7165.7112491666248</v>
      </c>
      <c r="I160" s="145">
        <f t="shared" si="11"/>
        <v>2094342.5338634569</v>
      </c>
    </row>
    <row r="161" spans="3:9">
      <c r="C161" s="40"/>
      <c r="D161" s="58">
        <v>145</v>
      </c>
      <c r="E161" s="144">
        <f t="shared" si="14"/>
        <v>2094342.5338634569</v>
      </c>
      <c r="F161" s="144">
        <f t="shared" si="13"/>
        <v>17673.252474729743</v>
      </c>
      <c r="G161" s="144">
        <f t="shared" si="12"/>
        <v>10471.712669317285</v>
      </c>
      <c r="H161" s="144">
        <f t="shared" si="10"/>
        <v>7201.539805412458</v>
      </c>
      <c r="I161" s="145">
        <f t="shared" si="11"/>
        <v>2087140.9940580444</v>
      </c>
    </row>
    <row r="162" spans="3:9">
      <c r="C162" s="40"/>
      <c r="D162" s="58">
        <v>146</v>
      </c>
      <c r="E162" s="144">
        <f t="shared" si="14"/>
        <v>2087140.9940580444</v>
      </c>
      <c r="F162" s="144">
        <f t="shared" si="13"/>
        <v>17673.252474729743</v>
      </c>
      <c r="G162" s="144">
        <f t="shared" si="12"/>
        <v>10435.704970290222</v>
      </c>
      <c r="H162" s="144">
        <f t="shared" si="10"/>
        <v>7237.5475044395207</v>
      </c>
      <c r="I162" s="145">
        <f t="shared" si="11"/>
        <v>2079903.4465536049</v>
      </c>
    </row>
    <row r="163" spans="3:9">
      <c r="C163" s="40"/>
      <c r="D163" s="58">
        <v>147</v>
      </c>
      <c r="E163" s="144">
        <f t="shared" si="14"/>
        <v>2079903.4465536049</v>
      </c>
      <c r="F163" s="144">
        <f t="shared" si="13"/>
        <v>17673.252474729743</v>
      </c>
      <c r="G163" s="144">
        <f t="shared" si="12"/>
        <v>10399.517232768025</v>
      </c>
      <c r="H163" s="144">
        <f t="shared" si="10"/>
        <v>7273.7352419617182</v>
      </c>
      <c r="I163" s="145">
        <f t="shared" si="11"/>
        <v>2072629.7113116432</v>
      </c>
    </row>
    <row r="164" spans="3:9">
      <c r="C164" s="40"/>
      <c r="D164" s="58">
        <v>148</v>
      </c>
      <c r="E164" s="144">
        <f t="shared" si="14"/>
        <v>2072629.7113116432</v>
      </c>
      <c r="F164" s="144">
        <f t="shared" si="13"/>
        <v>17673.252474729743</v>
      </c>
      <c r="G164" s="144">
        <f t="shared" si="12"/>
        <v>10363.148556558217</v>
      </c>
      <c r="H164" s="144">
        <f t="shared" si="10"/>
        <v>7310.1039181715259</v>
      </c>
      <c r="I164" s="145">
        <f t="shared" si="11"/>
        <v>2065319.6073934718</v>
      </c>
    </row>
    <row r="165" spans="3:9">
      <c r="C165" s="40"/>
      <c r="D165" s="58">
        <v>149</v>
      </c>
      <c r="E165" s="144">
        <f t="shared" si="14"/>
        <v>2065319.6073934718</v>
      </c>
      <c r="F165" s="144">
        <f t="shared" si="13"/>
        <v>17673.252474729743</v>
      </c>
      <c r="G165" s="144">
        <f t="shared" si="12"/>
        <v>10326.59803696736</v>
      </c>
      <c r="H165" s="144">
        <f t="shared" si="10"/>
        <v>7346.6544377623832</v>
      </c>
      <c r="I165" s="145">
        <f t="shared" si="11"/>
        <v>2057972.9529557093</v>
      </c>
    </row>
    <row r="166" spans="3:9">
      <c r="C166" s="40"/>
      <c r="D166" s="58">
        <v>150</v>
      </c>
      <c r="E166" s="144">
        <f t="shared" si="14"/>
        <v>2057972.9529557093</v>
      </c>
      <c r="F166" s="144">
        <f t="shared" si="13"/>
        <v>17673.252474729743</v>
      </c>
      <c r="G166" s="144">
        <f t="shared" si="12"/>
        <v>10289.864764778547</v>
      </c>
      <c r="H166" s="144">
        <f t="shared" si="10"/>
        <v>7383.3877099511956</v>
      </c>
      <c r="I166" s="145">
        <f t="shared" si="11"/>
        <v>2050589.565245758</v>
      </c>
    </row>
    <row r="167" spans="3:9">
      <c r="C167" s="40"/>
      <c r="D167" s="58">
        <v>151</v>
      </c>
      <c r="E167" s="144">
        <f t="shared" si="14"/>
        <v>2050589.565245758</v>
      </c>
      <c r="F167" s="144">
        <f t="shared" si="13"/>
        <v>17673.252474729743</v>
      </c>
      <c r="G167" s="144">
        <f t="shared" si="12"/>
        <v>10252.94782622879</v>
      </c>
      <c r="H167" s="144">
        <f t="shared" si="10"/>
        <v>7420.3046485009527</v>
      </c>
      <c r="I167" s="145">
        <f t="shared" si="11"/>
        <v>2043169.2605972572</v>
      </c>
    </row>
    <row r="168" spans="3:9">
      <c r="C168" s="40"/>
      <c r="D168" s="58">
        <v>152</v>
      </c>
      <c r="E168" s="144">
        <f t="shared" si="14"/>
        <v>2043169.2605972572</v>
      </c>
      <c r="F168" s="144">
        <f t="shared" si="13"/>
        <v>17673.252474729743</v>
      </c>
      <c r="G168" s="144">
        <f t="shared" si="12"/>
        <v>10215.846302986287</v>
      </c>
      <c r="H168" s="144">
        <f t="shared" si="10"/>
        <v>7457.4061717434561</v>
      </c>
      <c r="I168" s="145">
        <f t="shared" si="11"/>
        <v>2035711.8544255137</v>
      </c>
    </row>
    <row r="169" spans="3:9">
      <c r="C169" s="40"/>
      <c r="D169" s="58">
        <v>153</v>
      </c>
      <c r="E169" s="144">
        <f t="shared" si="14"/>
        <v>2035711.8544255137</v>
      </c>
      <c r="F169" s="144">
        <f t="shared" si="13"/>
        <v>17673.252474729743</v>
      </c>
      <c r="G169" s="144">
        <f t="shared" si="12"/>
        <v>10178.559272127568</v>
      </c>
      <c r="H169" s="144">
        <f t="shared" si="10"/>
        <v>7494.693202602175</v>
      </c>
      <c r="I169" s="145">
        <f t="shared" si="11"/>
        <v>2028217.1612229114</v>
      </c>
    </row>
    <row r="170" spans="3:9">
      <c r="C170" s="40"/>
      <c r="D170" s="58">
        <v>154</v>
      </c>
      <c r="E170" s="144">
        <f t="shared" si="14"/>
        <v>2028217.1612229114</v>
      </c>
      <c r="F170" s="144">
        <f t="shared" si="13"/>
        <v>17673.252474729743</v>
      </c>
      <c r="G170" s="144">
        <f t="shared" si="12"/>
        <v>10141.085806114557</v>
      </c>
      <c r="H170" s="144">
        <f t="shared" si="10"/>
        <v>7532.1666686151857</v>
      </c>
      <c r="I170" s="145">
        <f t="shared" si="11"/>
        <v>2020684.9945542964</v>
      </c>
    </row>
    <row r="171" spans="3:9">
      <c r="C171" s="40"/>
      <c r="D171" s="58">
        <v>155</v>
      </c>
      <c r="E171" s="144">
        <f t="shared" si="14"/>
        <v>2020684.9945542964</v>
      </c>
      <c r="F171" s="144">
        <f t="shared" si="13"/>
        <v>17673.252474729743</v>
      </c>
      <c r="G171" s="144">
        <f t="shared" si="12"/>
        <v>10103.424972771481</v>
      </c>
      <c r="H171" s="144">
        <f t="shared" si="10"/>
        <v>7569.8275019582616</v>
      </c>
      <c r="I171" s="145">
        <f t="shared" si="11"/>
        <v>2013115.1670523381</v>
      </c>
    </row>
    <row r="172" spans="3:9">
      <c r="C172" s="46">
        <v>13</v>
      </c>
      <c r="D172" s="147">
        <v>156</v>
      </c>
      <c r="E172" s="144">
        <f t="shared" si="14"/>
        <v>2013115.1670523381</v>
      </c>
      <c r="F172" s="144">
        <f t="shared" si="13"/>
        <v>17673.252474729743</v>
      </c>
      <c r="G172" s="144">
        <f t="shared" si="12"/>
        <v>10065.57583526169</v>
      </c>
      <c r="H172" s="144">
        <f t="shared" si="10"/>
        <v>7607.6766394680526</v>
      </c>
      <c r="I172" s="145">
        <f t="shared" si="11"/>
        <v>2005507.4904128702</v>
      </c>
    </row>
    <row r="173" spans="3:9">
      <c r="C173" s="40"/>
      <c r="D173" s="58">
        <v>157</v>
      </c>
      <c r="E173" s="144">
        <f t="shared" si="14"/>
        <v>2005507.4904128702</v>
      </c>
      <c r="F173" s="144">
        <f t="shared" si="13"/>
        <v>17673.252474729743</v>
      </c>
      <c r="G173" s="144">
        <f t="shared" si="12"/>
        <v>10027.537452064351</v>
      </c>
      <c r="H173" s="144">
        <f t="shared" si="10"/>
        <v>7645.7150226653921</v>
      </c>
      <c r="I173" s="145">
        <f t="shared" si="11"/>
        <v>1997861.7753902047</v>
      </c>
    </row>
    <row r="174" spans="3:9">
      <c r="C174" s="40"/>
      <c r="D174" s="58">
        <v>158</v>
      </c>
      <c r="E174" s="144">
        <f t="shared" si="14"/>
        <v>1997861.7753902047</v>
      </c>
      <c r="F174" s="144">
        <f t="shared" si="13"/>
        <v>17673.252474729743</v>
      </c>
      <c r="G174" s="144">
        <f t="shared" si="12"/>
        <v>9989.3088769510232</v>
      </c>
      <c r="H174" s="144">
        <f t="shared" si="10"/>
        <v>7683.9435977787198</v>
      </c>
      <c r="I174" s="145">
        <f t="shared" si="11"/>
        <v>1990177.8317924261</v>
      </c>
    </row>
    <row r="175" spans="3:9">
      <c r="C175" s="40"/>
      <c r="D175" s="58">
        <v>159</v>
      </c>
      <c r="E175" s="144">
        <f t="shared" si="14"/>
        <v>1990177.8317924261</v>
      </c>
      <c r="F175" s="144">
        <f t="shared" si="13"/>
        <v>17673.252474729743</v>
      </c>
      <c r="G175" s="144">
        <f t="shared" si="12"/>
        <v>9950.8891589621308</v>
      </c>
      <c r="H175" s="144">
        <f t="shared" si="10"/>
        <v>7722.3633157676122</v>
      </c>
      <c r="I175" s="145">
        <f t="shared" si="11"/>
        <v>1982455.4684766585</v>
      </c>
    </row>
    <row r="176" spans="3:9">
      <c r="C176" s="40"/>
      <c r="D176" s="58">
        <v>160</v>
      </c>
      <c r="E176" s="144">
        <f t="shared" si="14"/>
        <v>1982455.4684766585</v>
      </c>
      <c r="F176" s="144">
        <f t="shared" si="13"/>
        <v>17673.252474729743</v>
      </c>
      <c r="G176" s="144">
        <f t="shared" si="12"/>
        <v>9912.2773423832932</v>
      </c>
      <c r="H176" s="144">
        <f t="shared" si="10"/>
        <v>7760.9751323464498</v>
      </c>
      <c r="I176" s="145">
        <f t="shared" si="11"/>
        <v>1974694.4933443121</v>
      </c>
    </row>
    <row r="177" spans="3:9">
      <c r="C177" s="40"/>
      <c r="D177" s="58">
        <v>161</v>
      </c>
      <c r="E177" s="144">
        <f t="shared" si="14"/>
        <v>1974694.4933443121</v>
      </c>
      <c r="F177" s="144">
        <f t="shared" si="13"/>
        <v>17673.252474729743</v>
      </c>
      <c r="G177" s="144">
        <f t="shared" si="12"/>
        <v>9873.4724667215614</v>
      </c>
      <c r="H177" s="144">
        <f t="shared" si="10"/>
        <v>7799.7800080081815</v>
      </c>
      <c r="I177" s="145">
        <f t="shared" si="11"/>
        <v>1966894.7133363038</v>
      </c>
    </row>
    <row r="178" spans="3:9">
      <c r="C178" s="40"/>
      <c r="D178" s="58">
        <v>162</v>
      </c>
      <c r="E178" s="144">
        <f t="shared" si="14"/>
        <v>1966894.7133363038</v>
      </c>
      <c r="F178" s="144">
        <f t="shared" si="13"/>
        <v>17673.252474729743</v>
      </c>
      <c r="G178" s="144">
        <f t="shared" si="12"/>
        <v>9834.4735666815195</v>
      </c>
      <c r="H178" s="144">
        <f t="shared" si="10"/>
        <v>7838.7789080482235</v>
      </c>
      <c r="I178" s="145">
        <f t="shared" si="11"/>
        <v>1959055.9344282555</v>
      </c>
    </row>
    <row r="179" spans="3:9">
      <c r="C179" s="40"/>
      <c r="D179" s="58">
        <v>163</v>
      </c>
      <c r="E179" s="144">
        <f t="shared" si="14"/>
        <v>1959055.9344282555</v>
      </c>
      <c r="F179" s="144">
        <f t="shared" si="13"/>
        <v>17673.252474729743</v>
      </c>
      <c r="G179" s="144">
        <f t="shared" si="12"/>
        <v>9795.2796721412778</v>
      </c>
      <c r="H179" s="144">
        <f t="shared" si="10"/>
        <v>7877.9728025884651</v>
      </c>
      <c r="I179" s="145">
        <f t="shared" si="11"/>
        <v>1951177.9616256671</v>
      </c>
    </row>
    <row r="180" spans="3:9">
      <c r="C180" s="40"/>
      <c r="D180" s="58">
        <v>164</v>
      </c>
      <c r="E180" s="144">
        <f t="shared" si="14"/>
        <v>1951177.9616256671</v>
      </c>
      <c r="F180" s="144">
        <f t="shared" si="13"/>
        <v>17673.252474729743</v>
      </c>
      <c r="G180" s="144">
        <f t="shared" si="12"/>
        <v>9755.8898081283351</v>
      </c>
      <c r="H180" s="144">
        <f t="shared" si="10"/>
        <v>7917.3626666014079</v>
      </c>
      <c r="I180" s="145">
        <f t="shared" si="11"/>
        <v>1943260.5989590657</v>
      </c>
    </row>
    <row r="181" spans="3:9">
      <c r="C181" s="40"/>
      <c r="D181" s="58">
        <v>165</v>
      </c>
      <c r="E181" s="144">
        <f t="shared" si="14"/>
        <v>1943260.5989590657</v>
      </c>
      <c r="F181" s="144">
        <f t="shared" si="13"/>
        <v>17673.252474729743</v>
      </c>
      <c r="G181" s="144">
        <f t="shared" si="12"/>
        <v>9716.3029947953291</v>
      </c>
      <c r="H181" s="144">
        <f t="shared" si="10"/>
        <v>7956.9494799344138</v>
      </c>
      <c r="I181" s="145">
        <f t="shared" si="11"/>
        <v>1935303.6494791312</v>
      </c>
    </row>
    <row r="182" spans="3:9">
      <c r="C182" s="40"/>
      <c r="D182" s="58">
        <v>166</v>
      </c>
      <c r="E182" s="144">
        <f t="shared" si="14"/>
        <v>1935303.6494791312</v>
      </c>
      <c r="F182" s="144">
        <f t="shared" si="13"/>
        <v>17673.252474729743</v>
      </c>
      <c r="G182" s="144">
        <f t="shared" si="12"/>
        <v>9676.5182473956556</v>
      </c>
      <c r="H182" s="144">
        <f t="shared" si="10"/>
        <v>7996.7342273340873</v>
      </c>
      <c r="I182" s="145">
        <f t="shared" si="11"/>
        <v>1927306.9152517971</v>
      </c>
    </row>
    <row r="183" spans="3:9">
      <c r="C183" s="40"/>
      <c r="D183" s="58">
        <v>167</v>
      </c>
      <c r="E183" s="144">
        <f t="shared" si="14"/>
        <v>1927306.9152517971</v>
      </c>
      <c r="F183" s="144">
        <f t="shared" si="13"/>
        <v>17673.252474729743</v>
      </c>
      <c r="G183" s="144">
        <f t="shared" si="12"/>
        <v>9636.5345762589859</v>
      </c>
      <c r="H183" s="144">
        <f t="shared" si="10"/>
        <v>8036.7178984707571</v>
      </c>
      <c r="I183" s="145">
        <f t="shared" si="11"/>
        <v>1919270.1973533262</v>
      </c>
    </row>
    <row r="184" spans="3:9">
      <c r="C184" s="46">
        <v>14</v>
      </c>
      <c r="D184" s="147">
        <v>168</v>
      </c>
      <c r="E184" s="144">
        <f t="shared" si="14"/>
        <v>1919270.1973533262</v>
      </c>
      <c r="F184" s="144">
        <f t="shared" si="13"/>
        <v>17673.252474729743</v>
      </c>
      <c r="G184" s="144">
        <f t="shared" si="12"/>
        <v>9596.3509867666307</v>
      </c>
      <c r="H184" s="144">
        <f t="shared" si="10"/>
        <v>8076.9014879631122</v>
      </c>
      <c r="I184" s="145">
        <f t="shared" si="11"/>
        <v>1911193.2958653632</v>
      </c>
    </row>
    <row r="185" spans="3:9">
      <c r="C185" s="40"/>
      <c r="D185" s="58">
        <v>169</v>
      </c>
      <c r="E185" s="144">
        <f t="shared" si="14"/>
        <v>1911193.2958653632</v>
      </c>
      <c r="F185" s="144">
        <f t="shared" si="13"/>
        <v>17673.252474729743</v>
      </c>
      <c r="G185" s="144">
        <f t="shared" si="12"/>
        <v>9555.9664793268166</v>
      </c>
      <c r="H185" s="144">
        <f t="shared" si="10"/>
        <v>8117.2859954029263</v>
      </c>
      <c r="I185" s="145">
        <f t="shared" si="11"/>
        <v>1903076.0098699604</v>
      </c>
    </row>
    <row r="186" spans="3:9">
      <c r="C186" s="40"/>
      <c r="D186" s="58">
        <v>170</v>
      </c>
      <c r="E186" s="144">
        <f t="shared" si="14"/>
        <v>1903076.0098699604</v>
      </c>
      <c r="F186" s="144">
        <f t="shared" si="13"/>
        <v>17673.252474729743</v>
      </c>
      <c r="G186" s="144">
        <f t="shared" si="12"/>
        <v>9515.380049349802</v>
      </c>
      <c r="H186" s="144">
        <f t="shared" si="10"/>
        <v>8157.872425379941</v>
      </c>
      <c r="I186" s="145">
        <f t="shared" si="11"/>
        <v>1894918.1374445804</v>
      </c>
    </row>
    <row r="187" spans="3:9">
      <c r="C187" s="40"/>
      <c r="D187" s="58">
        <v>171</v>
      </c>
      <c r="E187" s="144">
        <f t="shared" si="14"/>
        <v>1894918.1374445804</v>
      </c>
      <c r="F187" s="144">
        <f t="shared" si="13"/>
        <v>17673.252474729743</v>
      </c>
      <c r="G187" s="144">
        <f t="shared" si="12"/>
        <v>9474.5906872229025</v>
      </c>
      <c r="H187" s="144">
        <f t="shared" si="10"/>
        <v>8198.6617875068405</v>
      </c>
      <c r="I187" s="145">
        <f t="shared" si="11"/>
        <v>1886719.4756570735</v>
      </c>
    </row>
    <row r="188" spans="3:9">
      <c r="C188" s="40"/>
      <c r="D188" s="58">
        <v>172</v>
      </c>
      <c r="E188" s="144">
        <f t="shared" si="14"/>
        <v>1886719.4756570735</v>
      </c>
      <c r="F188" s="144">
        <f t="shared" si="13"/>
        <v>17673.252474729743</v>
      </c>
      <c r="G188" s="144">
        <f t="shared" si="12"/>
        <v>9433.5973782853671</v>
      </c>
      <c r="H188" s="144">
        <f t="shared" si="10"/>
        <v>8239.6550964443759</v>
      </c>
      <c r="I188" s="145">
        <f t="shared" si="11"/>
        <v>1878479.8205606292</v>
      </c>
    </row>
    <row r="189" spans="3:9">
      <c r="C189" s="40"/>
      <c r="D189" s="58">
        <v>173</v>
      </c>
      <c r="E189" s="144">
        <f t="shared" si="14"/>
        <v>1878479.8205606292</v>
      </c>
      <c r="F189" s="144">
        <f t="shared" si="13"/>
        <v>17673.252474729743</v>
      </c>
      <c r="G189" s="144">
        <f t="shared" si="12"/>
        <v>9392.3991028031469</v>
      </c>
      <c r="H189" s="144">
        <f t="shared" si="10"/>
        <v>8280.8533719265961</v>
      </c>
      <c r="I189" s="145">
        <f t="shared" si="11"/>
        <v>1870198.9671887027</v>
      </c>
    </row>
    <row r="190" spans="3:9">
      <c r="C190" s="40"/>
      <c r="D190" s="58">
        <v>174</v>
      </c>
      <c r="E190" s="144">
        <f t="shared" si="14"/>
        <v>1870198.9671887027</v>
      </c>
      <c r="F190" s="144">
        <f t="shared" si="13"/>
        <v>17673.252474729743</v>
      </c>
      <c r="G190" s="144">
        <f t="shared" si="12"/>
        <v>9350.994835943513</v>
      </c>
      <c r="H190" s="144">
        <f t="shared" si="10"/>
        <v>8322.25763878623</v>
      </c>
      <c r="I190" s="145">
        <f t="shared" si="11"/>
        <v>1861876.7095499164</v>
      </c>
    </row>
    <row r="191" spans="3:9">
      <c r="C191" s="40"/>
      <c r="D191" s="58">
        <v>175</v>
      </c>
      <c r="E191" s="144">
        <f t="shared" si="14"/>
        <v>1861876.7095499164</v>
      </c>
      <c r="F191" s="144">
        <f t="shared" si="13"/>
        <v>17673.252474729743</v>
      </c>
      <c r="G191" s="144">
        <f t="shared" si="12"/>
        <v>9309.3835477495832</v>
      </c>
      <c r="H191" s="144">
        <f t="shared" si="10"/>
        <v>8363.8689269801598</v>
      </c>
      <c r="I191" s="145">
        <f t="shared" si="11"/>
        <v>1853512.8406229364</v>
      </c>
    </row>
    <row r="192" spans="3:9">
      <c r="C192" s="40"/>
      <c r="D192" s="58">
        <v>176</v>
      </c>
      <c r="E192" s="144">
        <f t="shared" si="14"/>
        <v>1853512.8406229364</v>
      </c>
      <c r="F192" s="144">
        <f t="shared" si="13"/>
        <v>17673.252474729743</v>
      </c>
      <c r="G192" s="144">
        <f t="shared" si="12"/>
        <v>9267.5642031146817</v>
      </c>
      <c r="H192" s="144">
        <f t="shared" si="10"/>
        <v>8405.6882716150612</v>
      </c>
      <c r="I192" s="145">
        <f t="shared" si="11"/>
        <v>1845107.1523513214</v>
      </c>
    </row>
    <row r="193" spans="3:9">
      <c r="C193" s="40"/>
      <c r="D193" s="58">
        <v>177</v>
      </c>
      <c r="E193" s="144">
        <f t="shared" si="14"/>
        <v>1845107.1523513214</v>
      </c>
      <c r="F193" s="144">
        <f t="shared" si="13"/>
        <v>17673.252474729743</v>
      </c>
      <c r="G193" s="144">
        <f t="shared" si="12"/>
        <v>9225.5357617566078</v>
      </c>
      <c r="H193" s="144">
        <f t="shared" si="10"/>
        <v>8447.7167129731351</v>
      </c>
      <c r="I193" s="145">
        <f t="shared" si="11"/>
        <v>1836659.4356383483</v>
      </c>
    </row>
    <row r="194" spans="3:9">
      <c r="C194" s="40"/>
      <c r="D194" s="58">
        <v>178</v>
      </c>
      <c r="E194" s="144">
        <f t="shared" si="14"/>
        <v>1836659.4356383483</v>
      </c>
      <c r="F194" s="144">
        <f t="shared" si="13"/>
        <v>17673.252474729743</v>
      </c>
      <c r="G194" s="144">
        <f t="shared" si="12"/>
        <v>9183.2971781917422</v>
      </c>
      <c r="H194" s="144">
        <f t="shared" si="10"/>
        <v>8489.9552965380008</v>
      </c>
      <c r="I194" s="145">
        <f t="shared" si="11"/>
        <v>1828169.4803418103</v>
      </c>
    </row>
    <row r="195" spans="3:9">
      <c r="C195" s="40"/>
      <c r="D195" s="58">
        <v>179</v>
      </c>
      <c r="E195" s="144">
        <f t="shared" si="14"/>
        <v>1828169.4803418103</v>
      </c>
      <c r="F195" s="144">
        <f t="shared" si="13"/>
        <v>17673.252474729743</v>
      </c>
      <c r="G195" s="144">
        <f t="shared" si="12"/>
        <v>9140.8474017090521</v>
      </c>
      <c r="H195" s="144">
        <f t="shared" si="10"/>
        <v>8532.4050730206909</v>
      </c>
      <c r="I195" s="145">
        <f t="shared" si="11"/>
        <v>1819637.0752687897</v>
      </c>
    </row>
    <row r="196" spans="3:9">
      <c r="C196" s="46">
        <v>15</v>
      </c>
      <c r="D196" s="147">
        <v>180</v>
      </c>
      <c r="E196" s="144">
        <f t="shared" si="14"/>
        <v>1819637.0752687897</v>
      </c>
      <c r="F196" s="144">
        <f t="shared" si="13"/>
        <v>17673.252474729743</v>
      </c>
      <c r="G196" s="144">
        <f t="shared" si="12"/>
        <v>9098.1853763439485</v>
      </c>
      <c r="H196" s="144">
        <f t="shared" si="10"/>
        <v>8575.0670983857945</v>
      </c>
      <c r="I196" s="145">
        <f t="shared" si="11"/>
        <v>1811062.0081704038</v>
      </c>
    </row>
    <row r="197" spans="3:9">
      <c r="C197" s="40"/>
      <c r="D197" s="58">
        <v>181</v>
      </c>
      <c r="E197" s="144">
        <f t="shared" si="14"/>
        <v>1811062.0081704038</v>
      </c>
      <c r="F197" s="144">
        <f t="shared" si="13"/>
        <v>17673.252474729743</v>
      </c>
      <c r="G197" s="144">
        <f t="shared" si="12"/>
        <v>9055.3100408520186</v>
      </c>
      <c r="H197" s="144">
        <f t="shared" si="10"/>
        <v>8617.9424338777244</v>
      </c>
      <c r="I197" s="145">
        <f t="shared" si="11"/>
        <v>1802444.0657365262</v>
      </c>
    </row>
    <row r="198" spans="3:9">
      <c r="C198" s="40"/>
      <c r="D198" s="58">
        <v>182</v>
      </c>
      <c r="E198" s="144">
        <f t="shared" si="14"/>
        <v>1802444.0657365262</v>
      </c>
      <c r="F198" s="144">
        <f t="shared" si="13"/>
        <v>17673.252474729743</v>
      </c>
      <c r="G198" s="144">
        <f t="shared" si="12"/>
        <v>9012.2203286826316</v>
      </c>
      <c r="H198" s="144">
        <f t="shared" si="10"/>
        <v>8661.0321460471114</v>
      </c>
      <c r="I198" s="145">
        <f t="shared" si="11"/>
        <v>1793783.0335904791</v>
      </c>
    </row>
    <row r="199" spans="3:9">
      <c r="C199" s="40"/>
      <c r="D199" s="58">
        <v>183</v>
      </c>
      <c r="E199" s="144">
        <f t="shared" si="14"/>
        <v>1793783.0335904791</v>
      </c>
      <c r="F199" s="144">
        <f t="shared" si="13"/>
        <v>17673.252474729743</v>
      </c>
      <c r="G199" s="144">
        <f t="shared" si="12"/>
        <v>8968.9151679523948</v>
      </c>
      <c r="H199" s="144">
        <f t="shared" si="10"/>
        <v>8704.3373067773482</v>
      </c>
      <c r="I199" s="145">
        <f t="shared" si="11"/>
        <v>1785078.6962837018</v>
      </c>
    </row>
    <row r="200" spans="3:9">
      <c r="C200" s="40"/>
      <c r="D200" s="58">
        <v>184</v>
      </c>
      <c r="E200" s="144">
        <f t="shared" si="14"/>
        <v>1785078.6962837018</v>
      </c>
      <c r="F200" s="144">
        <f t="shared" si="13"/>
        <v>17673.252474729743</v>
      </c>
      <c r="G200" s="144">
        <f t="shared" si="12"/>
        <v>8925.3934814185086</v>
      </c>
      <c r="H200" s="144">
        <f t="shared" si="10"/>
        <v>8747.8589933112344</v>
      </c>
      <c r="I200" s="145">
        <f t="shared" si="11"/>
        <v>1776330.8372903906</v>
      </c>
    </row>
    <row r="201" spans="3:9">
      <c r="C201" s="40"/>
      <c r="D201" s="58">
        <v>185</v>
      </c>
      <c r="E201" s="144">
        <f t="shared" si="14"/>
        <v>1776330.8372903906</v>
      </c>
      <c r="F201" s="144">
        <f t="shared" si="13"/>
        <v>17673.252474729743</v>
      </c>
      <c r="G201" s="144">
        <f t="shared" si="12"/>
        <v>8881.6541864519531</v>
      </c>
      <c r="H201" s="144">
        <f t="shared" si="10"/>
        <v>8791.5982882777898</v>
      </c>
      <c r="I201" s="145">
        <f t="shared" si="11"/>
        <v>1767539.2390021128</v>
      </c>
    </row>
    <row r="202" spans="3:9">
      <c r="C202" s="40"/>
      <c r="D202" s="58">
        <v>186</v>
      </c>
      <c r="E202" s="144">
        <f t="shared" si="14"/>
        <v>1767539.2390021128</v>
      </c>
      <c r="F202" s="144">
        <f t="shared" si="13"/>
        <v>17673.252474729743</v>
      </c>
      <c r="G202" s="144">
        <f t="shared" si="12"/>
        <v>8837.6961950105633</v>
      </c>
      <c r="H202" s="144">
        <f t="shared" si="10"/>
        <v>8835.5562797191797</v>
      </c>
      <c r="I202" s="145">
        <f t="shared" si="11"/>
        <v>1758703.6827223937</v>
      </c>
    </row>
    <row r="203" spans="3:9">
      <c r="C203" s="40"/>
      <c r="D203" s="58">
        <v>187</v>
      </c>
      <c r="E203" s="144">
        <f t="shared" si="14"/>
        <v>1758703.6827223937</v>
      </c>
      <c r="F203" s="144">
        <f t="shared" si="13"/>
        <v>17673.252474729743</v>
      </c>
      <c r="G203" s="144">
        <f t="shared" si="12"/>
        <v>8793.5184136119678</v>
      </c>
      <c r="H203" s="144">
        <f t="shared" si="10"/>
        <v>8879.7340611177751</v>
      </c>
      <c r="I203" s="145">
        <f t="shared" si="11"/>
        <v>1749823.9486612759</v>
      </c>
    </row>
    <row r="204" spans="3:9">
      <c r="C204" s="40"/>
      <c r="D204" s="58">
        <v>188</v>
      </c>
      <c r="E204" s="144">
        <f t="shared" si="14"/>
        <v>1749823.9486612759</v>
      </c>
      <c r="F204" s="144">
        <f t="shared" si="13"/>
        <v>17673.252474729743</v>
      </c>
      <c r="G204" s="144">
        <f t="shared" si="12"/>
        <v>8749.119743306379</v>
      </c>
      <c r="H204" s="144">
        <f t="shared" si="10"/>
        <v>8924.132731423364</v>
      </c>
      <c r="I204" s="145">
        <f t="shared" si="11"/>
        <v>1740899.8159298524</v>
      </c>
    </row>
    <row r="205" spans="3:9">
      <c r="C205" s="40"/>
      <c r="D205" s="58">
        <v>189</v>
      </c>
      <c r="E205" s="144">
        <f t="shared" si="14"/>
        <v>1740899.8159298524</v>
      </c>
      <c r="F205" s="144">
        <f t="shared" si="13"/>
        <v>17673.252474729743</v>
      </c>
      <c r="G205" s="144">
        <f t="shared" si="12"/>
        <v>8704.4990796492621</v>
      </c>
      <c r="H205" s="144">
        <f t="shared" si="10"/>
        <v>8968.7533950804809</v>
      </c>
      <c r="I205" s="145">
        <f t="shared" si="11"/>
        <v>1731931.0625347719</v>
      </c>
    </row>
    <row r="206" spans="3:9">
      <c r="C206" s="40"/>
      <c r="D206" s="58">
        <v>190</v>
      </c>
      <c r="E206" s="144">
        <f t="shared" si="14"/>
        <v>1731931.0625347719</v>
      </c>
      <c r="F206" s="144">
        <f t="shared" si="13"/>
        <v>17673.252474729743</v>
      </c>
      <c r="G206" s="144">
        <f t="shared" si="12"/>
        <v>8659.65531267386</v>
      </c>
      <c r="H206" s="144">
        <f t="shared" si="10"/>
        <v>9013.597162055883</v>
      </c>
      <c r="I206" s="145">
        <f t="shared" si="11"/>
        <v>1722917.4653727161</v>
      </c>
    </row>
    <row r="207" spans="3:9">
      <c r="C207" s="40"/>
      <c r="D207" s="58">
        <v>191</v>
      </c>
      <c r="E207" s="144">
        <f t="shared" si="14"/>
        <v>1722917.4653727161</v>
      </c>
      <c r="F207" s="144">
        <f t="shared" si="13"/>
        <v>17673.252474729743</v>
      </c>
      <c r="G207" s="144">
        <f t="shared" si="12"/>
        <v>8614.5873268635805</v>
      </c>
      <c r="H207" s="144">
        <f t="shared" si="10"/>
        <v>9058.6651478661624</v>
      </c>
      <c r="I207" s="145">
        <f t="shared" si="11"/>
        <v>1713858.80022485</v>
      </c>
    </row>
    <row r="208" spans="3:9">
      <c r="C208" s="46">
        <v>16</v>
      </c>
      <c r="D208" s="147">
        <v>192</v>
      </c>
      <c r="E208" s="144">
        <f t="shared" si="14"/>
        <v>1713858.80022485</v>
      </c>
      <c r="F208" s="144">
        <f t="shared" si="13"/>
        <v>17673.252474729743</v>
      </c>
      <c r="G208" s="144">
        <f t="shared" si="12"/>
        <v>8569.2940011242499</v>
      </c>
      <c r="H208" s="144">
        <f t="shared" si="10"/>
        <v>9103.9584736054931</v>
      </c>
      <c r="I208" s="145">
        <f t="shared" si="11"/>
        <v>1704754.8417512444</v>
      </c>
    </row>
    <row r="209" spans="3:9">
      <c r="C209" s="40"/>
      <c r="D209" s="58">
        <v>193</v>
      </c>
      <c r="E209" s="144">
        <f t="shared" si="14"/>
        <v>1704754.8417512444</v>
      </c>
      <c r="F209" s="144">
        <f t="shared" si="13"/>
        <v>17673.252474729743</v>
      </c>
      <c r="G209" s="144">
        <f t="shared" si="12"/>
        <v>8523.7742087562219</v>
      </c>
      <c r="H209" s="144">
        <f t="shared" ref="H209:H272" si="15">F209-G209</f>
        <v>9149.478265973521</v>
      </c>
      <c r="I209" s="145">
        <f t="shared" ref="I209:I272" si="16">E209-H209</f>
        <v>1695605.3634852709</v>
      </c>
    </row>
    <row r="210" spans="3:9">
      <c r="C210" s="40"/>
      <c r="D210" s="58">
        <v>194</v>
      </c>
      <c r="E210" s="144">
        <f t="shared" si="14"/>
        <v>1695605.3634852709</v>
      </c>
      <c r="F210" s="144">
        <f t="shared" si="13"/>
        <v>17673.252474729743</v>
      </c>
      <c r="G210" s="144">
        <f t="shared" ref="G210:G273" si="17">IF(D210&gt;$D$10,0,($D$6/12)*I209)</f>
        <v>8478.0268174263547</v>
      </c>
      <c r="H210" s="144">
        <f t="shared" si="15"/>
        <v>9195.2256573033883</v>
      </c>
      <c r="I210" s="145">
        <f t="shared" si="16"/>
        <v>1686410.1378279675</v>
      </c>
    </row>
    <row r="211" spans="3:9">
      <c r="C211" s="40"/>
      <c r="D211" s="58">
        <v>195</v>
      </c>
      <c r="E211" s="144">
        <f t="shared" si="14"/>
        <v>1686410.1378279675</v>
      </c>
      <c r="F211" s="144">
        <f t="shared" si="13"/>
        <v>17673.252474729743</v>
      </c>
      <c r="G211" s="144">
        <f t="shared" si="17"/>
        <v>8432.0506891398381</v>
      </c>
      <c r="H211" s="144">
        <f t="shared" si="15"/>
        <v>9241.2017855899048</v>
      </c>
      <c r="I211" s="145">
        <f t="shared" si="16"/>
        <v>1677168.9360423777</v>
      </c>
    </row>
    <row r="212" spans="3:9">
      <c r="C212" s="40"/>
      <c r="D212" s="58">
        <v>196</v>
      </c>
      <c r="E212" s="144">
        <f t="shared" si="14"/>
        <v>1677168.9360423777</v>
      </c>
      <c r="F212" s="144">
        <f t="shared" si="13"/>
        <v>17673.252474729743</v>
      </c>
      <c r="G212" s="144">
        <f t="shared" si="17"/>
        <v>8385.8446802118888</v>
      </c>
      <c r="H212" s="144">
        <f t="shared" si="15"/>
        <v>9287.4077945178542</v>
      </c>
      <c r="I212" s="145">
        <f t="shared" si="16"/>
        <v>1667881.5282478598</v>
      </c>
    </row>
    <row r="213" spans="3:9">
      <c r="C213" s="40"/>
      <c r="D213" s="58">
        <v>197</v>
      </c>
      <c r="E213" s="144">
        <f t="shared" si="14"/>
        <v>1667881.5282478598</v>
      </c>
      <c r="F213" s="144">
        <f t="shared" ref="F213:F276" si="18">IF(D213&gt;$D$10,0,IF(D213&lt;=$D$8,G213,-PMT($D$6/12,$D$9,$D$5,0,0)))</f>
        <v>17673.252474729743</v>
      </c>
      <c r="G213" s="144">
        <f t="shared" si="17"/>
        <v>8339.4076412392988</v>
      </c>
      <c r="H213" s="144">
        <f t="shared" si="15"/>
        <v>9333.8448334904442</v>
      </c>
      <c r="I213" s="145">
        <f t="shared" si="16"/>
        <v>1658547.6834143694</v>
      </c>
    </row>
    <row r="214" spans="3:9">
      <c r="C214" s="40"/>
      <c r="D214" s="58">
        <v>198</v>
      </c>
      <c r="E214" s="144">
        <f t="shared" ref="E214:E277" si="19">IF(D214&gt;$D$10,0,I213)</f>
        <v>1658547.6834143694</v>
      </c>
      <c r="F214" s="144">
        <f t="shared" si="18"/>
        <v>17673.252474729743</v>
      </c>
      <c r="G214" s="144">
        <f t="shared" si="17"/>
        <v>8292.7384170718469</v>
      </c>
      <c r="H214" s="144">
        <f t="shared" si="15"/>
        <v>9380.514057657896</v>
      </c>
      <c r="I214" s="145">
        <f t="shared" si="16"/>
        <v>1649167.1693567114</v>
      </c>
    </row>
    <row r="215" spans="3:9">
      <c r="C215" s="40"/>
      <c r="D215" s="58">
        <v>199</v>
      </c>
      <c r="E215" s="144">
        <f t="shared" si="19"/>
        <v>1649167.1693567114</v>
      </c>
      <c r="F215" s="144">
        <f t="shared" si="18"/>
        <v>17673.252474729743</v>
      </c>
      <c r="G215" s="144">
        <f t="shared" si="17"/>
        <v>8245.8358467835569</v>
      </c>
      <c r="H215" s="144">
        <f t="shared" si="15"/>
        <v>9427.4166279461861</v>
      </c>
      <c r="I215" s="145">
        <f t="shared" si="16"/>
        <v>1639739.7527287654</v>
      </c>
    </row>
    <row r="216" spans="3:9">
      <c r="C216" s="40"/>
      <c r="D216" s="58">
        <v>200</v>
      </c>
      <c r="E216" s="144">
        <f t="shared" si="19"/>
        <v>1639739.7527287654</v>
      </c>
      <c r="F216" s="144">
        <f t="shared" si="18"/>
        <v>17673.252474729743</v>
      </c>
      <c r="G216" s="144">
        <f t="shared" si="17"/>
        <v>8198.6987636438262</v>
      </c>
      <c r="H216" s="144">
        <f t="shared" si="15"/>
        <v>9474.5537110859168</v>
      </c>
      <c r="I216" s="145">
        <f t="shared" si="16"/>
        <v>1630265.1990176796</v>
      </c>
    </row>
    <row r="217" spans="3:9">
      <c r="C217" s="40"/>
      <c r="D217" s="58">
        <v>201</v>
      </c>
      <c r="E217" s="144">
        <f t="shared" si="19"/>
        <v>1630265.1990176796</v>
      </c>
      <c r="F217" s="144">
        <f t="shared" si="18"/>
        <v>17673.252474729743</v>
      </c>
      <c r="G217" s="144">
        <f t="shared" si="17"/>
        <v>8151.3259950883976</v>
      </c>
      <c r="H217" s="144">
        <f t="shared" si="15"/>
        <v>9521.9264796413445</v>
      </c>
      <c r="I217" s="145">
        <f t="shared" si="16"/>
        <v>1620743.2725380382</v>
      </c>
    </row>
    <row r="218" spans="3:9">
      <c r="C218" s="40"/>
      <c r="D218" s="58">
        <v>202</v>
      </c>
      <c r="E218" s="144">
        <f t="shared" si="19"/>
        <v>1620743.2725380382</v>
      </c>
      <c r="F218" s="144">
        <f t="shared" si="18"/>
        <v>17673.252474729743</v>
      </c>
      <c r="G218" s="144">
        <f t="shared" si="17"/>
        <v>8103.7163626901911</v>
      </c>
      <c r="H218" s="144">
        <f t="shared" si="15"/>
        <v>9569.5361120395519</v>
      </c>
      <c r="I218" s="145">
        <f t="shared" si="16"/>
        <v>1611173.7364259986</v>
      </c>
    </row>
    <row r="219" spans="3:9">
      <c r="C219" s="40"/>
      <c r="D219" s="58">
        <v>203</v>
      </c>
      <c r="E219" s="144">
        <f t="shared" si="19"/>
        <v>1611173.7364259986</v>
      </c>
      <c r="F219" s="144">
        <f t="shared" si="18"/>
        <v>17673.252474729743</v>
      </c>
      <c r="G219" s="144">
        <f t="shared" si="17"/>
        <v>8055.8686821299934</v>
      </c>
      <c r="H219" s="144">
        <f t="shared" si="15"/>
        <v>9617.3837925997504</v>
      </c>
      <c r="I219" s="145">
        <f t="shared" si="16"/>
        <v>1601556.352633399</v>
      </c>
    </row>
    <row r="220" spans="3:9">
      <c r="C220" s="46">
        <v>17</v>
      </c>
      <c r="D220" s="147">
        <v>204</v>
      </c>
      <c r="E220" s="144">
        <f t="shared" si="19"/>
        <v>1601556.352633399</v>
      </c>
      <c r="F220" s="144">
        <f t="shared" si="18"/>
        <v>17673.252474729743</v>
      </c>
      <c r="G220" s="144">
        <f t="shared" si="17"/>
        <v>8007.781763166995</v>
      </c>
      <c r="H220" s="144">
        <f t="shared" si="15"/>
        <v>9665.470711562748</v>
      </c>
      <c r="I220" s="145">
        <f t="shared" si="16"/>
        <v>1591890.8819218362</v>
      </c>
    </row>
    <row r="221" spans="3:9">
      <c r="C221" s="40"/>
      <c r="D221" s="58">
        <v>205</v>
      </c>
      <c r="E221" s="144">
        <f t="shared" si="19"/>
        <v>1591890.8819218362</v>
      </c>
      <c r="F221" s="144">
        <f t="shared" si="18"/>
        <v>17673.252474729743</v>
      </c>
      <c r="G221" s="144">
        <f t="shared" si="17"/>
        <v>7959.4544096091813</v>
      </c>
      <c r="H221" s="144">
        <f t="shared" si="15"/>
        <v>9713.7980651205617</v>
      </c>
      <c r="I221" s="145">
        <f t="shared" si="16"/>
        <v>1582177.0838567156</v>
      </c>
    </row>
    <row r="222" spans="3:9">
      <c r="C222" s="40"/>
      <c r="D222" s="58">
        <v>206</v>
      </c>
      <c r="E222" s="144">
        <f t="shared" si="19"/>
        <v>1582177.0838567156</v>
      </c>
      <c r="F222" s="144">
        <f t="shared" si="18"/>
        <v>17673.252474729743</v>
      </c>
      <c r="G222" s="144">
        <f t="shared" si="17"/>
        <v>7910.8854192835779</v>
      </c>
      <c r="H222" s="144">
        <f t="shared" si="15"/>
        <v>9762.3670554461642</v>
      </c>
      <c r="I222" s="145">
        <f t="shared" si="16"/>
        <v>1572414.7168012694</v>
      </c>
    </row>
    <row r="223" spans="3:9">
      <c r="C223" s="40"/>
      <c r="D223" s="58">
        <v>207</v>
      </c>
      <c r="E223" s="144">
        <f t="shared" si="19"/>
        <v>1572414.7168012694</v>
      </c>
      <c r="F223" s="144">
        <f t="shared" si="18"/>
        <v>17673.252474729743</v>
      </c>
      <c r="G223" s="144">
        <f t="shared" si="17"/>
        <v>7862.0735840063471</v>
      </c>
      <c r="H223" s="144">
        <f t="shared" si="15"/>
        <v>9811.1788907233968</v>
      </c>
      <c r="I223" s="145">
        <f t="shared" si="16"/>
        <v>1562603.5379105459</v>
      </c>
    </row>
    <row r="224" spans="3:9">
      <c r="C224" s="40"/>
      <c r="D224" s="58">
        <v>208</v>
      </c>
      <c r="E224" s="144">
        <f t="shared" si="19"/>
        <v>1562603.5379105459</v>
      </c>
      <c r="F224" s="144">
        <f t="shared" si="18"/>
        <v>17673.252474729743</v>
      </c>
      <c r="G224" s="144">
        <f t="shared" si="17"/>
        <v>7813.0176895527302</v>
      </c>
      <c r="H224" s="144">
        <f t="shared" si="15"/>
        <v>9860.2347851770137</v>
      </c>
      <c r="I224" s="145">
        <f t="shared" si="16"/>
        <v>1552743.3031253689</v>
      </c>
    </row>
    <row r="225" spans="3:9">
      <c r="C225" s="40"/>
      <c r="D225" s="58">
        <v>209</v>
      </c>
      <c r="E225" s="144">
        <f t="shared" si="19"/>
        <v>1552743.3031253689</v>
      </c>
      <c r="F225" s="144">
        <f t="shared" si="18"/>
        <v>17673.252474729743</v>
      </c>
      <c r="G225" s="144">
        <f t="shared" si="17"/>
        <v>7763.7165156268447</v>
      </c>
      <c r="H225" s="144">
        <f t="shared" si="15"/>
        <v>9909.5359591028973</v>
      </c>
      <c r="I225" s="145">
        <f t="shared" si="16"/>
        <v>1542833.767166266</v>
      </c>
    </row>
    <row r="226" spans="3:9">
      <c r="C226" s="40"/>
      <c r="D226" s="58">
        <v>210</v>
      </c>
      <c r="E226" s="144">
        <f t="shared" si="19"/>
        <v>1542833.767166266</v>
      </c>
      <c r="F226" s="144">
        <f t="shared" si="18"/>
        <v>17673.252474729743</v>
      </c>
      <c r="G226" s="144">
        <f t="shared" si="17"/>
        <v>7714.1688358313304</v>
      </c>
      <c r="H226" s="144">
        <f t="shared" si="15"/>
        <v>9959.0836388984135</v>
      </c>
      <c r="I226" s="145">
        <f t="shared" si="16"/>
        <v>1532874.6835273677</v>
      </c>
    </row>
    <row r="227" spans="3:9">
      <c r="C227" s="40"/>
      <c r="D227" s="58">
        <v>211</v>
      </c>
      <c r="E227" s="144">
        <f t="shared" si="19"/>
        <v>1532874.6835273677</v>
      </c>
      <c r="F227" s="144">
        <f t="shared" si="18"/>
        <v>17673.252474729743</v>
      </c>
      <c r="G227" s="144">
        <f t="shared" si="17"/>
        <v>7664.373417636838</v>
      </c>
      <c r="H227" s="144">
        <f t="shared" si="15"/>
        <v>10008.879057092905</v>
      </c>
      <c r="I227" s="145">
        <f t="shared" si="16"/>
        <v>1522865.8044702748</v>
      </c>
    </row>
    <row r="228" spans="3:9">
      <c r="C228" s="40"/>
      <c r="D228" s="58">
        <v>212</v>
      </c>
      <c r="E228" s="144">
        <f t="shared" si="19"/>
        <v>1522865.8044702748</v>
      </c>
      <c r="F228" s="144">
        <f t="shared" si="18"/>
        <v>17673.252474729743</v>
      </c>
      <c r="G228" s="144">
        <f t="shared" si="17"/>
        <v>7614.3290223513741</v>
      </c>
      <c r="H228" s="144">
        <f t="shared" si="15"/>
        <v>10058.923452378369</v>
      </c>
      <c r="I228" s="145">
        <f t="shared" si="16"/>
        <v>1512806.8810178963</v>
      </c>
    </row>
    <row r="229" spans="3:9">
      <c r="C229" s="40"/>
      <c r="D229" s="58">
        <v>213</v>
      </c>
      <c r="E229" s="144">
        <f t="shared" si="19"/>
        <v>1512806.8810178963</v>
      </c>
      <c r="F229" s="144">
        <f t="shared" si="18"/>
        <v>17673.252474729743</v>
      </c>
      <c r="G229" s="144">
        <f t="shared" si="17"/>
        <v>7564.0344050894819</v>
      </c>
      <c r="H229" s="144">
        <f t="shared" si="15"/>
        <v>10109.218069640261</v>
      </c>
      <c r="I229" s="145">
        <f t="shared" si="16"/>
        <v>1502697.6629482561</v>
      </c>
    </row>
    <row r="230" spans="3:9">
      <c r="C230" s="40"/>
      <c r="D230" s="58">
        <v>214</v>
      </c>
      <c r="E230" s="144">
        <f t="shared" si="19"/>
        <v>1502697.6629482561</v>
      </c>
      <c r="F230" s="144">
        <f t="shared" si="18"/>
        <v>17673.252474729743</v>
      </c>
      <c r="G230" s="144">
        <f t="shared" si="17"/>
        <v>7513.4883147412811</v>
      </c>
      <c r="H230" s="144">
        <f t="shared" si="15"/>
        <v>10159.764159988463</v>
      </c>
      <c r="I230" s="145">
        <f t="shared" si="16"/>
        <v>1492537.8987882677</v>
      </c>
    </row>
    <row r="231" spans="3:9">
      <c r="C231" s="40"/>
      <c r="D231" s="58">
        <v>215</v>
      </c>
      <c r="E231" s="144">
        <f t="shared" si="19"/>
        <v>1492537.8987882677</v>
      </c>
      <c r="F231" s="144">
        <f t="shared" si="18"/>
        <v>17673.252474729743</v>
      </c>
      <c r="G231" s="144">
        <f t="shared" si="17"/>
        <v>7462.6894939413387</v>
      </c>
      <c r="H231" s="144">
        <f t="shared" si="15"/>
        <v>10210.562980788403</v>
      </c>
      <c r="I231" s="145">
        <f t="shared" si="16"/>
        <v>1482327.3358074795</v>
      </c>
    </row>
    <row r="232" spans="3:9">
      <c r="C232" s="46">
        <v>18</v>
      </c>
      <c r="D232" s="147">
        <v>216</v>
      </c>
      <c r="E232" s="144">
        <f t="shared" si="19"/>
        <v>1482327.3358074795</v>
      </c>
      <c r="F232" s="144">
        <f t="shared" si="18"/>
        <v>17673.252474729743</v>
      </c>
      <c r="G232" s="144">
        <f t="shared" si="17"/>
        <v>7411.6366790373977</v>
      </c>
      <c r="H232" s="144">
        <f t="shared" si="15"/>
        <v>10261.615795692345</v>
      </c>
      <c r="I232" s="145">
        <f t="shared" si="16"/>
        <v>1472065.720011787</v>
      </c>
    </row>
    <row r="233" spans="3:9">
      <c r="C233" s="40"/>
      <c r="D233" s="58">
        <v>217</v>
      </c>
      <c r="E233" s="144">
        <f t="shared" si="19"/>
        <v>1472065.720011787</v>
      </c>
      <c r="F233" s="144">
        <f t="shared" si="18"/>
        <v>17673.252474729743</v>
      </c>
      <c r="G233" s="144">
        <f t="shared" si="17"/>
        <v>7360.3286000589351</v>
      </c>
      <c r="H233" s="144">
        <f t="shared" si="15"/>
        <v>10312.923874670807</v>
      </c>
      <c r="I233" s="145">
        <f t="shared" si="16"/>
        <v>1461752.7961371162</v>
      </c>
    </row>
    <row r="234" spans="3:9">
      <c r="C234" s="40"/>
      <c r="D234" s="58">
        <v>218</v>
      </c>
      <c r="E234" s="144">
        <f t="shared" si="19"/>
        <v>1461752.7961371162</v>
      </c>
      <c r="F234" s="144">
        <f t="shared" si="18"/>
        <v>17673.252474729743</v>
      </c>
      <c r="G234" s="144">
        <f t="shared" si="17"/>
        <v>7308.7639806855805</v>
      </c>
      <c r="H234" s="144">
        <f t="shared" si="15"/>
        <v>10364.488494044163</v>
      </c>
      <c r="I234" s="145">
        <f t="shared" si="16"/>
        <v>1451388.307643072</v>
      </c>
    </row>
    <row r="235" spans="3:9">
      <c r="C235" s="40"/>
      <c r="D235" s="58">
        <v>219</v>
      </c>
      <c r="E235" s="144">
        <f t="shared" si="19"/>
        <v>1451388.307643072</v>
      </c>
      <c r="F235" s="144">
        <f t="shared" si="18"/>
        <v>17673.252474729743</v>
      </c>
      <c r="G235" s="144">
        <f t="shared" si="17"/>
        <v>7256.9415382153602</v>
      </c>
      <c r="H235" s="144">
        <f t="shared" si="15"/>
        <v>10416.310936514383</v>
      </c>
      <c r="I235" s="145">
        <f t="shared" si="16"/>
        <v>1440971.9967065577</v>
      </c>
    </row>
    <row r="236" spans="3:9">
      <c r="C236" s="40"/>
      <c r="D236" s="58">
        <v>220</v>
      </c>
      <c r="E236" s="144">
        <f t="shared" si="19"/>
        <v>1440971.9967065577</v>
      </c>
      <c r="F236" s="144">
        <f t="shared" si="18"/>
        <v>17673.252474729743</v>
      </c>
      <c r="G236" s="144">
        <f t="shared" si="17"/>
        <v>7204.8599835327886</v>
      </c>
      <c r="H236" s="144">
        <f t="shared" si="15"/>
        <v>10468.392491196955</v>
      </c>
      <c r="I236" s="145">
        <f t="shared" si="16"/>
        <v>1430503.6042153607</v>
      </c>
    </row>
    <row r="237" spans="3:9">
      <c r="C237" s="40"/>
      <c r="D237" s="58">
        <v>221</v>
      </c>
      <c r="E237" s="144">
        <f t="shared" si="19"/>
        <v>1430503.6042153607</v>
      </c>
      <c r="F237" s="144">
        <f t="shared" si="18"/>
        <v>17673.252474729743</v>
      </c>
      <c r="G237" s="144">
        <f t="shared" si="17"/>
        <v>7152.518021076804</v>
      </c>
      <c r="H237" s="144">
        <f t="shared" si="15"/>
        <v>10520.734453652938</v>
      </c>
      <c r="I237" s="145">
        <f t="shared" si="16"/>
        <v>1419982.8697617077</v>
      </c>
    </row>
    <row r="238" spans="3:9">
      <c r="C238" s="40"/>
      <c r="D238" s="58">
        <v>222</v>
      </c>
      <c r="E238" s="144">
        <f t="shared" si="19"/>
        <v>1419982.8697617077</v>
      </c>
      <c r="F238" s="144">
        <f t="shared" si="18"/>
        <v>17673.252474729743</v>
      </c>
      <c r="G238" s="144">
        <f t="shared" si="17"/>
        <v>7099.9143488085392</v>
      </c>
      <c r="H238" s="144">
        <f t="shared" si="15"/>
        <v>10573.338125921204</v>
      </c>
      <c r="I238" s="145">
        <f t="shared" si="16"/>
        <v>1409409.5316357864</v>
      </c>
    </row>
    <row r="239" spans="3:9">
      <c r="C239" s="40"/>
      <c r="D239" s="58">
        <v>223</v>
      </c>
      <c r="E239" s="144">
        <f t="shared" si="19"/>
        <v>1409409.5316357864</v>
      </c>
      <c r="F239" s="144">
        <f t="shared" si="18"/>
        <v>17673.252474729743</v>
      </c>
      <c r="G239" s="144">
        <f t="shared" si="17"/>
        <v>7047.0476581789326</v>
      </c>
      <c r="H239" s="144">
        <f t="shared" si="15"/>
        <v>10626.204816550809</v>
      </c>
      <c r="I239" s="145">
        <f t="shared" si="16"/>
        <v>1398783.3268192357</v>
      </c>
    </row>
    <row r="240" spans="3:9">
      <c r="C240" s="40"/>
      <c r="D240" s="58">
        <v>224</v>
      </c>
      <c r="E240" s="144">
        <f t="shared" si="19"/>
        <v>1398783.3268192357</v>
      </c>
      <c r="F240" s="144">
        <f t="shared" si="18"/>
        <v>17673.252474729743</v>
      </c>
      <c r="G240" s="144">
        <f t="shared" si="17"/>
        <v>6993.9166340961783</v>
      </c>
      <c r="H240" s="144">
        <f t="shared" si="15"/>
        <v>10679.335840633565</v>
      </c>
      <c r="I240" s="145">
        <f t="shared" si="16"/>
        <v>1388103.9909786021</v>
      </c>
    </row>
    <row r="241" spans="3:9">
      <c r="C241" s="40"/>
      <c r="D241" s="58">
        <v>225</v>
      </c>
      <c r="E241" s="144">
        <f t="shared" si="19"/>
        <v>1388103.9909786021</v>
      </c>
      <c r="F241" s="144">
        <f t="shared" si="18"/>
        <v>17673.252474729743</v>
      </c>
      <c r="G241" s="144">
        <f t="shared" si="17"/>
        <v>6940.5199548930104</v>
      </c>
      <c r="H241" s="144">
        <f t="shared" si="15"/>
        <v>10732.732519836733</v>
      </c>
      <c r="I241" s="145">
        <f t="shared" si="16"/>
        <v>1377371.2584587655</v>
      </c>
    </row>
    <row r="242" spans="3:9">
      <c r="C242" s="40"/>
      <c r="D242" s="58">
        <v>226</v>
      </c>
      <c r="E242" s="144">
        <f t="shared" si="19"/>
        <v>1377371.2584587655</v>
      </c>
      <c r="F242" s="144">
        <f t="shared" si="18"/>
        <v>17673.252474729743</v>
      </c>
      <c r="G242" s="144">
        <f t="shared" si="17"/>
        <v>6886.8562922938272</v>
      </c>
      <c r="H242" s="144">
        <f t="shared" si="15"/>
        <v>10786.396182435916</v>
      </c>
      <c r="I242" s="145">
        <f t="shared" si="16"/>
        <v>1366584.8622763294</v>
      </c>
    </row>
    <row r="243" spans="3:9">
      <c r="C243" s="40"/>
      <c r="D243" s="58">
        <v>227</v>
      </c>
      <c r="E243" s="144">
        <f t="shared" si="19"/>
        <v>1366584.8622763294</v>
      </c>
      <c r="F243" s="144">
        <f t="shared" si="18"/>
        <v>17673.252474729743</v>
      </c>
      <c r="G243" s="144">
        <f t="shared" si="17"/>
        <v>6832.9243113816474</v>
      </c>
      <c r="H243" s="144">
        <f t="shared" si="15"/>
        <v>10840.328163348095</v>
      </c>
      <c r="I243" s="145">
        <f t="shared" si="16"/>
        <v>1355744.5341129813</v>
      </c>
    </row>
    <row r="244" spans="3:9">
      <c r="C244" s="46">
        <v>19</v>
      </c>
      <c r="D244" s="147">
        <v>228</v>
      </c>
      <c r="E244" s="144">
        <f t="shared" si="19"/>
        <v>1355744.5341129813</v>
      </c>
      <c r="F244" s="144">
        <f t="shared" si="18"/>
        <v>17673.252474729743</v>
      </c>
      <c r="G244" s="144">
        <f t="shared" si="17"/>
        <v>6778.7226705649064</v>
      </c>
      <c r="H244" s="144">
        <f t="shared" si="15"/>
        <v>10894.529804164837</v>
      </c>
      <c r="I244" s="145">
        <f t="shared" si="16"/>
        <v>1344850.0043088165</v>
      </c>
    </row>
    <row r="245" spans="3:9">
      <c r="C245" s="40"/>
      <c r="D245" s="58">
        <v>229</v>
      </c>
      <c r="E245" s="144">
        <f t="shared" si="19"/>
        <v>1344850.0043088165</v>
      </c>
      <c r="F245" s="144">
        <f t="shared" si="18"/>
        <v>17673.252474729743</v>
      </c>
      <c r="G245" s="144">
        <f t="shared" si="17"/>
        <v>6724.2500215440823</v>
      </c>
      <c r="H245" s="144">
        <f t="shared" si="15"/>
        <v>10949.002453185662</v>
      </c>
      <c r="I245" s="145">
        <f t="shared" si="16"/>
        <v>1333901.0018556309</v>
      </c>
    </row>
    <row r="246" spans="3:9">
      <c r="C246" s="40"/>
      <c r="D246" s="58">
        <v>230</v>
      </c>
      <c r="E246" s="144">
        <f t="shared" si="19"/>
        <v>1333901.0018556309</v>
      </c>
      <c r="F246" s="144">
        <f t="shared" si="18"/>
        <v>17673.252474729743</v>
      </c>
      <c r="G246" s="144">
        <f t="shared" si="17"/>
        <v>6669.5050092781548</v>
      </c>
      <c r="H246" s="144">
        <f t="shared" si="15"/>
        <v>11003.747465451588</v>
      </c>
      <c r="I246" s="145">
        <f t="shared" si="16"/>
        <v>1322897.2543901794</v>
      </c>
    </row>
    <row r="247" spans="3:9">
      <c r="C247" s="40"/>
      <c r="D247" s="58">
        <v>231</v>
      </c>
      <c r="E247" s="144">
        <f t="shared" si="19"/>
        <v>1322897.2543901794</v>
      </c>
      <c r="F247" s="144">
        <f t="shared" si="18"/>
        <v>17673.252474729743</v>
      </c>
      <c r="G247" s="144">
        <f t="shared" si="17"/>
        <v>6614.4862719508974</v>
      </c>
      <c r="H247" s="144">
        <f t="shared" si="15"/>
        <v>11058.766202778846</v>
      </c>
      <c r="I247" s="145">
        <f t="shared" si="16"/>
        <v>1311838.4881874006</v>
      </c>
    </row>
    <row r="248" spans="3:9">
      <c r="C248" s="40"/>
      <c r="D248" s="58">
        <v>232</v>
      </c>
      <c r="E248" s="144">
        <f t="shared" si="19"/>
        <v>1311838.4881874006</v>
      </c>
      <c r="F248" s="144">
        <f t="shared" si="18"/>
        <v>17673.252474729743</v>
      </c>
      <c r="G248" s="144">
        <f t="shared" si="17"/>
        <v>6559.1924409370031</v>
      </c>
      <c r="H248" s="144">
        <f t="shared" si="15"/>
        <v>11114.060033792739</v>
      </c>
      <c r="I248" s="145">
        <f t="shared" si="16"/>
        <v>1300724.428153608</v>
      </c>
    </row>
    <row r="249" spans="3:9">
      <c r="C249" s="40"/>
      <c r="D249" s="58">
        <v>233</v>
      </c>
      <c r="E249" s="144">
        <f t="shared" si="19"/>
        <v>1300724.428153608</v>
      </c>
      <c r="F249" s="144">
        <f t="shared" si="18"/>
        <v>17673.252474729743</v>
      </c>
      <c r="G249" s="144">
        <f t="shared" si="17"/>
        <v>6503.6221407680405</v>
      </c>
      <c r="H249" s="144">
        <f t="shared" si="15"/>
        <v>11169.630333961702</v>
      </c>
      <c r="I249" s="145">
        <f t="shared" si="16"/>
        <v>1289554.7978196463</v>
      </c>
    </row>
    <row r="250" spans="3:9">
      <c r="C250" s="40"/>
      <c r="D250" s="58">
        <v>234</v>
      </c>
      <c r="E250" s="144">
        <f t="shared" si="19"/>
        <v>1289554.7978196463</v>
      </c>
      <c r="F250" s="144">
        <f t="shared" si="18"/>
        <v>17673.252474729743</v>
      </c>
      <c r="G250" s="144">
        <f t="shared" si="17"/>
        <v>6447.7739890982321</v>
      </c>
      <c r="H250" s="144">
        <f t="shared" si="15"/>
        <v>11225.478485631511</v>
      </c>
      <c r="I250" s="145">
        <f t="shared" si="16"/>
        <v>1278329.3193340148</v>
      </c>
    </row>
    <row r="251" spans="3:9">
      <c r="C251" s="40"/>
      <c r="D251" s="58">
        <v>235</v>
      </c>
      <c r="E251" s="144">
        <f t="shared" si="19"/>
        <v>1278329.3193340148</v>
      </c>
      <c r="F251" s="144">
        <f t="shared" si="18"/>
        <v>17673.252474729743</v>
      </c>
      <c r="G251" s="144">
        <f t="shared" si="17"/>
        <v>6391.6465966700744</v>
      </c>
      <c r="H251" s="144">
        <f t="shared" si="15"/>
        <v>11281.605878059669</v>
      </c>
      <c r="I251" s="145">
        <f t="shared" si="16"/>
        <v>1267047.713455955</v>
      </c>
    </row>
    <row r="252" spans="3:9">
      <c r="C252" s="40"/>
      <c r="D252" s="58">
        <v>236</v>
      </c>
      <c r="E252" s="144">
        <f t="shared" si="19"/>
        <v>1267047.713455955</v>
      </c>
      <c r="F252" s="144">
        <f t="shared" si="18"/>
        <v>17673.252474729743</v>
      </c>
      <c r="G252" s="144">
        <f t="shared" si="17"/>
        <v>6335.2385672797755</v>
      </c>
      <c r="H252" s="144">
        <f t="shared" si="15"/>
        <v>11338.013907449968</v>
      </c>
      <c r="I252" s="145">
        <f t="shared" si="16"/>
        <v>1255709.699548505</v>
      </c>
    </row>
    <row r="253" spans="3:9">
      <c r="C253" s="40"/>
      <c r="D253" s="58">
        <v>237</v>
      </c>
      <c r="E253" s="144">
        <f t="shared" si="19"/>
        <v>1255709.699548505</v>
      </c>
      <c r="F253" s="144">
        <f t="shared" si="18"/>
        <v>17673.252474729743</v>
      </c>
      <c r="G253" s="144">
        <f t="shared" si="17"/>
        <v>6278.5484977425249</v>
      </c>
      <c r="H253" s="144">
        <f t="shared" si="15"/>
        <v>11394.703976987217</v>
      </c>
      <c r="I253" s="145">
        <f t="shared" si="16"/>
        <v>1244314.9955715179</v>
      </c>
    </row>
    <row r="254" spans="3:9">
      <c r="C254" s="40"/>
      <c r="D254" s="58">
        <v>238</v>
      </c>
      <c r="E254" s="144">
        <f t="shared" si="19"/>
        <v>1244314.9955715179</v>
      </c>
      <c r="F254" s="144">
        <f t="shared" si="18"/>
        <v>17673.252474729743</v>
      </c>
      <c r="G254" s="144">
        <f t="shared" si="17"/>
        <v>6221.5749778575891</v>
      </c>
      <c r="H254" s="144">
        <f t="shared" si="15"/>
        <v>11451.677496872155</v>
      </c>
      <c r="I254" s="145">
        <f t="shared" si="16"/>
        <v>1232863.3180746457</v>
      </c>
    </row>
    <row r="255" spans="3:9">
      <c r="C255" s="40"/>
      <c r="D255" s="58">
        <v>239</v>
      </c>
      <c r="E255" s="144">
        <f t="shared" si="19"/>
        <v>1232863.3180746457</v>
      </c>
      <c r="F255" s="144">
        <f t="shared" si="18"/>
        <v>17673.252474729743</v>
      </c>
      <c r="G255" s="144">
        <f t="shared" si="17"/>
        <v>6164.3165903732288</v>
      </c>
      <c r="H255" s="144">
        <f t="shared" si="15"/>
        <v>11508.935884356513</v>
      </c>
      <c r="I255" s="145">
        <f t="shared" si="16"/>
        <v>1221354.3821902892</v>
      </c>
    </row>
    <row r="256" spans="3:9">
      <c r="C256" s="46">
        <v>20</v>
      </c>
      <c r="D256" s="147">
        <v>240</v>
      </c>
      <c r="E256" s="144">
        <f t="shared" si="19"/>
        <v>1221354.3821902892</v>
      </c>
      <c r="F256" s="144">
        <f t="shared" si="18"/>
        <v>17673.252474729743</v>
      </c>
      <c r="G256" s="144">
        <f t="shared" si="17"/>
        <v>6106.7719109514464</v>
      </c>
      <c r="H256" s="144">
        <f t="shared" si="15"/>
        <v>11566.480563778296</v>
      </c>
      <c r="I256" s="145">
        <f t="shared" si="16"/>
        <v>1209787.901626511</v>
      </c>
    </row>
    <row r="257" spans="3:9">
      <c r="C257" s="40"/>
      <c r="D257" s="58">
        <v>241</v>
      </c>
      <c r="E257" s="144">
        <f t="shared" si="19"/>
        <v>1209787.901626511</v>
      </c>
      <c r="F257" s="144">
        <f t="shared" si="18"/>
        <v>17673.252474729743</v>
      </c>
      <c r="G257" s="144">
        <f t="shared" si="17"/>
        <v>6048.9395081325556</v>
      </c>
      <c r="H257" s="144">
        <f t="shared" si="15"/>
        <v>11624.312966597186</v>
      </c>
      <c r="I257" s="145">
        <f t="shared" si="16"/>
        <v>1198163.5886599137</v>
      </c>
    </row>
    <row r="258" spans="3:9">
      <c r="C258" s="40"/>
      <c r="D258" s="58">
        <v>242</v>
      </c>
      <c r="E258" s="144">
        <f t="shared" si="19"/>
        <v>1198163.5886599137</v>
      </c>
      <c r="F258" s="144">
        <f t="shared" si="18"/>
        <v>17673.252474729743</v>
      </c>
      <c r="G258" s="144">
        <f t="shared" si="17"/>
        <v>5990.8179432995685</v>
      </c>
      <c r="H258" s="144">
        <f t="shared" si="15"/>
        <v>11682.434531430175</v>
      </c>
      <c r="I258" s="145">
        <f t="shared" si="16"/>
        <v>1186481.1541284835</v>
      </c>
    </row>
    <row r="259" spans="3:9">
      <c r="C259" s="40"/>
      <c r="D259" s="58">
        <v>243</v>
      </c>
      <c r="E259" s="144">
        <f t="shared" si="19"/>
        <v>1186481.1541284835</v>
      </c>
      <c r="F259" s="144">
        <f t="shared" si="18"/>
        <v>17673.252474729743</v>
      </c>
      <c r="G259" s="144">
        <f t="shared" si="17"/>
        <v>5932.4057706424173</v>
      </c>
      <c r="H259" s="144">
        <f t="shared" si="15"/>
        <v>11740.846704087326</v>
      </c>
      <c r="I259" s="145">
        <f t="shared" si="16"/>
        <v>1174740.3074243963</v>
      </c>
    </row>
    <row r="260" spans="3:9">
      <c r="C260" s="40"/>
      <c r="D260" s="58">
        <v>244</v>
      </c>
      <c r="E260" s="144">
        <f t="shared" si="19"/>
        <v>1174740.3074243963</v>
      </c>
      <c r="F260" s="144">
        <f t="shared" si="18"/>
        <v>17673.252474729743</v>
      </c>
      <c r="G260" s="144">
        <f t="shared" si="17"/>
        <v>5873.7015371219813</v>
      </c>
      <c r="H260" s="144">
        <f t="shared" si="15"/>
        <v>11799.550937607761</v>
      </c>
      <c r="I260" s="145">
        <f t="shared" si="16"/>
        <v>1162940.7564867886</v>
      </c>
    </row>
    <row r="261" spans="3:9">
      <c r="C261" s="40"/>
      <c r="D261" s="58">
        <v>245</v>
      </c>
      <c r="E261" s="144">
        <f t="shared" si="19"/>
        <v>1162940.7564867886</v>
      </c>
      <c r="F261" s="144">
        <f t="shared" si="18"/>
        <v>17673.252474729743</v>
      </c>
      <c r="G261" s="144">
        <f t="shared" si="17"/>
        <v>5814.7037824339432</v>
      </c>
      <c r="H261" s="144">
        <f t="shared" si="15"/>
        <v>11858.548692295801</v>
      </c>
      <c r="I261" s="145">
        <f t="shared" si="16"/>
        <v>1151082.2077944928</v>
      </c>
    </row>
    <row r="262" spans="3:9">
      <c r="C262" s="40"/>
      <c r="D262" s="58">
        <v>246</v>
      </c>
      <c r="E262" s="144">
        <f t="shared" si="19"/>
        <v>1151082.2077944928</v>
      </c>
      <c r="F262" s="144">
        <f t="shared" si="18"/>
        <v>17673.252474729743</v>
      </c>
      <c r="G262" s="144">
        <f t="shared" si="17"/>
        <v>5755.4110389724647</v>
      </c>
      <c r="H262" s="144">
        <f t="shared" si="15"/>
        <v>11917.841435757278</v>
      </c>
      <c r="I262" s="145">
        <f t="shared" si="16"/>
        <v>1139164.3663587356</v>
      </c>
    </row>
    <row r="263" spans="3:9">
      <c r="C263" s="40"/>
      <c r="D263" s="58">
        <v>247</v>
      </c>
      <c r="E263" s="144">
        <f t="shared" si="19"/>
        <v>1139164.3663587356</v>
      </c>
      <c r="F263" s="144">
        <f t="shared" si="18"/>
        <v>17673.252474729743</v>
      </c>
      <c r="G263" s="144">
        <f t="shared" si="17"/>
        <v>5695.821831793678</v>
      </c>
      <c r="H263" s="144">
        <f t="shared" si="15"/>
        <v>11977.430642936066</v>
      </c>
      <c r="I263" s="145">
        <f t="shared" si="16"/>
        <v>1127186.9357157995</v>
      </c>
    </row>
    <row r="264" spans="3:9">
      <c r="C264" s="40"/>
      <c r="D264" s="58">
        <v>248</v>
      </c>
      <c r="E264" s="144">
        <f t="shared" si="19"/>
        <v>1127186.9357157995</v>
      </c>
      <c r="F264" s="144">
        <f t="shared" si="18"/>
        <v>17673.252474729743</v>
      </c>
      <c r="G264" s="144">
        <f t="shared" si="17"/>
        <v>5635.9346785789976</v>
      </c>
      <c r="H264" s="144">
        <f t="shared" si="15"/>
        <v>12037.317796150746</v>
      </c>
      <c r="I264" s="145">
        <f t="shared" si="16"/>
        <v>1115149.6179196488</v>
      </c>
    </row>
    <row r="265" spans="3:9">
      <c r="C265" s="40"/>
      <c r="D265" s="58">
        <v>249</v>
      </c>
      <c r="E265" s="144">
        <f t="shared" si="19"/>
        <v>1115149.6179196488</v>
      </c>
      <c r="F265" s="144">
        <f t="shared" si="18"/>
        <v>17673.252474729743</v>
      </c>
      <c r="G265" s="144">
        <f t="shared" si="17"/>
        <v>5575.7480895982435</v>
      </c>
      <c r="H265" s="144">
        <f t="shared" si="15"/>
        <v>12097.504385131499</v>
      </c>
      <c r="I265" s="145">
        <f t="shared" si="16"/>
        <v>1103052.1135345174</v>
      </c>
    </row>
    <row r="266" spans="3:9">
      <c r="C266" s="40"/>
      <c r="D266" s="58">
        <v>250</v>
      </c>
      <c r="E266" s="144">
        <f t="shared" si="19"/>
        <v>1103052.1135345174</v>
      </c>
      <c r="F266" s="144">
        <f t="shared" si="18"/>
        <v>17673.252474729743</v>
      </c>
      <c r="G266" s="144">
        <f t="shared" si="17"/>
        <v>5515.2605676725871</v>
      </c>
      <c r="H266" s="144">
        <f t="shared" si="15"/>
        <v>12157.991907057156</v>
      </c>
      <c r="I266" s="145">
        <f t="shared" si="16"/>
        <v>1090894.1216274602</v>
      </c>
    </row>
    <row r="267" spans="3:9">
      <c r="C267" s="40"/>
      <c r="D267" s="58">
        <v>251</v>
      </c>
      <c r="E267" s="144">
        <f t="shared" si="19"/>
        <v>1090894.1216274602</v>
      </c>
      <c r="F267" s="144">
        <f t="shared" si="18"/>
        <v>17673.252474729743</v>
      </c>
      <c r="G267" s="144">
        <f t="shared" si="17"/>
        <v>5454.4706081373015</v>
      </c>
      <c r="H267" s="144">
        <f t="shared" si="15"/>
        <v>12218.781866592442</v>
      </c>
      <c r="I267" s="145">
        <f t="shared" si="16"/>
        <v>1078675.3397608679</v>
      </c>
    </row>
    <row r="268" spans="3:9">
      <c r="C268" s="46">
        <v>21</v>
      </c>
      <c r="D268" s="147">
        <v>252</v>
      </c>
      <c r="E268" s="144">
        <f t="shared" si="19"/>
        <v>1078675.3397608679</v>
      </c>
      <c r="F268" s="144">
        <f t="shared" si="18"/>
        <v>17673.252474729743</v>
      </c>
      <c r="G268" s="144">
        <f t="shared" si="17"/>
        <v>5393.3766988043399</v>
      </c>
      <c r="H268" s="144">
        <f t="shared" si="15"/>
        <v>12279.875775925404</v>
      </c>
      <c r="I268" s="145">
        <f t="shared" si="16"/>
        <v>1066395.4639849425</v>
      </c>
    </row>
    <row r="269" spans="3:9">
      <c r="C269" s="40"/>
      <c r="D269" s="58">
        <v>253</v>
      </c>
      <c r="E269" s="144">
        <f t="shared" si="19"/>
        <v>1066395.4639849425</v>
      </c>
      <c r="F269" s="144">
        <f t="shared" si="18"/>
        <v>17673.252474729743</v>
      </c>
      <c r="G269" s="144">
        <f t="shared" si="17"/>
        <v>5331.9773199247129</v>
      </c>
      <c r="H269" s="144">
        <f t="shared" si="15"/>
        <v>12341.275154805029</v>
      </c>
      <c r="I269" s="145">
        <f t="shared" si="16"/>
        <v>1054054.1888301375</v>
      </c>
    </row>
    <row r="270" spans="3:9">
      <c r="C270" s="40"/>
      <c r="D270" s="58">
        <v>254</v>
      </c>
      <c r="E270" s="144">
        <f t="shared" si="19"/>
        <v>1054054.1888301375</v>
      </c>
      <c r="F270" s="144">
        <f t="shared" si="18"/>
        <v>17673.252474729743</v>
      </c>
      <c r="G270" s="144">
        <f t="shared" si="17"/>
        <v>5270.2709441506877</v>
      </c>
      <c r="H270" s="144">
        <f t="shared" si="15"/>
        <v>12402.981530579054</v>
      </c>
      <c r="I270" s="145">
        <f t="shared" si="16"/>
        <v>1041651.2072995584</v>
      </c>
    </row>
    <row r="271" spans="3:9">
      <c r="C271" s="40"/>
      <c r="D271" s="58">
        <v>255</v>
      </c>
      <c r="E271" s="144">
        <f t="shared" si="19"/>
        <v>1041651.2072995584</v>
      </c>
      <c r="F271" s="144">
        <f t="shared" si="18"/>
        <v>17673.252474729743</v>
      </c>
      <c r="G271" s="144">
        <f t="shared" si="17"/>
        <v>5208.2560364977926</v>
      </c>
      <c r="H271" s="144">
        <f t="shared" si="15"/>
        <v>12464.99643823195</v>
      </c>
      <c r="I271" s="145">
        <f t="shared" si="16"/>
        <v>1029186.2108613265</v>
      </c>
    </row>
    <row r="272" spans="3:9">
      <c r="C272" s="40"/>
      <c r="D272" s="58">
        <v>256</v>
      </c>
      <c r="E272" s="144">
        <f t="shared" si="19"/>
        <v>1029186.2108613265</v>
      </c>
      <c r="F272" s="144">
        <f t="shared" si="18"/>
        <v>17673.252474729743</v>
      </c>
      <c r="G272" s="144">
        <f t="shared" si="17"/>
        <v>5145.9310543066331</v>
      </c>
      <c r="H272" s="144">
        <f t="shared" si="15"/>
        <v>12527.32142042311</v>
      </c>
      <c r="I272" s="145">
        <f t="shared" si="16"/>
        <v>1016658.8894409034</v>
      </c>
    </row>
    <row r="273" spans="3:9">
      <c r="C273" s="40"/>
      <c r="D273" s="58">
        <v>257</v>
      </c>
      <c r="E273" s="144">
        <f t="shared" si="19"/>
        <v>1016658.8894409034</v>
      </c>
      <c r="F273" s="144">
        <f t="shared" si="18"/>
        <v>17673.252474729743</v>
      </c>
      <c r="G273" s="144">
        <f t="shared" si="17"/>
        <v>5083.2944472045174</v>
      </c>
      <c r="H273" s="144">
        <f t="shared" ref="H273:H336" si="20">F273-G273</f>
        <v>12589.958027525226</v>
      </c>
      <c r="I273" s="145">
        <f t="shared" ref="I273:I336" si="21">E273-H273</f>
        <v>1004068.9314133782</v>
      </c>
    </row>
    <row r="274" spans="3:9">
      <c r="C274" s="40"/>
      <c r="D274" s="58">
        <v>258</v>
      </c>
      <c r="E274" s="144">
        <f t="shared" si="19"/>
        <v>1004068.9314133782</v>
      </c>
      <c r="F274" s="144">
        <f t="shared" si="18"/>
        <v>17673.252474729743</v>
      </c>
      <c r="G274" s="144">
        <f t="shared" ref="G274:G337" si="22">IF(D274&gt;$D$10,0,($D$6/12)*I273)</f>
        <v>5020.3446570668912</v>
      </c>
      <c r="H274" s="144">
        <f t="shared" si="20"/>
        <v>12652.907817662852</v>
      </c>
      <c r="I274" s="145">
        <f t="shared" si="21"/>
        <v>991416.02359571541</v>
      </c>
    </row>
    <row r="275" spans="3:9">
      <c r="C275" s="40"/>
      <c r="D275" s="58">
        <v>259</v>
      </c>
      <c r="E275" s="144">
        <f t="shared" si="19"/>
        <v>991416.02359571541</v>
      </c>
      <c r="F275" s="144">
        <f t="shared" si="18"/>
        <v>17673.252474729743</v>
      </c>
      <c r="G275" s="144">
        <f t="shared" si="22"/>
        <v>4957.0801179785767</v>
      </c>
      <c r="H275" s="144">
        <f t="shared" si="20"/>
        <v>12716.172356751165</v>
      </c>
      <c r="I275" s="145">
        <f t="shared" si="21"/>
        <v>978699.85123896424</v>
      </c>
    </row>
    <row r="276" spans="3:9">
      <c r="C276" s="40"/>
      <c r="D276" s="58">
        <v>260</v>
      </c>
      <c r="E276" s="144">
        <f t="shared" si="19"/>
        <v>978699.85123896424</v>
      </c>
      <c r="F276" s="144">
        <f t="shared" si="18"/>
        <v>17673.252474729743</v>
      </c>
      <c r="G276" s="144">
        <f t="shared" si="22"/>
        <v>4893.4992561948211</v>
      </c>
      <c r="H276" s="144">
        <f t="shared" si="20"/>
        <v>12779.753218534923</v>
      </c>
      <c r="I276" s="145">
        <f t="shared" si="21"/>
        <v>965920.09802042937</v>
      </c>
    </row>
    <row r="277" spans="3:9">
      <c r="C277" s="40"/>
      <c r="D277" s="58">
        <v>261</v>
      </c>
      <c r="E277" s="144">
        <f t="shared" si="19"/>
        <v>965920.09802042937</v>
      </c>
      <c r="F277" s="144">
        <f t="shared" ref="F277:F340" si="23">IF(D277&gt;$D$10,0,IF(D277&lt;=$D$8,G277,-PMT($D$6/12,$D$9,$D$5,0,0)))</f>
        <v>17673.252474729743</v>
      </c>
      <c r="G277" s="144">
        <f t="shared" si="22"/>
        <v>4829.600490102147</v>
      </c>
      <c r="H277" s="144">
        <f t="shared" si="20"/>
        <v>12843.651984627595</v>
      </c>
      <c r="I277" s="145">
        <f t="shared" si="21"/>
        <v>953076.44603580178</v>
      </c>
    </row>
    <row r="278" spans="3:9">
      <c r="C278" s="40"/>
      <c r="D278" s="58">
        <v>262</v>
      </c>
      <c r="E278" s="144">
        <f t="shared" ref="E278:E341" si="24">IF(D278&gt;$D$10,0,I277)</f>
        <v>953076.44603580178</v>
      </c>
      <c r="F278" s="144">
        <f t="shared" si="23"/>
        <v>17673.252474729743</v>
      </c>
      <c r="G278" s="144">
        <f t="shared" si="22"/>
        <v>4765.3822301790087</v>
      </c>
      <c r="H278" s="144">
        <f t="shared" si="20"/>
        <v>12907.870244550733</v>
      </c>
      <c r="I278" s="145">
        <f t="shared" si="21"/>
        <v>940168.57579125103</v>
      </c>
    </row>
    <row r="279" spans="3:9">
      <c r="C279" s="40"/>
      <c r="D279" s="58">
        <v>263</v>
      </c>
      <c r="E279" s="144">
        <f t="shared" si="24"/>
        <v>940168.57579125103</v>
      </c>
      <c r="F279" s="144">
        <f t="shared" si="23"/>
        <v>17673.252474729743</v>
      </c>
      <c r="G279" s="144">
        <f t="shared" si="22"/>
        <v>4700.8428789562549</v>
      </c>
      <c r="H279" s="144">
        <f t="shared" si="20"/>
        <v>12972.409595773488</v>
      </c>
      <c r="I279" s="145">
        <f t="shared" si="21"/>
        <v>927196.16619547759</v>
      </c>
    </row>
    <row r="280" spans="3:9">
      <c r="C280" s="46">
        <v>22</v>
      </c>
      <c r="D280" s="147">
        <v>264</v>
      </c>
      <c r="E280" s="144">
        <f t="shared" si="24"/>
        <v>927196.16619547759</v>
      </c>
      <c r="F280" s="144">
        <f t="shared" si="23"/>
        <v>17673.252474729743</v>
      </c>
      <c r="G280" s="144">
        <f t="shared" si="22"/>
        <v>4635.980830977388</v>
      </c>
      <c r="H280" s="144">
        <f t="shared" si="20"/>
        <v>13037.271643752356</v>
      </c>
      <c r="I280" s="145">
        <f t="shared" si="21"/>
        <v>914158.89455172524</v>
      </c>
    </row>
    <row r="281" spans="3:9">
      <c r="C281" s="40"/>
      <c r="D281" s="58">
        <v>265</v>
      </c>
      <c r="E281" s="144">
        <f t="shared" si="24"/>
        <v>914158.89455172524</v>
      </c>
      <c r="F281" s="144">
        <f t="shared" si="23"/>
        <v>17673.252474729743</v>
      </c>
      <c r="G281" s="144">
        <f t="shared" si="22"/>
        <v>4570.7944727586264</v>
      </c>
      <c r="H281" s="144">
        <f t="shared" si="20"/>
        <v>13102.458001971117</v>
      </c>
      <c r="I281" s="145">
        <f t="shared" si="21"/>
        <v>901056.43654975411</v>
      </c>
    </row>
    <row r="282" spans="3:9">
      <c r="C282" s="40"/>
      <c r="D282" s="58">
        <v>266</v>
      </c>
      <c r="E282" s="144">
        <f t="shared" si="24"/>
        <v>901056.43654975411</v>
      </c>
      <c r="F282" s="144">
        <f t="shared" si="23"/>
        <v>17673.252474729743</v>
      </c>
      <c r="G282" s="144">
        <f t="shared" si="22"/>
        <v>4505.2821827487705</v>
      </c>
      <c r="H282" s="144">
        <f t="shared" si="20"/>
        <v>13167.970291980972</v>
      </c>
      <c r="I282" s="145">
        <f t="shared" si="21"/>
        <v>887888.46625777311</v>
      </c>
    </row>
    <row r="283" spans="3:9">
      <c r="C283" s="40"/>
      <c r="D283" s="58">
        <v>267</v>
      </c>
      <c r="E283" s="144">
        <f t="shared" si="24"/>
        <v>887888.46625777311</v>
      </c>
      <c r="F283" s="144">
        <f t="shared" si="23"/>
        <v>17673.252474729743</v>
      </c>
      <c r="G283" s="144">
        <f t="shared" si="22"/>
        <v>4439.4423312888657</v>
      </c>
      <c r="H283" s="144">
        <f t="shared" si="20"/>
        <v>13233.810143440878</v>
      </c>
      <c r="I283" s="145">
        <f t="shared" si="21"/>
        <v>874654.65611433226</v>
      </c>
    </row>
    <row r="284" spans="3:9">
      <c r="C284" s="40"/>
      <c r="D284" s="58">
        <v>268</v>
      </c>
      <c r="E284" s="144">
        <f t="shared" si="24"/>
        <v>874654.65611433226</v>
      </c>
      <c r="F284" s="144">
        <f t="shared" si="23"/>
        <v>17673.252474729743</v>
      </c>
      <c r="G284" s="144">
        <f t="shared" si="22"/>
        <v>4373.2732805716614</v>
      </c>
      <c r="H284" s="144">
        <f t="shared" si="20"/>
        <v>13299.979194158081</v>
      </c>
      <c r="I284" s="145">
        <f t="shared" si="21"/>
        <v>861354.67692017416</v>
      </c>
    </row>
    <row r="285" spans="3:9">
      <c r="C285" s="40"/>
      <c r="D285" s="58">
        <v>269</v>
      </c>
      <c r="E285" s="144">
        <f t="shared" si="24"/>
        <v>861354.67692017416</v>
      </c>
      <c r="F285" s="144">
        <f t="shared" si="23"/>
        <v>17673.252474729743</v>
      </c>
      <c r="G285" s="144">
        <f t="shared" si="22"/>
        <v>4306.7733846008705</v>
      </c>
      <c r="H285" s="144">
        <f t="shared" si="20"/>
        <v>13366.479090128872</v>
      </c>
      <c r="I285" s="145">
        <f t="shared" si="21"/>
        <v>847988.19783004525</v>
      </c>
    </row>
    <row r="286" spans="3:9">
      <c r="C286" s="40"/>
      <c r="D286" s="58">
        <v>270</v>
      </c>
      <c r="E286" s="144">
        <f t="shared" si="24"/>
        <v>847988.19783004525</v>
      </c>
      <c r="F286" s="144">
        <f t="shared" si="23"/>
        <v>17673.252474729743</v>
      </c>
      <c r="G286" s="144">
        <f t="shared" si="22"/>
        <v>4239.9409891502264</v>
      </c>
      <c r="H286" s="144">
        <f t="shared" si="20"/>
        <v>13433.311485579517</v>
      </c>
      <c r="I286" s="145">
        <f t="shared" si="21"/>
        <v>834554.88634446578</v>
      </c>
    </row>
    <row r="287" spans="3:9">
      <c r="C287" s="40"/>
      <c r="D287" s="58">
        <v>271</v>
      </c>
      <c r="E287" s="144">
        <f t="shared" si="24"/>
        <v>834554.88634446578</v>
      </c>
      <c r="F287" s="144">
        <f t="shared" si="23"/>
        <v>17673.252474729743</v>
      </c>
      <c r="G287" s="144">
        <f t="shared" si="22"/>
        <v>4172.7744317223287</v>
      </c>
      <c r="H287" s="144">
        <f t="shared" si="20"/>
        <v>13500.478043007413</v>
      </c>
      <c r="I287" s="145">
        <f t="shared" si="21"/>
        <v>821054.40830145834</v>
      </c>
    </row>
    <row r="288" spans="3:9">
      <c r="C288" s="40"/>
      <c r="D288" s="58">
        <v>272</v>
      </c>
      <c r="E288" s="144">
        <f t="shared" si="24"/>
        <v>821054.40830145834</v>
      </c>
      <c r="F288" s="144">
        <f t="shared" si="23"/>
        <v>17673.252474729743</v>
      </c>
      <c r="G288" s="144">
        <f t="shared" si="22"/>
        <v>4105.2720415072918</v>
      </c>
      <c r="H288" s="144">
        <f t="shared" si="20"/>
        <v>13567.980433222452</v>
      </c>
      <c r="I288" s="145">
        <f t="shared" si="21"/>
        <v>807486.42786823586</v>
      </c>
    </row>
    <row r="289" spans="3:9">
      <c r="C289" s="40"/>
      <c r="D289" s="58">
        <v>273</v>
      </c>
      <c r="E289" s="144">
        <f t="shared" si="24"/>
        <v>807486.42786823586</v>
      </c>
      <c r="F289" s="144">
        <f t="shared" si="23"/>
        <v>17673.252474729743</v>
      </c>
      <c r="G289" s="144">
        <f t="shared" si="22"/>
        <v>4037.4321393411792</v>
      </c>
      <c r="H289" s="144">
        <f t="shared" si="20"/>
        <v>13635.820335388564</v>
      </c>
      <c r="I289" s="145">
        <f t="shared" si="21"/>
        <v>793850.60753284732</v>
      </c>
    </row>
    <row r="290" spans="3:9">
      <c r="C290" s="40"/>
      <c r="D290" s="58">
        <v>274</v>
      </c>
      <c r="E290" s="144">
        <f t="shared" si="24"/>
        <v>793850.60753284732</v>
      </c>
      <c r="F290" s="144">
        <f t="shared" si="23"/>
        <v>17673.252474729743</v>
      </c>
      <c r="G290" s="144">
        <f t="shared" si="22"/>
        <v>3969.2530376642367</v>
      </c>
      <c r="H290" s="144">
        <f t="shared" si="20"/>
        <v>13703.999437065506</v>
      </c>
      <c r="I290" s="145">
        <f t="shared" si="21"/>
        <v>780146.60809578176</v>
      </c>
    </row>
    <row r="291" spans="3:9">
      <c r="C291" s="40"/>
      <c r="D291" s="58">
        <v>275</v>
      </c>
      <c r="E291" s="144">
        <f t="shared" si="24"/>
        <v>780146.60809578176</v>
      </c>
      <c r="F291" s="144">
        <f t="shared" si="23"/>
        <v>17673.252474729743</v>
      </c>
      <c r="G291" s="144">
        <f t="shared" si="22"/>
        <v>3900.7330404789091</v>
      </c>
      <c r="H291" s="144">
        <f t="shared" si="20"/>
        <v>13772.519434250833</v>
      </c>
      <c r="I291" s="145">
        <f t="shared" si="21"/>
        <v>766374.08866153099</v>
      </c>
    </row>
    <row r="292" spans="3:9">
      <c r="C292" s="46">
        <v>23</v>
      </c>
      <c r="D292" s="147">
        <v>276</v>
      </c>
      <c r="E292" s="144">
        <f t="shared" si="24"/>
        <v>766374.08866153099</v>
      </c>
      <c r="F292" s="144">
        <f t="shared" si="23"/>
        <v>17673.252474729743</v>
      </c>
      <c r="G292" s="144">
        <f t="shared" si="22"/>
        <v>3831.870443307655</v>
      </c>
      <c r="H292" s="144">
        <f t="shared" si="20"/>
        <v>13841.382031422088</v>
      </c>
      <c r="I292" s="145">
        <f t="shared" si="21"/>
        <v>752532.70663010888</v>
      </c>
    </row>
    <row r="293" spans="3:9">
      <c r="C293" s="40"/>
      <c r="D293" s="58">
        <v>277</v>
      </c>
      <c r="E293" s="144">
        <f t="shared" si="24"/>
        <v>752532.70663010888</v>
      </c>
      <c r="F293" s="144">
        <f t="shared" si="23"/>
        <v>17673.252474729743</v>
      </c>
      <c r="G293" s="144">
        <f t="shared" si="22"/>
        <v>3762.6635331505445</v>
      </c>
      <c r="H293" s="144">
        <f t="shared" si="20"/>
        <v>13910.588941579199</v>
      </c>
      <c r="I293" s="145">
        <f t="shared" si="21"/>
        <v>738622.11768852966</v>
      </c>
    </row>
    <row r="294" spans="3:9">
      <c r="C294" s="40"/>
      <c r="D294" s="58">
        <v>278</v>
      </c>
      <c r="E294" s="144">
        <f t="shared" si="24"/>
        <v>738622.11768852966</v>
      </c>
      <c r="F294" s="144">
        <f t="shared" si="23"/>
        <v>17673.252474729743</v>
      </c>
      <c r="G294" s="144">
        <f t="shared" si="22"/>
        <v>3693.1105884426483</v>
      </c>
      <c r="H294" s="144">
        <f t="shared" si="20"/>
        <v>13980.141886287094</v>
      </c>
      <c r="I294" s="145">
        <f t="shared" si="21"/>
        <v>724641.97580224252</v>
      </c>
    </row>
    <row r="295" spans="3:9">
      <c r="C295" s="40"/>
      <c r="D295" s="58">
        <v>279</v>
      </c>
      <c r="E295" s="144">
        <f t="shared" si="24"/>
        <v>724641.97580224252</v>
      </c>
      <c r="F295" s="144">
        <f t="shared" si="23"/>
        <v>17673.252474729743</v>
      </c>
      <c r="G295" s="144">
        <f t="shared" si="22"/>
        <v>3623.2098790112127</v>
      </c>
      <c r="H295" s="144">
        <f t="shared" si="20"/>
        <v>14050.042595718531</v>
      </c>
      <c r="I295" s="145">
        <f t="shared" si="21"/>
        <v>710591.933206524</v>
      </c>
    </row>
    <row r="296" spans="3:9">
      <c r="C296" s="40"/>
      <c r="D296" s="58">
        <v>280</v>
      </c>
      <c r="E296" s="144">
        <f t="shared" si="24"/>
        <v>710591.933206524</v>
      </c>
      <c r="F296" s="144">
        <f t="shared" si="23"/>
        <v>17673.252474729743</v>
      </c>
      <c r="G296" s="144">
        <f t="shared" si="22"/>
        <v>3552.9596660326201</v>
      </c>
      <c r="H296" s="144">
        <f t="shared" si="20"/>
        <v>14120.292808697122</v>
      </c>
      <c r="I296" s="145">
        <f t="shared" si="21"/>
        <v>696471.64039782691</v>
      </c>
    </row>
    <row r="297" spans="3:9">
      <c r="C297" s="40"/>
      <c r="D297" s="58">
        <v>281</v>
      </c>
      <c r="E297" s="144">
        <f t="shared" si="24"/>
        <v>696471.64039782691</v>
      </c>
      <c r="F297" s="144">
        <f t="shared" si="23"/>
        <v>17673.252474729743</v>
      </c>
      <c r="G297" s="144">
        <f t="shared" si="22"/>
        <v>3482.3582019891346</v>
      </c>
      <c r="H297" s="144">
        <f t="shared" si="20"/>
        <v>14190.894272740608</v>
      </c>
      <c r="I297" s="145">
        <f t="shared" si="21"/>
        <v>682280.74612508633</v>
      </c>
    </row>
    <row r="298" spans="3:9">
      <c r="C298" s="40"/>
      <c r="D298" s="58">
        <v>282</v>
      </c>
      <c r="E298" s="144">
        <f t="shared" si="24"/>
        <v>682280.74612508633</v>
      </c>
      <c r="F298" s="144">
        <f t="shared" si="23"/>
        <v>17673.252474729743</v>
      </c>
      <c r="G298" s="144">
        <f t="shared" si="22"/>
        <v>3411.4037306254318</v>
      </c>
      <c r="H298" s="144">
        <f t="shared" si="20"/>
        <v>14261.848744104311</v>
      </c>
      <c r="I298" s="145">
        <f t="shared" si="21"/>
        <v>668018.89738098206</v>
      </c>
    </row>
    <row r="299" spans="3:9">
      <c r="C299" s="40"/>
      <c r="D299" s="58">
        <v>283</v>
      </c>
      <c r="E299" s="144">
        <f t="shared" si="24"/>
        <v>668018.89738098206</v>
      </c>
      <c r="F299" s="144">
        <f t="shared" si="23"/>
        <v>17673.252474729743</v>
      </c>
      <c r="G299" s="144">
        <f t="shared" si="22"/>
        <v>3340.0944869049104</v>
      </c>
      <c r="H299" s="144">
        <f t="shared" si="20"/>
        <v>14333.157987824832</v>
      </c>
      <c r="I299" s="145">
        <f t="shared" si="21"/>
        <v>653685.73939315719</v>
      </c>
    </row>
    <row r="300" spans="3:9">
      <c r="C300" s="40"/>
      <c r="D300" s="58">
        <v>284</v>
      </c>
      <c r="E300" s="144">
        <f t="shared" si="24"/>
        <v>653685.73939315719</v>
      </c>
      <c r="F300" s="144">
        <f t="shared" si="23"/>
        <v>17673.252474729743</v>
      </c>
      <c r="G300" s="144">
        <f t="shared" si="22"/>
        <v>3268.428696965786</v>
      </c>
      <c r="H300" s="144">
        <f t="shared" si="20"/>
        <v>14404.823777763957</v>
      </c>
      <c r="I300" s="145">
        <f t="shared" si="21"/>
        <v>639280.9156153932</v>
      </c>
    </row>
    <row r="301" spans="3:9">
      <c r="C301" s="40"/>
      <c r="D301" s="58">
        <v>285</v>
      </c>
      <c r="E301" s="144">
        <f t="shared" si="24"/>
        <v>639280.9156153932</v>
      </c>
      <c r="F301" s="144">
        <f t="shared" si="23"/>
        <v>17673.252474729743</v>
      </c>
      <c r="G301" s="144">
        <f t="shared" si="22"/>
        <v>3196.4045780769661</v>
      </c>
      <c r="H301" s="144">
        <f t="shared" si="20"/>
        <v>14476.847896652776</v>
      </c>
      <c r="I301" s="145">
        <f t="shared" si="21"/>
        <v>624804.06771874044</v>
      </c>
    </row>
    <row r="302" spans="3:9">
      <c r="C302" s="40"/>
      <c r="D302" s="58">
        <v>286</v>
      </c>
      <c r="E302" s="144">
        <f t="shared" si="24"/>
        <v>624804.06771874044</v>
      </c>
      <c r="F302" s="144">
        <f t="shared" si="23"/>
        <v>17673.252474729743</v>
      </c>
      <c r="G302" s="144">
        <f t="shared" si="22"/>
        <v>3124.020338593702</v>
      </c>
      <c r="H302" s="144">
        <f t="shared" si="20"/>
        <v>14549.232136136041</v>
      </c>
      <c r="I302" s="145">
        <f t="shared" si="21"/>
        <v>610254.8355826044</v>
      </c>
    </row>
    <row r="303" spans="3:9">
      <c r="C303" s="40"/>
      <c r="D303" s="58">
        <v>287</v>
      </c>
      <c r="E303" s="144">
        <f t="shared" si="24"/>
        <v>610254.8355826044</v>
      </c>
      <c r="F303" s="144">
        <f t="shared" si="23"/>
        <v>17673.252474729743</v>
      </c>
      <c r="G303" s="144">
        <f t="shared" si="22"/>
        <v>3051.274177913022</v>
      </c>
      <c r="H303" s="144">
        <f t="shared" si="20"/>
        <v>14621.97829681672</v>
      </c>
      <c r="I303" s="145">
        <f t="shared" si="21"/>
        <v>595632.8572857877</v>
      </c>
    </row>
    <row r="304" spans="3:9">
      <c r="C304" s="46">
        <v>24</v>
      </c>
      <c r="D304" s="147">
        <v>288</v>
      </c>
      <c r="E304" s="144">
        <f t="shared" si="24"/>
        <v>595632.8572857877</v>
      </c>
      <c r="F304" s="144">
        <f t="shared" si="23"/>
        <v>17673.252474729743</v>
      </c>
      <c r="G304" s="144">
        <f t="shared" si="22"/>
        <v>2978.1642864289383</v>
      </c>
      <c r="H304" s="144">
        <f t="shared" si="20"/>
        <v>14695.088188300804</v>
      </c>
      <c r="I304" s="145">
        <f t="shared" si="21"/>
        <v>580937.76909748686</v>
      </c>
    </row>
    <row r="305" spans="3:9">
      <c r="C305" s="40"/>
      <c r="D305" s="58">
        <v>289</v>
      </c>
      <c r="E305" s="144">
        <f t="shared" si="24"/>
        <v>580937.76909748686</v>
      </c>
      <c r="F305" s="144">
        <f t="shared" si="23"/>
        <v>17673.252474729743</v>
      </c>
      <c r="G305" s="144">
        <f t="shared" si="22"/>
        <v>2904.6888454874343</v>
      </c>
      <c r="H305" s="144">
        <f t="shared" si="20"/>
        <v>14768.563629242308</v>
      </c>
      <c r="I305" s="145">
        <f t="shared" si="21"/>
        <v>566169.2054682445</v>
      </c>
    </row>
    <row r="306" spans="3:9">
      <c r="C306" s="40"/>
      <c r="D306" s="58">
        <v>290</v>
      </c>
      <c r="E306" s="144">
        <f t="shared" si="24"/>
        <v>566169.2054682445</v>
      </c>
      <c r="F306" s="144">
        <f t="shared" si="23"/>
        <v>17673.252474729743</v>
      </c>
      <c r="G306" s="144">
        <f t="shared" si="22"/>
        <v>2830.8460273412225</v>
      </c>
      <c r="H306" s="144">
        <f t="shared" si="20"/>
        <v>14842.406447388521</v>
      </c>
      <c r="I306" s="145">
        <f t="shared" si="21"/>
        <v>551326.79902085604</v>
      </c>
    </row>
    <row r="307" spans="3:9">
      <c r="C307" s="40"/>
      <c r="D307" s="58">
        <v>291</v>
      </c>
      <c r="E307" s="144">
        <f t="shared" si="24"/>
        <v>551326.79902085604</v>
      </c>
      <c r="F307" s="144">
        <f t="shared" si="23"/>
        <v>17673.252474729743</v>
      </c>
      <c r="G307" s="144">
        <f t="shared" si="22"/>
        <v>2756.6339951042801</v>
      </c>
      <c r="H307" s="144">
        <f t="shared" si="20"/>
        <v>14916.618479625464</v>
      </c>
      <c r="I307" s="145">
        <f t="shared" si="21"/>
        <v>536410.1805412306</v>
      </c>
    </row>
    <row r="308" spans="3:9">
      <c r="C308" s="40"/>
      <c r="D308" s="58">
        <v>292</v>
      </c>
      <c r="E308" s="144">
        <f t="shared" si="24"/>
        <v>536410.1805412306</v>
      </c>
      <c r="F308" s="144">
        <f t="shared" si="23"/>
        <v>17673.252474729743</v>
      </c>
      <c r="G308" s="144">
        <f t="shared" si="22"/>
        <v>2682.050902706153</v>
      </c>
      <c r="H308" s="144">
        <f t="shared" si="20"/>
        <v>14991.20157202359</v>
      </c>
      <c r="I308" s="145">
        <f t="shared" si="21"/>
        <v>521418.97896920703</v>
      </c>
    </row>
    <row r="309" spans="3:9">
      <c r="C309" s="40"/>
      <c r="D309" s="58">
        <v>293</v>
      </c>
      <c r="E309" s="144">
        <f t="shared" si="24"/>
        <v>521418.97896920703</v>
      </c>
      <c r="F309" s="144">
        <f t="shared" si="23"/>
        <v>17673.252474729743</v>
      </c>
      <c r="G309" s="144">
        <f t="shared" si="22"/>
        <v>2607.094894846035</v>
      </c>
      <c r="H309" s="144">
        <f t="shared" si="20"/>
        <v>15066.157579883708</v>
      </c>
      <c r="I309" s="145">
        <f t="shared" si="21"/>
        <v>506352.82138932333</v>
      </c>
    </row>
    <row r="310" spans="3:9">
      <c r="C310" s="40"/>
      <c r="D310" s="58">
        <v>294</v>
      </c>
      <c r="E310" s="144">
        <f t="shared" si="24"/>
        <v>506352.82138932333</v>
      </c>
      <c r="F310" s="144">
        <f t="shared" si="23"/>
        <v>17673.252474729743</v>
      </c>
      <c r="G310" s="144">
        <f t="shared" si="22"/>
        <v>2531.7641069466167</v>
      </c>
      <c r="H310" s="144">
        <f t="shared" si="20"/>
        <v>15141.488367783126</v>
      </c>
      <c r="I310" s="145">
        <f t="shared" si="21"/>
        <v>491211.33302154019</v>
      </c>
    </row>
    <row r="311" spans="3:9">
      <c r="C311" s="40"/>
      <c r="D311" s="58">
        <v>295</v>
      </c>
      <c r="E311" s="144">
        <f t="shared" si="24"/>
        <v>491211.33302154019</v>
      </c>
      <c r="F311" s="144">
        <f t="shared" si="23"/>
        <v>17673.252474729743</v>
      </c>
      <c r="G311" s="144">
        <f t="shared" si="22"/>
        <v>2456.0566651077011</v>
      </c>
      <c r="H311" s="144">
        <f t="shared" si="20"/>
        <v>15217.195809622042</v>
      </c>
      <c r="I311" s="145">
        <f t="shared" si="21"/>
        <v>475994.13721191813</v>
      </c>
    </row>
    <row r="312" spans="3:9">
      <c r="C312" s="40"/>
      <c r="D312" s="58">
        <v>296</v>
      </c>
      <c r="E312" s="144">
        <f t="shared" si="24"/>
        <v>475994.13721191813</v>
      </c>
      <c r="F312" s="144">
        <f t="shared" si="23"/>
        <v>17673.252474729743</v>
      </c>
      <c r="G312" s="144">
        <f t="shared" si="22"/>
        <v>2379.9706860595907</v>
      </c>
      <c r="H312" s="144">
        <f t="shared" si="20"/>
        <v>15293.281788670152</v>
      </c>
      <c r="I312" s="145">
        <f t="shared" si="21"/>
        <v>460700.85542324797</v>
      </c>
    </row>
    <row r="313" spans="3:9">
      <c r="C313" s="40"/>
      <c r="D313" s="58">
        <v>297</v>
      </c>
      <c r="E313" s="144">
        <f t="shared" si="24"/>
        <v>460700.85542324797</v>
      </c>
      <c r="F313" s="144">
        <f t="shared" si="23"/>
        <v>17673.252474729743</v>
      </c>
      <c r="G313" s="144">
        <f t="shared" si="22"/>
        <v>2303.5042771162398</v>
      </c>
      <c r="H313" s="144">
        <f t="shared" si="20"/>
        <v>15369.748197613502</v>
      </c>
      <c r="I313" s="145">
        <f t="shared" si="21"/>
        <v>445331.10722563445</v>
      </c>
    </row>
    <row r="314" spans="3:9">
      <c r="C314" s="40"/>
      <c r="D314" s="58">
        <v>298</v>
      </c>
      <c r="E314" s="144">
        <f t="shared" si="24"/>
        <v>445331.10722563445</v>
      </c>
      <c r="F314" s="144">
        <f t="shared" si="23"/>
        <v>17673.252474729743</v>
      </c>
      <c r="G314" s="144">
        <f t="shared" si="22"/>
        <v>2226.6555361281721</v>
      </c>
      <c r="H314" s="144">
        <f t="shared" si="20"/>
        <v>15446.596938601571</v>
      </c>
      <c r="I314" s="145">
        <f t="shared" si="21"/>
        <v>429884.51028703287</v>
      </c>
    </row>
    <row r="315" spans="3:9">
      <c r="C315" s="40"/>
      <c r="D315" s="58">
        <v>299</v>
      </c>
      <c r="E315" s="144">
        <f t="shared" si="24"/>
        <v>429884.51028703287</v>
      </c>
      <c r="F315" s="144">
        <f t="shared" si="23"/>
        <v>17673.252474729743</v>
      </c>
      <c r="G315" s="144">
        <f t="shared" si="22"/>
        <v>2149.4225514351642</v>
      </c>
      <c r="H315" s="144">
        <f t="shared" si="20"/>
        <v>15523.829923294579</v>
      </c>
      <c r="I315" s="145">
        <f t="shared" si="21"/>
        <v>414360.68036373827</v>
      </c>
    </row>
    <row r="316" spans="3:9">
      <c r="C316" s="46">
        <v>25</v>
      </c>
      <c r="D316" s="147">
        <v>300</v>
      </c>
      <c r="E316" s="144">
        <f t="shared" si="24"/>
        <v>414360.68036373827</v>
      </c>
      <c r="F316" s="144">
        <f t="shared" si="23"/>
        <v>17673.252474729743</v>
      </c>
      <c r="G316" s="144">
        <f t="shared" si="22"/>
        <v>2071.8034018186913</v>
      </c>
      <c r="H316" s="144">
        <f t="shared" si="20"/>
        <v>15601.449072911051</v>
      </c>
      <c r="I316" s="145">
        <f t="shared" si="21"/>
        <v>398759.23129082721</v>
      </c>
    </row>
    <row r="317" spans="3:9">
      <c r="C317" s="40"/>
      <c r="D317" s="58">
        <v>301</v>
      </c>
      <c r="E317" s="144">
        <f t="shared" si="24"/>
        <v>398759.23129082721</v>
      </c>
      <c r="F317" s="144">
        <f t="shared" si="23"/>
        <v>17673.252474729743</v>
      </c>
      <c r="G317" s="144">
        <f t="shared" si="22"/>
        <v>1993.7961564541361</v>
      </c>
      <c r="H317" s="144">
        <f t="shared" si="20"/>
        <v>15679.456318275606</v>
      </c>
      <c r="I317" s="145">
        <f t="shared" si="21"/>
        <v>383079.77497255162</v>
      </c>
    </row>
    <row r="318" spans="3:9">
      <c r="C318" s="40"/>
      <c r="D318" s="58">
        <v>302</v>
      </c>
      <c r="E318" s="144">
        <f t="shared" si="24"/>
        <v>383079.77497255162</v>
      </c>
      <c r="F318" s="144">
        <f t="shared" si="23"/>
        <v>17673.252474729743</v>
      </c>
      <c r="G318" s="144">
        <f t="shared" si="22"/>
        <v>1915.398874862758</v>
      </c>
      <c r="H318" s="144">
        <f t="shared" si="20"/>
        <v>15757.853599866985</v>
      </c>
      <c r="I318" s="145">
        <f t="shared" si="21"/>
        <v>367321.92137268465</v>
      </c>
    </row>
    <row r="319" spans="3:9">
      <c r="C319" s="40"/>
      <c r="D319" s="58">
        <v>303</v>
      </c>
      <c r="E319" s="144">
        <f t="shared" si="24"/>
        <v>367321.92137268465</v>
      </c>
      <c r="F319" s="144">
        <f t="shared" si="23"/>
        <v>17673.252474729743</v>
      </c>
      <c r="G319" s="144">
        <f t="shared" si="22"/>
        <v>1836.6096068634233</v>
      </c>
      <c r="H319" s="144">
        <f t="shared" si="20"/>
        <v>15836.64286786632</v>
      </c>
      <c r="I319" s="145">
        <f t="shared" si="21"/>
        <v>351485.27850481833</v>
      </c>
    </row>
    <row r="320" spans="3:9">
      <c r="C320" s="40"/>
      <c r="D320" s="58">
        <v>304</v>
      </c>
      <c r="E320" s="144">
        <f t="shared" si="24"/>
        <v>351485.27850481833</v>
      </c>
      <c r="F320" s="144">
        <f t="shared" si="23"/>
        <v>17673.252474729743</v>
      </c>
      <c r="G320" s="144">
        <f t="shared" si="22"/>
        <v>1757.4263925240916</v>
      </c>
      <c r="H320" s="144">
        <f t="shared" si="20"/>
        <v>15915.826082205651</v>
      </c>
      <c r="I320" s="145">
        <f t="shared" si="21"/>
        <v>335569.4524226127</v>
      </c>
    </row>
    <row r="321" spans="3:9">
      <c r="C321" s="40"/>
      <c r="D321" s="58">
        <v>305</v>
      </c>
      <c r="E321" s="144">
        <f t="shared" si="24"/>
        <v>335569.4524226127</v>
      </c>
      <c r="F321" s="144">
        <f t="shared" si="23"/>
        <v>17673.252474729743</v>
      </c>
      <c r="G321" s="144">
        <f t="shared" si="22"/>
        <v>1677.8472621130636</v>
      </c>
      <c r="H321" s="144">
        <f t="shared" si="20"/>
        <v>15995.405212616679</v>
      </c>
      <c r="I321" s="145">
        <f t="shared" si="21"/>
        <v>319574.04720999603</v>
      </c>
    </row>
    <row r="322" spans="3:9">
      <c r="C322" s="40"/>
      <c r="D322" s="58">
        <v>306</v>
      </c>
      <c r="E322" s="144">
        <f t="shared" si="24"/>
        <v>319574.04720999603</v>
      </c>
      <c r="F322" s="144">
        <f t="shared" si="23"/>
        <v>17673.252474729743</v>
      </c>
      <c r="G322" s="144">
        <f t="shared" si="22"/>
        <v>1597.8702360499801</v>
      </c>
      <c r="H322" s="144">
        <f t="shared" si="20"/>
        <v>16075.382238679762</v>
      </c>
      <c r="I322" s="145">
        <f t="shared" si="21"/>
        <v>303498.66497131629</v>
      </c>
    </row>
    <row r="323" spans="3:9">
      <c r="C323" s="40"/>
      <c r="D323" s="58">
        <v>307</v>
      </c>
      <c r="E323" s="144">
        <f t="shared" si="24"/>
        <v>303498.66497131629</v>
      </c>
      <c r="F323" s="144">
        <f t="shared" si="23"/>
        <v>17673.252474729743</v>
      </c>
      <c r="G323" s="144">
        <f t="shared" si="22"/>
        <v>1517.4933248565815</v>
      </c>
      <c r="H323" s="144">
        <f t="shared" si="20"/>
        <v>16155.759149873162</v>
      </c>
      <c r="I323" s="145">
        <f t="shared" si="21"/>
        <v>287342.90582144313</v>
      </c>
    </row>
    <row r="324" spans="3:9">
      <c r="C324" s="40"/>
      <c r="D324" s="58">
        <v>308</v>
      </c>
      <c r="E324" s="144">
        <f t="shared" si="24"/>
        <v>287342.90582144313</v>
      </c>
      <c r="F324" s="144">
        <f t="shared" si="23"/>
        <v>17673.252474729743</v>
      </c>
      <c r="G324" s="144">
        <f t="shared" si="22"/>
        <v>1436.7145291072156</v>
      </c>
      <c r="H324" s="144">
        <f t="shared" si="20"/>
        <v>16236.537945622527</v>
      </c>
      <c r="I324" s="145">
        <f t="shared" si="21"/>
        <v>271106.36787582061</v>
      </c>
    </row>
    <row r="325" spans="3:9">
      <c r="C325" s="40"/>
      <c r="D325" s="58">
        <v>309</v>
      </c>
      <c r="E325" s="144">
        <f t="shared" si="24"/>
        <v>271106.36787582061</v>
      </c>
      <c r="F325" s="144">
        <f t="shared" si="23"/>
        <v>17673.252474729743</v>
      </c>
      <c r="G325" s="144">
        <f t="shared" si="22"/>
        <v>1355.5318393791031</v>
      </c>
      <c r="H325" s="144">
        <f t="shared" si="20"/>
        <v>16317.720635350641</v>
      </c>
      <c r="I325" s="145">
        <f t="shared" si="21"/>
        <v>254788.64724046996</v>
      </c>
    </row>
    <row r="326" spans="3:9">
      <c r="C326" s="40"/>
      <c r="D326" s="58">
        <v>310</v>
      </c>
      <c r="E326" s="144">
        <f t="shared" si="24"/>
        <v>254788.64724046996</v>
      </c>
      <c r="F326" s="144">
        <f t="shared" si="23"/>
        <v>17673.252474729743</v>
      </c>
      <c r="G326" s="144">
        <f t="shared" si="22"/>
        <v>1273.9432362023499</v>
      </c>
      <c r="H326" s="144">
        <f t="shared" si="20"/>
        <v>16399.309238527392</v>
      </c>
      <c r="I326" s="145">
        <f t="shared" si="21"/>
        <v>238389.33800194255</v>
      </c>
    </row>
    <row r="327" spans="3:9">
      <c r="C327" s="40"/>
      <c r="D327" s="58">
        <v>311</v>
      </c>
      <c r="E327" s="144">
        <f t="shared" si="24"/>
        <v>238389.33800194255</v>
      </c>
      <c r="F327" s="144">
        <f t="shared" si="23"/>
        <v>17673.252474729743</v>
      </c>
      <c r="G327" s="144">
        <f t="shared" si="22"/>
        <v>1191.9466900097127</v>
      </c>
      <c r="H327" s="144">
        <f t="shared" si="20"/>
        <v>16481.305784720029</v>
      </c>
      <c r="I327" s="145">
        <f t="shared" si="21"/>
        <v>221908.03221722253</v>
      </c>
    </row>
    <row r="328" spans="3:9">
      <c r="C328" s="46">
        <v>26</v>
      </c>
      <c r="D328" s="147">
        <v>312</v>
      </c>
      <c r="E328" s="144">
        <f t="shared" si="24"/>
        <v>221908.03221722253</v>
      </c>
      <c r="F328" s="144">
        <f t="shared" si="23"/>
        <v>17673.252474729743</v>
      </c>
      <c r="G328" s="144">
        <f t="shared" si="22"/>
        <v>1109.5401610861127</v>
      </c>
      <c r="H328" s="144">
        <f t="shared" si="20"/>
        <v>16563.712313643631</v>
      </c>
      <c r="I328" s="145">
        <f t="shared" si="21"/>
        <v>205344.3199035789</v>
      </c>
    </row>
    <row r="329" spans="3:9">
      <c r="C329" s="40"/>
      <c r="D329" s="58">
        <v>313</v>
      </c>
      <c r="E329" s="144">
        <f t="shared" si="24"/>
        <v>205344.3199035789</v>
      </c>
      <c r="F329" s="144">
        <f t="shared" si="23"/>
        <v>17673.252474729743</v>
      </c>
      <c r="G329" s="144">
        <f t="shared" si="22"/>
        <v>1026.7215995178944</v>
      </c>
      <c r="H329" s="144">
        <f t="shared" si="20"/>
        <v>16646.530875211847</v>
      </c>
      <c r="I329" s="145">
        <f t="shared" si="21"/>
        <v>188697.78902836706</v>
      </c>
    </row>
    <row r="330" spans="3:9">
      <c r="C330" s="40"/>
      <c r="D330" s="58">
        <v>314</v>
      </c>
      <c r="E330" s="144">
        <f t="shared" si="24"/>
        <v>188697.78902836706</v>
      </c>
      <c r="F330" s="144">
        <f t="shared" si="23"/>
        <v>17673.252474729743</v>
      </c>
      <c r="G330" s="144">
        <f t="shared" si="22"/>
        <v>943.4889451418353</v>
      </c>
      <c r="H330" s="144">
        <f t="shared" si="20"/>
        <v>16729.763529587908</v>
      </c>
      <c r="I330" s="145">
        <f t="shared" si="21"/>
        <v>171968.02549877914</v>
      </c>
    </row>
    <row r="331" spans="3:9">
      <c r="C331" s="40"/>
      <c r="D331" s="58">
        <v>315</v>
      </c>
      <c r="E331" s="144">
        <f t="shared" si="24"/>
        <v>171968.02549877914</v>
      </c>
      <c r="F331" s="144">
        <f t="shared" si="23"/>
        <v>17673.252474729743</v>
      </c>
      <c r="G331" s="144">
        <f t="shared" si="22"/>
        <v>859.84012749389569</v>
      </c>
      <c r="H331" s="144">
        <f t="shared" si="20"/>
        <v>16813.412347235848</v>
      </c>
      <c r="I331" s="145">
        <f t="shared" si="21"/>
        <v>155154.61315154331</v>
      </c>
    </row>
    <row r="332" spans="3:9">
      <c r="C332" s="40"/>
      <c r="D332" s="58">
        <v>316</v>
      </c>
      <c r="E332" s="144">
        <f t="shared" si="24"/>
        <v>155154.61315154331</v>
      </c>
      <c r="F332" s="144">
        <f t="shared" si="23"/>
        <v>17673.252474729743</v>
      </c>
      <c r="G332" s="144">
        <f t="shared" si="22"/>
        <v>775.77306575771661</v>
      </c>
      <c r="H332" s="144">
        <f t="shared" si="20"/>
        <v>16897.479408972027</v>
      </c>
      <c r="I332" s="145">
        <f t="shared" si="21"/>
        <v>138257.13374257128</v>
      </c>
    </row>
    <row r="333" spans="3:9">
      <c r="C333" s="40"/>
      <c r="D333" s="58">
        <v>317</v>
      </c>
      <c r="E333" s="144">
        <f t="shared" si="24"/>
        <v>138257.13374257128</v>
      </c>
      <c r="F333" s="144">
        <f t="shared" si="23"/>
        <v>17673.252474729743</v>
      </c>
      <c r="G333" s="144">
        <f t="shared" si="22"/>
        <v>691.28566871285648</v>
      </c>
      <c r="H333" s="144">
        <f t="shared" si="20"/>
        <v>16981.966806016888</v>
      </c>
      <c r="I333" s="145">
        <f t="shared" si="21"/>
        <v>121275.16693655439</v>
      </c>
    </row>
    <row r="334" spans="3:9">
      <c r="C334" s="40"/>
      <c r="D334" s="58">
        <v>318</v>
      </c>
      <c r="E334" s="144">
        <f t="shared" si="24"/>
        <v>121275.16693655439</v>
      </c>
      <c r="F334" s="144">
        <f t="shared" si="23"/>
        <v>17673.252474729743</v>
      </c>
      <c r="G334" s="144">
        <f t="shared" si="22"/>
        <v>606.37583468277194</v>
      </c>
      <c r="H334" s="144">
        <f t="shared" si="20"/>
        <v>17066.876640046972</v>
      </c>
      <c r="I334" s="145">
        <f t="shared" si="21"/>
        <v>104208.29029650742</v>
      </c>
    </row>
    <row r="335" spans="3:9">
      <c r="C335" s="40"/>
      <c r="D335" s="58">
        <v>319</v>
      </c>
      <c r="E335" s="144">
        <f t="shared" si="24"/>
        <v>104208.29029650742</v>
      </c>
      <c r="F335" s="144">
        <f t="shared" si="23"/>
        <v>17673.252474729743</v>
      </c>
      <c r="G335" s="144">
        <f t="shared" si="22"/>
        <v>521.04145148253713</v>
      </c>
      <c r="H335" s="144">
        <f t="shared" si="20"/>
        <v>17152.211023247204</v>
      </c>
      <c r="I335" s="145">
        <f t="shared" si="21"/>
        <v>87056.079273260213</v>
      </c>
    </row>
    <row r="336" spans="3:9">
      <c r="C336" s="40"/>
      <c r="D336" s="58">
        <v>320</v>
      </c>
      <c r="E336" s="144">
        <f t="shared" si="24"/>
        <v>87056.079273260213</v>
      </c>
      <c r="F336" s="144">
        <f t="shared" si="23"/>
        <v>17673.252474729743</v>
      </c>
      <c r="G336" s="144">
        <f t="shared" si="22"/>
        <v>435.28039636630109</v>
      </c>
      <c r="H336" s="144">
        <f t="shared" si="20"/>
        <v>17237.97207836344</v>
      </c>
      <c r="I336" s="145">
        <f t="shared" si="21"/>
        <v>69818.107194896773</v>
      </c>
    </row>
    <row r="337" spans="3:9">
      <c r="C337" s="40"/>
      <c r="D337" s="58">
        <v>321</v>
      </c>
      <c r="E337" s="144">
        <f t="shared" si="24"/>
        <v>69818.107194896773</v>
      </c>
      <c r="F337" s="144">
        <f t="shared" si="23"/>
        <v>17673.252474729743</v>
      </c>
      <c r="G337" s="144">
        <f t="shared" si="22"/>
        <v>349.09053597448388</v>
      </c>
      <c r="H337" s="144">
        <f t="shared" ref="H337:H376" si="25">F337-G337</f>
        <v>17324.16193875526</v>
      </c>
      <c r="I337" s="145">
        <f t="shared" ref="I337:I376" si="26">E337-H337</f>
        <v>52493.945256141509</v>
      </c>
    </row>
    <row r="338" spans="3:9">
      <c r="C338" s="40"/>
      <c r="D338" s="58">
        <v>322</v>
      </c>
      <c r="E338" s="144">
        <f t="shared" si="24"/>
        <v>52493.945256141509</v>
      </c>
      <c r="F338" s="144">
        <f t="shared" si="23"/>
        <v>17673.252474729743</v>
      </c>
      <c r="G338" s="144">
        <f t="shared" ref="G338:G376" si="27">IF(D338&gt;$D$10,0,($D$6/12)*I337)</f>
        <v>262.46972628070756</v>
      </c>
      <c r="H338" s="144">
        <f t="shared" si="25"/>
        <v>17410.782748449037</v>
      </c>
      <c r="I338" s="145">
        <f t="shared" si="26"/>
        <v>35083.162507692468</v>
      </c>
    </row>
    <row r="339" spans="3:9">
      <c r="C339" s="40"/>
      <c r="D339" s="58">
        <v>323</v>
      </c>
      <c r="E339" s="144">
        <f t="shared" si="24"/>
        <v>35083.162507692468</v>
      </c>
      <c r="F339" s="144">
        <f t="shared" si="23"/>
        <v>17673.252474729743</v>
      </c>
      <c r="G339" s="144">
        <f t="shared" si="27"/>
        <v>175.41581253846235</v>
      </c>
      <c r="H339" s="144">
        <f t="shared" si="25"/>
        <v>17497.836662191279</v>
      </c>
      <c r="I339" s="145">
        <f t="shared" si="26"/>
        <v>17585.325845501189</v>
      </c>
    </row>
    <row r="340" spans="3:9">
      <c r="C340" s="46">
        <v>27</v>
      </c>
      <c r="D340" s="147">
        <v>324</v>
      </c>
      <c r="E340" s="144">
        <f t="shared" si="24"/>
        <v>17585.325845501189</v>
      </c>
      <c r="F340" s="144">
        <f t="shared" si="23"/>
        <v>17673.252474729743</v>
      </c>
      <c r="G340" s="144">
        <f t="shared" si="27"/>
        <v>87.926629227505941</v>
      </c>
      <c r="H340" s="144">
        <f t="shared" si="25"/>
        <v>17585.325845502237</v>
      </c>
      <c r="I340" s="145">
        <f t="shared" si="26"/>
        <v>-1.0477378964424133E-9</v>
      </c>
    </row>
    <row r="341" spans="3:9">
      <c r="C341" s="40"/>
      <c r="D341" s="58">
        <v>325</v>
      </c>
      <c r="E341" s="144">
        <f t="shared" si="24"/>
        <v>0</v>
      </c>
      <c r="F341" s="144">
        <f t="shared" ref="F341:F376" si="28">IF(D341&gt;$D$10,0,IF(D341&lt;=$D$8,G341,-PMT($D$6/12,$D$9,$D$5,0,0)))</f>
        <v>0</v>
      </c>
      <c r="G341" s="144">
        <f t="shared" si="27"/>
        <v>0</v>
      </c>
      <c r="H341" s="144">
        <f t="shared" si="25"/>
        <v>0</v>
      </c>
      <c r="I341" s="145">
        <f t="shared" si="26"/>
        <v>0</v>
      </c>
    </row>
    <row r="342" spans="3:9">
      <c r="C342" s="40"/>
      <c r="D342" s="58">
        <v>326</v>
      </c>
      <c r="E342" s="144">
        <f t="shared" ref="E342:E376" si="29">IF(D342&gt;$D$10,0,I341)</f>
        <v>0</v>
      </c>
      <c r="F342" s="144">
        <f t="shared" si="28"/>
        <v>0</v>
      </c>
      <c r="G342" s="144">
        <f t="shared" si="27"/>
        <v>0</v>
      </c>
      <c r="H342" s="144">
        <f t="shared" si="25"/>
        <v>0</v>
      </c>
      <c r="I342" s="145">
        <f t="shared" si="26"/>
        <v>0</v>
      </c>
    </row>
    <row r="343" spans="3:9">
      <c r="C343" s="40"/>
      <c r="D343" s="58">
        <v>327</v>
      </c>
      <c r="E343" s="144">
        <f t="shared" si="29"/>
        <v>0</v>
      </c>
      <c r="F343" s="144">
        <f t="shared" si="28"/>
        <v>0</v>
      </c>
      <c r="G343" s="144">
        <f t="shared" si="27"/>
        <v>0</v>
      </c>
      <c r="H343" s="144">
        <f t="shared" si="25"/>
        <v>0</v>
      </c>
      <c r="I343" s="145">
        <f t="shared" si="26"/>
        <v>0</v>
      </c>
    </row>
    <row r="344" spans="3:9">
      <c r="C344" s="40"/>
      <c r="D344" s="58">
        <v>328</v>
      </c>
      <c r="E344" s="144">
        <f t="shared" si="29"/>
        <v>0</v>
      </c>
      <c r="F344" s="144">
        <f t="shared" si="28"/>
        <v>0</v>
      </c>
      <c r="G344" s="144">
        <f t="shared" si="27"/>
        <v>0</v>
      </c>
      <c r="H344" s="144">
        <f t="shared" si="25"/>
        <v>0</v>
      </c>
      <c r="I344" s="145">
        <f t="shared" si="26"/>
        <v>0</v>
      </c>
    </row>
    <row r="345" spans="3:9">
      <c r="C345" s="40"/>
      <c r="D345" s="58">
        <v>329</v>
      </c>
      <c r="E345" s="144">
        <f t="shared" si="29"/>
        <v>0</v>
      </c>
      <c r="F345" s="144">
        <f t="shared" si="28"/>
        <v>0</v>
      </c>
      <c r="G345" s="144">
        <f t="shared" si="27"/>
        <v>0</v>
      </c>
      <c r="H345" s="144">
        <f t="shared" si="25"/>
        <v>0</v>
      </c>
      <c r="I345" s="145">
        <f t="shared" si="26"/>
        <v>0</v>
      </c>
    </row>
    <row r="346" spans="3:9">
      <c r="C346" s="40"/>
      <c r="D346" s="58">
        <v>330</v>
      </c>
      <c r="E346" s="144">
        <f t="shared" si="29"/>
        <v>0</v>
      </c>
      <c r="F346" s="144">
        <f t="shared" si="28"/>
        <v>0</v>
      </c>
      <c r="G346" s="144">
        <f t="shared" si="27"/>
        <v>0</v>
      </c>
      <c r="H346" s="144">
        <f t="shared" si="25"/>
        <v>0</v>
      </c>
      <c r="I346" s="145">
        <f t="shared" si="26"/>
        <v>0</v>
      </c>
    </row>
    <row r="347" spans="3:9">
      <c r="C347" s="40"/>
      <c r="D347" s="58">
        <v>331</v>
      </c>
      <c r="E347" s="144">
        <f t="shared" si="29"/>
        <v>0</v>
      </c>
      <c r="F347" s="144">
        <f t="shared" si="28"/>
        <v>0</v>
      </c>
      <c r="G347" s="144">
        <f t="shared" si="27"/>
        <v>0</v>
      </c>
      <c r="H347" s="144">
        <f t="shared" si="25"/>
        <v>0</v>
      </c>
      <c r="I347" s="145">
        <f t="shared" si="26"/>
        <v>0</v>
      </c>
    </row>
    <row r="348" spans="3:9">
      <c r="C348" s="40"/>
      <c r="D348" s="58">
        <v>332</v>
      </c>
      <c r="E348" s="144">
        <f t="shared" si="29"/>
        <v>0</v>
      </c>
      <c r="F348" s="144">
        <f t="shared" si="28"/>
        <v>0</v>
      </c>
      <c r="G348" s="144">
        <f t="shared" si="27"/>
        <v>0</v>
      </c>
      <c r="H348" s="144">
        <f t="shared" si="25"/>
        <v>0</v>
      </c>
      <c r="I348" s="145">
        <f t="shared" si="26"/>
        <v>0</v>
      </c>
    </row>
    <row r="349" spans="3:9">
      <c r="C349" s="40"/>
      <c r="D349" s="58">
        <v>333</v>
      </c>
      <c r="E349" s="144">
        <f t="shared" si="29"/>
        <v>0</v>
      </c>
      <c r="F349" s="144">
        <f t="shared" si="28"/>
        <v>0</v>
      </c>
      <c r="G349" s="144">
        <f t="shared" si="27"/>
        <v>0</v>
      </c>
      <c r="H349" s="144">
        <f t="shared" si="25"/>
        <v>0</v>
      </c>
      <c r="I349" s="145">
        <f t="shared" si="26"/>
        <v>0</v>
      </c>
    </row>
    <row r="350" spans="3:9">
      <c r="C350" s="40"/>
      <c r="D350" s="58">
        <v>334</v>
      </c>
      <c r="E350" s="144">
        <f t="shared" si="29"/>
        <v>0</v>
      </c>
      <c r="F350" s="144">
        <f t="shared" si="28"/>
        <v>0</v>
      </c>
      <c r="G350" s="144">
        <f t="shared" si="27"/>
        <v>0</v>
      </c>
      <c r="H350" s="144">
        <f t="shared" si="25"/>
        <v>0</v>
      </c>
      <c r="I350" s="145">
        <f t="shared" si="26"/>
        <v>0</v>
      </c>
    </row>
    <row r="351" spans="3:9">
      <c r="C351" s="40"/>
      <c r="D351" s="58">
        <v>335</v>
      </c>
      <c r="E351" s="144">
        <f t="shared" si="29"/>
        <v>0</v>
      </c>
      <c r="F351" s="144">
        <f t="shared" si="28"/>
        <v>0</v>
      </c>
      <c r="G351" s="144">
        <f t="shared" si="27"/>
        <v>0</v>
      </c>
      <c r="H351" s="144">
        <f t="shared" si="25"/>
        <v>0</v>
      </c>
      <c r="I351" s="145">
        <f t="shared" si="26"/>
        <v>0</v>
      </c>
    </row>
    <row r="352" spans="3:9">
      <c r="C352" s="46">
        <v>28</v>
      </c>
      <c r="D352" s="147">
        <v>336</v>
      </c>
      <c r="E352" s="144">
        <f t="shared" si="29"/>
        <v>0</v>
      </c>
      <c r="F352" s="144">
        <f t="shared" si="28"/>
        <v>0</v>
      </c>
      <c r="G352" s="144">
        <f t="shared" si="27"/>
        <v>0</v>
      </c>
      <c r="H352" s="144">
        <f t="shared" si="25"/>
        <v>0</v>
      </c>
      <c r="I352" s="145">
        <f t="shared" si="26"/>
        <v>0</v>
      </c>
    </row>
    <row r="353" spans="3:9">
      <c r="C353" s="40"/>
      <c r="D353" s="58">
        <v>337</v>
      </c>
      <c r="E353" s="144">
        <f t="shared" si="29"/>
        <v>0</v>
      </c>
      <c r="F353" s="144">
        <f t="shared" si="28"/>
        <v>0</v>
      </c>
      <c r="G353" s="144">
        <f t="shared" si="27"/>
        <v>0</v>
      </c>
      <c r="H353" s="144">
        <f t="shared" si="25"/>
        <v>0</v>
      </c>
      <c r="I353" s="145">
        <f t="shared" si="26"/>
        <v>0</v>
      </c>
    </row>
    <row r="354" spans="3:9">
      <c r="C354" s="40"/>
      <c r="D354" s="58">
        <v>338</v>
      </c>
      <c r="E354" s="144">
        <f t="shared" si="29"/>
        <v>0</v>
      </c>
      <c r="F354" s="144">
        <f t="shared" si="28"/>
        <v>0</v>
      </c>
      <c r="G354" s="144">
        <f t="shared" si="27"/>
        <v>0</v>
      </c>
      <c r="H354" s="144">
        <f t="shared" si="25"/>
        <v>0</v>
      </c>
      <c r="I354" s="145">
        <f t="shared" si="26"/>
        <v>0</v>
      </c>
    </row>
    <row r="355" spans="3:9">
      <c r="C355" s="40"/>
      <c r="D355" s="58">
        <v>339</v>
      </c>
      <c r="E355" s="144">
        <f t="shared" si="29"/>
        <v>0</v>
      </c>
      <c r="F355" s="144">
        <f t="shared" si="28"/>
        <v>0</v>
      </c>
      <c r="G355" s="144">
        <f t="shared" si="27"/>
        <v>0</v>
      </c>
      <c r="H355" s="144">
        <f t="shared" si="25"/>
        <v>0</v>
      </c>
      <c r="I355" s="145">
        <f t="shared" si="26"/>
        <v>0</v>
      </c>
    </row>
    <row r="356" spans="3:9">
      <c r="C356" s="40"/>
      <c r="D356" s="58">
        <v>340</v>
      </c>
      <c r="E356" s="144">
        <f t="shared" si="29"/>
        <v>0</v>
      </c>
      <c r="F356" s="144">
        <f t="shared" si="28"/>
        <v>0</v>
      </c>
      <c r="G356" s="144">
        <f t="shared" si="27"/>
        <v>0</v>
      </c>
      <c r="H356" s="144">
        <f t="shared" si="25"/>
        <v>0</v>
      </c>
      <c r="I356" s="145">
        <f t="shared" si="26"/>
        <v>0</v>
      </c>
    </row>
    <row r="357" spans="3:9">
      <c r="C357" s="40"/>
      <c r="D357" s="58">
        <v>341</v>
      </c>
      <c r="E357" s="144">
        <f t="shared" si="29"/>
        <v>0</v>
      </c>
      <c r="F357" s="144">
        <f t="shared" si="28"/>
        <v>0</v>
      </c>
      <c r="G357" s="144">
        <f t="shared" si="27"/>
        <v>0</v>
      </c>
      <c r="H357" s="144">
        <f t="shared" si="25"/>
        <v>0</v>
      </c>
      <c r="I357" s="145">
        <f t="shared" si="26"/>
        <v>0</v>
      </c>
    </row>
    <row r="358" spans="3:9">
      <c r="C358" s="40"/>
      <c r="D358" s="58">
        <v>342</v>
      </c>
      <c r="E358" s="144">
        <f t="shared" si="29"/>
        <v>0</v>
      </c>
      <c r="F358" s="144">
        <f t="shared" si="28"/>
        <v>0</v>
      </c>
      <c r="G358" s="144">
        <f t="shared" si="27"/>
        <v>0</v>
      </c>
      <c r="H358" s="144">
        <f t="shared" si="25"/>
        <v>0</v>
      </c>
      <c r="I358" s="145">
        <f t="shared" si="26"/>
        <v>0</v>
      </c>
    </row>
    <row r="359" spans="3:9">
      <c r="C359" s="40"/>
      <c r="D359" s="58">
        <v>343</v>
      </c>
      <c r="E359" s="144">
        <f t="shared" si="29"/>
        <v>0</v>
      </c>
      <c r="F359" s="144">
        <f t="shared" si="28"/>
        <v>0</v>
      </c>
      <c r="G359" s="144">
        <f t="shared" si="27"/>
        <v>0</v>
      </c>
      <c r="H359" s="144">
        <f t="shared" si="25"/>
        <v>0</v>
      </c>
      <c r="I359" s="145">
        <f t="shared" si="26"/>
        <v>0</v>
      </c>
    </row>
    <row r="360" spans="3:9">
      <c r="C360" s="40"/>
      <c r="D360" s="58">
        <v>344</v>
      </c>
      <c r="E360" s="144">
        <f t="shared" si="29"/>
        <v>0</v>
      </c>
      <c r="F360" s="144">
        <f t="shared" si="28"/>
        <v>0</v>
      </c>
      <c r="G360" s="144">
        <f t="shared" si="27"/>
        <v>0</v>
      </c>
      <c r="H360" s="144">
        <f t="shared" si="25"/>
        <v>0</v>
      </c>
      <c r="I360" s="145">
        <f t="shared" si="26"/>
        <v>0</v>
      </c>
    </row>
    <row r="361" spans="3:9">
      <c r="C361" s="40"/>
      <c r="D361" s="58">
        <v>345</v>
      </c>
      <c r="E361" s="144">
        <f t="shared" si="29"/>
        <v>0</v>
      </c>
      <c r="F361" s="144">
        <f t="shared" si="28"/>
        <v>0</v>
      </c>
      <c r="G361" s="144">
        <f t="shared" si="27"/>
        <v>0</v>
      </c>
      <c r="H361" s="144">
        <f t="shared" si="25"/>
        <v>0</v>
      </c>
      <c r="I361" s="145">
        <f t="shared" si="26"/>
        <v>0</v>
      </c>
    </row>
    <row r="362" spans="3:9">
      <c r="C362" s="40"/>
      <c r="D362" s="58">
        <v>346</v>
      </c>
      <c r="E362" s="144">
        <f t="shared" si="29"/>
        <v>0</v>
      </c>
      <c r="F362" s="144">
        <f t="shared" si="28"/>
        <v>0</v>
      </c>
      <c r="G362" s="144">
        <f t="shared" si="27"/>
        <v>0</v>
      </c>
      <c r="H362" s="144">
        <f t="shared" si="25"/>
        <v>0</v>
      </c>
      <c r="I362" s="145">
        <f t="shared" si="26"/>
        <v>0</v>
      </c>
    </row>
    <row r="363" spans="3:9">
      <c r="C363" s="40"/>
      <c r="D363" s="58">
        <v>347</v>
      </c>
      <c r="E363" s="144">
        <f t="shared" si="29"/>
        <v>0</v>
      </c>
      <c r="F363" s="144">
        <f t="shared" si="28"/>
        <v>0</v>
      </c>
      <c r="G363" s="144">
        <f t="shared" si="27"/>
        <v>0</v>
      </c>
      <c r="H363" s="144">
        <f t="shared" si="25"/>
        <v>0</v>
      </c>
      <c r="I363" s="145">
        <f t="shared" si="26"/>
        <v>0</v>
      </c>
    </row>
    <row r="364" spans="3:9">
      <c r="C364" s="46">
        <v>29</v>
      </c>
      <c r="D364" s="147">
        <v>348</v>
      </c>
      <c r="E364" s="144">
        <f t="shared" si="29"/>
        <v>0</v>
      </c>
      <c r="F364" s="144">
        <f t="shared" si="28"/>
        <v>0</v>
      </c>
      <c r="G364" s="144">
        <f t="shared" si="27"/>
        <v>0</v>
      </c>
      <c r="H364" s="144">
        <f t="shared" si="25"/>
        <v>0</v>
      </c>
      <c r="I364" s="145">
        <f t="shared" si="26"/>
        <v>0</v>
      </c>
    </row>
    <row r="365" spans="3:9">
      <c r="C365" s="40"/>
      <c r="D365" s="58">
        <v>349</v>
      </c>
      <c r="E365" s="144">
        <f t="shared" si="29"/>
        <v>0</v>
      </c>
      <c r="F365" s="144">
        <f t="shared" si="28"/>
        <v>0</v>
      </c>
      <c r="G365" s="144">
        <f t="shared" si="27"/>
        <v>0</v>
      </c>
      <c r="H365" s="144">
        <f t="shared" si="25"/>
        <v>0</v>
      </c>
      <c r="I365" s="145">
        <f t="shared" si="26"/>
        <v>0</v>
      </c>
    </row>
    <row r="366" spans="3:9">
      <c r="C366" s="40"/>
      <c r="D366" s="58">
        <v>350</v>
      </c>
      <c r="E366" s="144">
        <f t="shared" si="29"/>
        <v>0</v>
      </c>
      <c r="F366" s="144">
        <f t="shared" si="28"/>
        <v>0</v>
      </c>
      <c r="G366" s="144">
        <f t="shared" si="27"/>
        <v>0</v>
      </c>
      <c r="H366" s="144">
        <f t="shared" si="25"/>
        <v>0</v>
      </c>
      <c r="I366" s="145">
        <f t="shared" si="26"/>
        <v>0</v>
      </c>
    </row>
    <row r="367" spans="3:9">
      <c r="C367" s="40"/>
      <c r="D367" s="58">
        <v>351</v>
      </c>
      <c r="E367" s="144">
        <f t="shared" si="29"/>
        <v>0</v>
      </c>
      <c r="F367" s="144">
        <f t="shared" si="28"/>
        <v>0</v>
      </c>
      <c r="G367" s="144">
        <f t="shared" si="27"/>
        <v>0</v>
      </c>
      <c r="H367" s="144">
        <f t="shared" si="25"/>
        <v>0</v>
      </c>
      <c r="I367" s="145">
        <f t="shared" si="26"/>
        <v>0</v>
      </c>
    </row>
    <row r="368" spans="3:9">
      <c r="C368" s="40"/>
      <c r="D368" s="58">
        <v>352</v>
      </c>
      <c r="E368" s="144">
        <f t="shared" si="29"/>
        <v>0</v>
      </c>
      <c r="F368" s="144">
        <f t="shared" si="28"/>
        <v>0</v>
      </c>
      <c r="G368" s="144">
        <f t="shared" si="27"/>
        <v>0</v>
      </c>
      <c r="H368" s="144">
        <f t="shared" si="25"/>
        <v>0</v>
      </c>
      <c r="I368" s="145">
        <f t="shared" si="26"/>
        <v>0</v>
      </c>
    </row>
    <row r="369" spans="3:9">
      <c r="C369" s="40"/>
      <c r="D369" s="58">
        <v>353</v>
      </c>
      <c r="E369" s="144">
        <f t="shared" si="29"/>
        <v>0</v>
      </c>
      <c r="F369" s="144">
        <f t="shared" si="28"/>
        <v>0</v>
      </c>
      <c r="G369" s="144">
        <f t="shared" si="27"/>
        <v>0</v>
      </c>
      <c r="H369" s="144">
        <f t="shared" si="25"/>
        <v>0</v>
      </c>
      <c r="I369" s="145">
        <f t="shared" si="26"/>
        <v>0</v>
      </c>
    </row>
    <row r="370" spans="3:9">
      <c r="C370" s="40"/>
      <c r="D370" s="58">
        <v>354</v>
      </c>
      <c r="E370" s="144">
        <f t="shared" si="29"/>
        <v>0</v>
      </c>
      <c r="F370" s="144">
        <f t="shared" si="28"/>
        <v>0</v>
      </c>
      <c r="G370" s="144">
        <f t="shared" si="27"/>
        <v>0</v>
      </c>
      <c r="H370" s="144">
        <f t="shared" si="25"/>
        <v>0</v>
      </c>
      <c r="I370" s="145">
        <f t="shared" si="26"/>
        <v>0</v>
      </c>
    </row>
    <row r="371" spans="3:9">
      <c r="C371" s="40"/>
      <c r="D371" s="58">
        <v>355</v>
      </c>
      <c r="E371" s="144">
        <f t="shared" si="29"/>
        <v>0</v>
      </c>
      <c r="F371" s="144">
        <f t="shared" si="28"/>
        <v>0</v>
      </c>
      <c r="G371" s="144">
        <f t="shared" si="27"/>
        <v>0</v>
      </c>
      <c r="H371" s="144">
        <f t="shared" si="25"/>
        <v>0</v>
      </c>
      <c r="I371" s="145">
        <f t="shared" si="26"/>
        <v>0</v>
      </c>
    </row>
    <row r="372" spans="3:9">
      <c r="C372" s="40"/>
      <c r="D372" s="58">
        <v>356</v>
      </c>
      <c r="E372" s="144">
        <f t="shared" si="29"/>
        <v>0</v>
      </c>
      <c r="F372" s="144">
        <f t="shared" si="28"/>
        <v>0</v>
      </c>
      <c r="G372" s="144">
        <f t="shared" si="27"/>
        <v>0</v>
      </c>
      <c r="H372" s="144">
        <f t="shared" si="25"/>
        <v>0</v>
      </c>
      <c r="I372" s="145">
        <f t="shared" si="26"/>
        <v>0</v>
      </c>
    </row>
    <row r="373" spans="3:9">
      <c r="C373" s="40"/>
      <c r="D373" s="58">
        <v>357</v>
      </c>
      <c r="E373" s="144">
        <f t="shared" si="29"/>
        <v>0</v>
      </c>
      <c r="F373" s="144">
        <f t="shared" si="28"/>
        <v>0</v>
      </c>
      <c r="G373" s="144">
        <f t="shared" si="27"/>
        <v>0</v>
      </c>
      <c r="H373" s="144">
        <f t="shared" si="25"/>
        <v>0</v>
      </c>
      <c r="I373" s="145">
        <f t="shared" si="26"/>
        <v>0</v>
      </c>
    </row>
    <row r="374" spans="3:9">
      <c r="C374" s="40"/>
      <c r="D374" s="58">
        <v>358</v>
      </c>
      <c r="E374" s="144">
        <f t="shared" si="29"/>
        <v>0</v>
      </c>
      <c r="F374" s="144">
        <f t="shared" si="28"/>
        <v>0</v>
      </c>
      <c r="G374" s="144">
        <f t="shared" si="27"/>
        <v>0</v>
      </c>
      <c r="H374" s="144">
        <f t="shared" si="25"/>
        <v>0</v>
      </c>
      <c r="I374" s="145">
        <f t="shared" si="26"/>
        <v>0</v>
      </c>
    </row>
    <row r="375" spans="3:9">
      <c r="C375" s="40"/>
      <c r="D375" s="58">
        <v>359</v>
      </c>
      <c r="E375" s="144">
        <f t="shared" si="29"/>
        <v>0</v>
      </c>
      <c r="F375" s="144">
        <f t="shared" si="28"/>
        <v>0</v>
      </c>
      <c r="G375" s="144">
        <f t="shared" si="27"/>
        <v>0</v>
      </c>
      <c r="H375" s="144">
        <f t="shared" si="25"/>
        <v>0</v>
      </c>
      <c r="I375" s="145">
        <f t="shared" si="26"/>
        <v>0</v>
      </c>
    </row>
    <row r="376" spans="3:9" ht="15.75" thickBot="1">
      <c r="C376" s="149">
        <v>30</v>
      </c>
      <c r="D376" s="150">
        <v>360</v>
      </c>
      <c r="E376" s="151">
        <f t="shared" si="29"/>
        <v>0</v>
      </c>
      <c r="F376" s="151">
        <f t="shared" si="28"/>
        <v>0</v>
      </c>
      <c r="G376" s="151">
        <f t="shared" si="27"/>
        <v>0</v>
      </c>
      <c r="H376" s="151">
        <f t="shared" si="25"/>
        <v>0</v>
      </c>
      <c r="I376" s="152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Deal Summary</vt:lpstr>
      <vt:lpstr>Costs</vt:lpstr>
      <vt:lpstr>Proforma</vt:lpstr>
      <vt:lpstr>Rent Roll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Rufus Hardison</dc:creator>
  <cp:lastModifiedBy>Rufus Hardison</cp:lastModifiedBy>
  <cp:lastPrinted>2025-12-01T14:38:13Z</cp:lastPrinted>
  <dcterms:created xsi:type="dcterms:W3CDTF">2025-06-09T15:44:31Z</dcterms:created>
  <dcterms:modified xsi:type="dcterms:W3CDTF">2026-02-25T15:25:02Z</dcterms:modified>
</cp:coreProperties>
</file>